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5.xml" ContentType="application/vnd.openxmlformats-officedocument.spreadsheetml.table+xml"/>
  <Override PartName="/xl/tables/table4.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aw_Donors" sheetId="2" state="visible" r:id="rId4"/>
    <sheet name="Raw_Volunteers" sheetId="3" state="visible" r:id="rId5"/>
    <sheet name="Raw_Outreach" sheetId="4" state="visible" r:id="rId6"/>
    <sheet name="Clean_Donors" sheetId="5" state="visible" r:id="rId7"/>
    <sheet name="Clean_Volunteers" sheetId="6" state="visible" r:id="rId8"/>
    <sheet name="Donor_Summary" sheetId="7" state="visible" r:id="rId9"/>
    <sheet name="Engagement_Dashboard" sheetId="8" state="visible" r:id="rId10"/>
  </sheets>
  <definedNames>
    <definedName function="false" hidden="false" localSheetId="4" name="_xlnm.Print_Titles" vbProcedure="false">Clean_Donors!$1:$1</definedName>
    <definedName function="false" hidden="false" localSheetId="5" name="_xlnm.Print_Titles" vbProcedure="false">Clean_Volunteers!$1:$1</definedName>
    <definedName function="false" hidden="false" localSheetId="1" name="_xlnm.Print_Titles" vbProcedure="false">Raw_Donors!$1:$1</definedName>
    <definedName function="false" hidden="false" localSheetId="3" name="_xlnm.Print_Titles" vbProcedure="false">Raw_Outreach!$1:$1</definedName>
    <definedName function="false" hidden="false" localSheetId="2" name="_xlnm.Print_Titles" vbProcedure="false">Raw_Volunteers!$1:$1</definedName>
    <definedName function="false" hidden="false" localSheetId="0" name="_xlnm.Print_Area" vbProcedure="false">README!$A$1:$C$24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<sst xmlns="http://schemas.openxmlformats.org/spreadsheetml/2006/main" count="16330" uniqueCount="2507">
  <si>
    <t xml:space="preserve">Riverbend Food Bank — Donor &amp; Volunteer CRM Workbook</t>
  </si>
  <si>
    <t xml:space="preserve">A donor/volunteer data cleaning, analysis, and engagement-tracking project</t>
  </si>
  <si>
    <t xml:space="preserve">Tip: jump straight to the Engagement_Dashboard tab for the executive-summary view, or follow the tabs in order to see the full data-cleaning process.</t>
  </si>
  <si>
    <t xml:space="preserve">Purpose</t>
  </si>
  <si>
    <t xml:space="preserve">Many small nonprofits track donors and volunteers in spreadsheets, not dedicated CRM software. This workbook shows how a messy donor export and a volunteer sign-up log can be cleaned, linked, and turned into decision-useful summaries — without buying a CRM platform.</t>
  </si>
  <si>
    <t xml:space="preserve">Data sources</t>
  </si>
  <si>
    <t xml:space="preserve">Donor demographics and giving history are adapted from a real, anonymized university fundraising dataset (Kaggle: 'Fundraising Data' by Michael Pawlus), re-labeled for a food bank context. The Raw_Outreach tab uses the real, anonymized donor contact reports from the same dataset. The Volunteers tab is synthetic data generated to mirror realistic shift/hours patterns, linked to roughly 120 of the donor records to model people who both give and volunteer.</t>
  </si>
  <si>
    <t xml:space="preserve">How this workbook is organized</t>
  </si>
  <si>
    <t xml:space="preserve">  Raw_Donors / Raw_Volunteers / Raw_Outreach</t>
  </si>
  <si>
    <t xml:space="preserve">Unedited data as it would arrive from an export. Intentionally messy: inconsistent text casing, trailing whitespace, duplicate records, currency stored as text, missing values.</t>
  </si>
  <si>
    <t xml:space="preserve">  Clean_Donors / Clean_Volunteers</t>
  </si>
  <si>
    <t xml:space="preserve">Cleaned versions built with formulas (TRIM, UPPER/PROPER, VALUE, IFERROR, COUNTIF for duplicate flags) so the cleaning logic is visible and auditable, not just pasted-over values.</t>
  </si>
  <si>
    <t xml:space="preserve">  Donor_Summary</t>
  </si>
  <si>
    <t xml:space="preserve">Pivot tables breaking down donor counts and giving totals by category, wealth rating, and fiscal year trend.</t>
  </si>
  <si>
    <t xml:space="preserve">  Engagement_Dashboard</t>
  </si>
  <si>
    <t xml:space="preserve">The 'so what': which donors are also volunteers, lapsed-donor flags, top supporters to prioritize, and follow-up candidates based on the outreach log.</t>
  </si>
  <si>
    <t xml:space="preserve">Note on the data</t>
  </si>
  <si>
    <t xml:space="preserve">Donor identities, addresses, and amounts in the donor and outreach tabs are anonymized/synthetic data from a public dataset and do not represent a real food bank's actual donors.</t>
  </si>
  <si>
    <t xml:space="preserve">DonorID</t>
  </si>
  <si>
    <t xml:space="preserve">ZIP Code</t>
  </si>
  <si>
    <t xml:space="preserve">Age</t>
  </si>
  <si>
    <t xml:space="preserve">Marital Status</t>
  </si>
  <si>
    <t xml:space="preserve">Gender</t>
  </si>
  <si>
    <t xml:space="preserve">Donor Category</t>
  </si>
  <si>
    <t xml:space="preserve">Volunteer Engaged</t>
  </si>
  <si>
    <t xml:space="preserve">Wealth Rating</t>
  </si>
  <si>
    <t xml:space="preserve">Preferred Contact Type</t>
  </si>
  <si>
    <t xml:space="preserve">Email on File</t>
  </si>
  <si>
    <t xml:space="preserve">Consecutive Years Giving</t>
  </si>
  <si>
    <t xml:space="preserve">Giving FY2021</t>
  </si>
  <si>
    <t xml:space="preserve">Giving FY2022</t>
  </si>
  <si>
    <t xml:space="preserve">Giving FY2023</t>
  </si>
  <si>
    <t xml:space="preserve">Giving FY2024</t>
  </si>
  <si>
    <t xml:space="preserve">Giving FY2025</t>
  </si>
  <si>
    <t xml:space="preserve">Total Lifetime Giving</t>
  </si>
  <si>
    <t xml:space="preserve">Is Donor</t>
  </si>
  <si>
    <t xml:space="preserve">Birth Date</t>
  </si>
  <si>
    <t xml:space="preserve">D1000</t>
  </si>
  <si>
    <t xml:space="preserve">Female</t>
  </si>
  <si>
    <t xml:space="preserve">Individual Donor</t>
  </si>
  <si>
    <t xml:space="preserve">N</t>
  </si>
  <si>
    <t xml:space="preserve">HOME</t>
  </si>
  <si>
    <t xml:space="preserve">$0</t>
  </si>
  <si>
    <t xml:space="preserve">D1001</t>
  </si>
  <si>
    <t xml:space="preserve">Male</t>
  </si>
  <si>
    <t xml:space="preserve">Family Donor</t>
  </si>
  <si>
    <t xml:space="preserve">BUSN</t>
  </si>
  <si>
    <t xml:space="preserve">Y</t>
  </si>
  <si>
    <t xml:space="preserve">D1002</t>
  </si>
  <si>
    <t xml:space="preserve">D1003</t>
  </si>
  <si>
    <t xml:space="preserve">Uknown</t>
  </si>
  <si>
    <t xml:space="preserve">D1004</t>
  </si>
  <si>
    <t xml:space="preserve">1978-05-22</t>
  </si>
  <si>
    <t xml:space="preserve">D1005</t>
  </si>
  <si>
    <t xml:space="preserve">Community Partner</t>
  </si>
  <si>
    <t xml:space="preserve">1962-01-21</t>
  </si>
  <si>
    <t xml:space="preserve">D1006</t>
  </si>
  <si>
    <t xml:space="preserve">$1</t>
  </si>
  <si>
    <t xml:space="preserve">D1007</t>
  </si>
  <si>
    <t xml:space="preserve">1994-05-13</t>
  </si>
  <si>
    <t xml:space="preserve">D1008</t>
  </si>
  <si>
    <t xml:space="preserve">D1009</t>
  </si>
  <si>
    <t xml:space="preserve">Married</t>
  </si>
  <si>
    <t xml:space="preserve">$100</t>
  </si>
  <si>
    <t xml:space="preserve">D1010</t>
  </si>
  <si>
    <t xml:space="preserve">D1011</t>
  </si>
  <si>
    <t xml:space="preserve">HOME  </t>
  </si>
  <si>
    <t xml:space="preserve">D1012</t>
  </si>
  <si>
    <t xml:space="preserve">1943-05-23</t>
  </si>
  <si>
    <t xml:space="preserve">D1013</t>
  </si>
  <si>
    <t xml:space="preserve">1991-12-13</t>
  </si>
  <si>
    <t xml:space="preserve">D1014</t>
  </si>
  <si>
    <t xml:space="preserve">$25</t>
  </si>
  <si>
    <t xml:space="preserve">1967-09-01</t>
  </si>
  <si>
    <t xml:space="preserve">D1015</t>
  </si>
  <si>
    <t xml:space="preserve">D1016</t>
  </si>
  <si>
    <t xml:space="preserve">1991-03-19</t>
  </si>
  <si>
    <t xml:space="preserve">D1017</t>
  </si>
  <si>
    <t xml:space="preserve">$400</t>
  </si>
  <si>
    <t xml:space="preserve">D1018</t>
  </si>
  <si>
    <t xml:space="preserve">Divorced</t>
  </si>
  <si>
    <t xml:space="preserve">$1-$24,999</t>
  </si>
  <si>
    <t xml:space="preserve">D1019</t>
  </si>
  <si>
    <t xml:space="preserve">Single</t>
  </si>
  <si>
    <t xml:space="preserve">D1020</t>
  </si>
  <si>
    <t xml:space="preserve">D1021</t>
  </si>
  <si>
    <t xml:space="preserve">$136</t>
  </si>
  <si>
    <t xml:space="preserve">$200</t>
  </si>
  <si>
    <t xml:space="preserve">D1022</t>
  </si>
  <si>
    <t xml:space="preserve">$50</t>
  </si>
  <si>
    <t xml:space="preserve">$251</t>
  </si>
  <si>
    <t xml:space="preserve">D1023</t>
  </si>
  <si>
    <t xml:space="preserve">D1024</t>
  </si>
  <si>
    <t xml:space="preserve">1954-01-11</t>
  </si>
  <si>
    <t xml:space="preserve">D1025</t>
  </si>
  <si>
    <t xml:space="preserve">1966-08-21</t>
  </si>
  <si>
    <t xml:space="preserve">D1026</t>
  </si>
  <si>
    <t xml:space="preserve">1987-05-13</t>
  </si>
  <si>
    <t xml:space="preserve">D1027</t>
  </si>
  <si>
    <t xml:space="preserve">$410</t>
  </si>
  <si>
    <t xml:space="preserve">$300</t>
  </si>
  <si>
    <t xml:space="preserve">D1028</t>
  </si>
  <si>
    <t xml:space="preserve">D1029</t>
  </si>
  <si>
    <t xml:space="preserve">1974-08-08</t>
  </si>
  <si>
    <t xml:space="preserve">D1030</t>
  </si>
  <si>
    <t xml:space="preserve">D1031</t>
  </si>
  <si>
    <t xml:space="preserve">$122</t>
  </si>
  <si>
    <t xml:space="preserve">D1032</t>
  </si>
  <si>
    <t xml:space="preserve">1981-09-13</t>
  </si>
  <si>
    <t xml:space="preserve">D1033</t>
  </si>
  <si>
    <t xml:space="preserve">$100,000-$249,999</t>
  </si>
  <si>
    <t xml:space="preserve">D1034</t>
  </si>
  <si>
    <t xml:space="preserve">D1035</t>
  </si>
  <si>
    <t xml:space="preserve">D1036</t>
  </si>
  <si>
    <t xml:space="preserve">D1037</t>
  </si>
  <si>
    <t xml:space="preserve">D1038</t>
  </si>
  <si>
    <t xml:space="preserve">1971-05-22</t>
  </si>
  <si>
    <t xml:space="preserve">D1039</t>
  </si>
  <si>
    <t xml:space="preserve">1964-09-11</t>
  </si>
  <si>
    <t xml:space="preserve">D1040</t>
  </si>
  <si>
    <t xml:space="preserve">D1041</t>
  </si>
  <si>
    <t xml:space="preserve">1983-09-22</t>
  </si>
  <si>
    <t xml:space="preserve">D1042</t>
  </si>
  <si>
    <t xml:space="preserve">1974-12-19</t>
  </si>
  <si>
    <t xml:space="preserve">D1043</t>
  </si>
  <si>
    <t xml:space="preserve">$20</t>
  </si>
  <si>
    <t xml:space="preserve">D1044</t>
  </si>
  <si>
    <t xml:space="preserve">$80</t>
  </si>
  <si>
    <t xml:space="preserve">D1045</t>
  </si>
  <si>
    <t xml:space="preserve">$1,000</t>
  </si>
  <si>
    <t xml:space="preserve">D1046</t>
  </si>
  <si>
    <t xml:space="preserve">$10,000</t>
  </si>
  <si>
    <t xml:space="preserve">D1047</t>
  </si>
  <si>
    <t xml:space="preserve">D1048</t>
  </si>
  <si>
    <t xml:space="preserve">1984-08-05</t>
  </si>
  <si>
    <t xml:space="preserve">D1049</t>
  </si>
  <si>
    <t xml:space="preserve">1987-09-01</t>
  </si>
  <si>
    <t xml:space="preserve">D1050</t>
  </si>
  <si>
    <t xml:space="preserve">D1051</t>
  </si>
  <si>
    <t xml:space="preserve">D1052</t>
  </si>
  <si>
    <t xml:space="preserve">$90</t>
  </si>
  <si>
    <t xml:space="preserve">D1053</t>
  </si>
  <si>
    <t xml:space="preserve">D1054</t>
  </si>
  <si>
    <t xml:space="preserve">D1055</t>
  </si>
  <si>
    <t xml:space="preserve">$230</t>
  </si>
  <si>
    <t xml:space="preserve">1971-09-13</t>
  </si>
  <si>
    <t xml:space="preserve">D1056</t>
  </si>
  <si>
    <t xml:space="preserve">1941-09-14</t>
  </si>
  <si>
    <t xml:space="preserve">D1057</t>
  </si>
  <si>
    <t xml:space="preserve">D1058</t>
  </si>
  <si>
    <t xml:space="preserve">D1059</t>
  </si>
  <si>
    <t xml:space="preserve">D1060</t>
  </si>
  <si>
    <t xml:space="preserve">D1061</t>
  </si>
  <si>
    <t xml:space="preserve">D1062</t>
  </si>
  <si>
    <t xml:space="preserve">D1063</t>
  </si>
  <si>
    <t xml:space="preserve">D1064</t>
  </si>
  <si>
    <t xml:space="preserve">D1065</t>
  </si>
  <si>
    <t xml:space="preserve">D1066</t>
  </si>
  <si>
    <t xml:space="preserve">COMMUNITY PARTNER</t>
  </si>
  <si>
    <t xml:space="preserve">$25,000-$49,999</t>
  </si>
  <si>
    <t xml:space="preserve">D1067</t>
  </si>
  <si>
    <t xml:space="preserve">1955-12-23</t>
  </si>
  <si>
    <t xml:space="preserve">D1068</t>
  </si>
  <si>
    <t xml:space="preserve">D1069</t>
  </si>
  <si>
    <t xml:space="preserve">D1070</t>
  </si>
  <si>
    <t xml:space="preserve">1946-12-11</t>
  </si>
  <si>
    <t xml:space="preserve">D1071</t>
  </si>
  <si>
    <t xml:space="preserve">D1072</t>
  </si>
  <si>
    <t xml:space="preserve">D1073</t>
  </si>
  <si>
    <t xml:space="preserve">D1074</t>
  </si>
  <si>
    <t xml:space="preserve">D1075</t>
  </si>
  <si>
    <t xml:space="preserve">$15</t>
  </si>
  <si>
    <t xml:space="preserve">D1076</t>
  </si>
  <si>
    <t xml:space="preserve">D1077</t>
  </si>
  <si>
    <t xml:space="preserve">1947-08-05</t>
  </si>
  <si>
    <t xml:space="preserve">D1078</t>
  </si>
  <si>
    <t xml:space="preserve">D1079</t>
  </si>
  <si>
    <t xml:space="preserve">$50,000-$99,999</t>
  </si>
  <si>
    <t xml:space="preserve">$11</t>
  </si>
  <si>
    <t xml:space="preserve">D1080</t>
  </si>
  <si>
    <t xml:space="preserve">D1081</t>
  </si>
  <si>
    <t xml:space="preserve">1991-09-11</t>
  </si>
  <si>
    <t xml:space="preserve">D1082</t>
  </si>
  <si>
    <t xml:space="preserve">D1083</t>
  </si>
  <si>
    <t xml:space="preserve">D1084</t>
  </si>
  <si>
    <t xml:space="preserve">$108</t>
  </si>
  <si>
    <t xml:space="preserve">D1085</t>
  </si>
  <si>
    <t xml:space="preserve">$120</t>
  </si>
  <si>
    <t xml:space="preserve">D1086</t>
  </si>
  <si>
    <t xml:space="preserve">D1087</t>
  </si>
  <si>
    <t xml:space="preserve">$97,850</t>
  </si>
  <si>
    <t xml:space="preserve">$100,000</t>
  </si>
  <si>
    <t xml:space="preserve">1969-06-11</t>
  </si>
  <si>
    <t xml:space="preserve">D1088</t>
  </si>
  <si>
    <t xml:space="preserve">D1089</t>
  </si>
  <si>
    <t xml:space="preserve">Widowed</t>
  </si>
  <si>
    <t xml:space="preserve">D1090</t>
  </si>
  <si>
    <t xml:space="preserve">$5</t>
  </si>
  <si>
    <t xml:space="preserve">$150</t>
  </si>
  <si>
    <t xml:space="preserve">D1091</t>
  </si>
  <si>
    <t xml:space="preserve">D1092</t>
  </si>
  <si>
    <t xml:space="preserve">INDIVIDUAL DONOR</t>
  </si>
  <si>
    <t xml:space="preserve">D1093</t>
  </si>
  <si>
    <t xml:space="preserve">CAMP</t>
  </si>
  <si>
    <t xml:space="preserve">1992-06-11</t>
  </si>
  <si>
    <t xml:space="preserve">D1094</t>
  </si>
  <si>
    <t xml:space="preserve">D1095</t>
  </si>
  <si>
    <t xml:space="preserve">D1096</t>
  </si>
  <si>
    <t xml:space="preserve">D1097</t>
  </si>
  <si>
    <t xml:space="preserve">D1098</t>
  </si>
  <si>
    <t xml:space="preserve">$144</t>
  </si>
  <si>
    <t xml:space="preserve">1993-12-11</t>
  </si>
  <si>
    <t xml:space="preserve">D1099</t>
  </si>
  <si>
    <t xml:space="preserve">1984-12-17</t>
  </si>
  <si>
    <t xml:space="preserve">D1100</t>
  </si>
  <si>
    <t xml:space="preserve">D1101</t>
  </si>
  <si>
    <t xml:space="preserve">D1102</t>
  </si>
  <si>
    <t xml:space="preserve">D1103</t>
  </si>
  <si>
    <t xml:space="preserve">$274</t>
  </si>
  <si>
    <t xml:space="preserve">$40</t>
  </si>
  <si>
    <t xml:space="preserve">D1104</t>
  </si>
  <si>
    <t xml:space="preserve">1979-05-23</t>
  </si>
  <si>
    <t xml:space="preserve">D1105</t>
  </si>
  <si>
    <t xml:space="preserve">D1106</t>
  </si>
  <si>
    <t xml:space="preserve">1940-12-19</t>
  </si>
  <si>
    <t xml:space="preserve">D1107</t>
  </si>
  <si>
    <t xml:space="preserve">$250,000-$499,999</t>
  </si>
  <si>
    <t xml:space="preserve">$5,500</t>
  </si>
  <si>
    <t xml:space="preserve">D1108</t>
  </si>
  <si>
    <t xml:space="preserve">1993-09-14</t>
  </si>
  <si>
    <t xml:space="preserve">D1109</t>
  </si>
  <si>
    <t xml:space="preserve">D1110</t>
  </si>
  <si>
    <t xml:space="preserve">1976-03-19</t>
  </si>
  <si>
    <t xml:space="preserve">D1111</t>
  </si>
  <si>
    <t xml:space="preserve">D1112</t>
  </si>
  <si>
    <t xml:space="preserve">1927-09-11</t>
  </si>
  <si>
    <t xml:space="preserve">D1113</t>
  </si>
  <si>
    <t xml:space="preserve">1998-09-22</t>
  </si>
  <si>
    <t xml:space="preserve">D1114</t>
  </si>
  <si>
    <t xml:space="preserve">D1115</t>
  </si>
  <si>
    <t xml:space="preserve">D1116</t>
  </si>
  <si>
    <t xml:space="preserve">OTR</t>
  </si>
  <si>
    <t xml:space="preserve">D1117</t>
  </si>
  <si>
    <t xml:space="preserve">D1118</t>
  </si>
  <si>
    <t xml:space="preserve">D1119</t>
  </si>
  <si>
    <t xml:space="preserve">1983-09-13</t>
  </si>
  <si>
    <t xml:space="preserve">D1120</t>
  </si>
  <si>
    <t xml:space="preserve">$105</t>
  </si>
  <si>
    <t xml:space="preserve">D1121</t>
  </si>
  <si>
    <t xml:space="preserve">D1122</t>
  </si>
  <si>
    <t xml:space="preserve">D1123</t>
  </si>
  <si>
    <t xml:space="preserve">1959-08-21</t>
  </si>
  <si>
    <t xml:space="preserve">D1124</t>
  </si>
  <si>
    <t xml:space="preserve">D1125</t>
  </si>
  <si>
    <t xml:space="preserve">D1126</t>
  </si>
  <si>
    <t xml:space="preserve">D1127</t>
  </si>
  <si>
    <t xml:space="preserve">D1128</t>
  </si>
  <si>
    <t xml:space="preserve">$2,000</t>
  </si>
  <si>
    <t xml:space="preserve">1941-09-26</t>
  </si>
  <si>
    <t xml:space="preserve">D1129</t>
  </si>
  <si>
    <t xml:space="preserve">1972-05-22</t>
  </si>
  <si>
    <t xml:space="preserve">D1130</t>
  </si>
  <si>
    <t xml:space="preserve">D1131</t>
  </si>
  <si>
    <t xml:space="preserve">1935-01-19</t>
  </si>
  <si>
    <t xml:space="preserve">D1132</t>
  </si>
  <si>
    <t xml:space="preserve">D1133</t>
  </si>
  <si>
    <t xml:space="preserve">D1134</t>
  </si>
  <si>
    <t xml:space="preserve">$101</t>
  </si>
  <si>
    <t xml:space="preserve">D1135</t>
  </si>
  <si>
    <t xml:space="preserve">D1136</t>
  </si>
  <si>
    <t xml:space="preserve">1986-08-03</t>
  </si>
  <si>
    <t xml:space="preserve">D1137</t>
  </si>
  <si>
    <t xml:space="preserve">D1138</t>
  </si>
  <si>
    <t xml:space="preserve">1985-09-26</t>
  </si>
  <si>
    <t xml:space="preserve">D1139</t>
  </si>
  <si>
    <t xml:space="preserve">D1140</t>
  </si>
  <si>
    <t xml:space="preserve">D1141</t>
  </si>
  <si>
    <t xml:space="preserve">D1142</t>
  </si>
  <si>
    <t xml:space="preserve">D1143</t>
  </si>
  <si>
    <t xml:space="preserve">D1144</t>
  </si>
  <si>
    <t xml:space="preserve">D1145</t>
  </si>
  <si>
    <t xml:space="preserve">$30</t>
  </si>
  <si>
    <t xml:space="preserve">D1146</t>
  </si>
  <si>
    <t xml:space="preserve">D1147</t>
  </si>
  <si>
    <t xml:space="preserve">1987-01-15</t>
  </si>
  <si>
    <t xml:space="preserve">D1148</t>
  </si>
  <si>
    <t xml:space="preserve">D1149</t>
  </si>
  <si>
    <t xml:space="preserve">D1150</t>
  </si>
  <si>
    <t xml:space="preserve">D1151</t>
  </si>
  <si>
    <t xml:space="preserve">D1152</t>
  </si>
  <si>
    <t xml:space="preserve">D1153</t>
  </si>
  <si>
    <t xml:space="preserve">D1154</t>
  </si>
  <si>
    <t xml:space="preserve">D1155</t>
  </si>
  <si>
    <t xml:space="preserve">$10</t>
  </si>
  <si>
    <t xml:space="preserve">1985-06-08</t>
  </si>
  <si>
    <t xml:space="preserve">D1156</t>
  </si>
  <si>
    <t xml:space="preserve">1986-09-10</t>
  </si>
  <si>
    <t xml:space="preserve">D1157</t>
  </si>
  <si>
    <t xml:space="preserve">1993-03-11</t>
  </si>
  <si>
    <t xml:space="preserve">D1158</t>
  </si>
  <si>
    <t xml:space="preserve">D1159</t>
  </si>
  <si>
    <t xml:space="preserve">1990-09-14</t>
  </si>
  <si>
    <t xml:space="preserve">D1160</t>
  </si>
  <si>
    <t xml:space="preserve">1977-01-16</t>
  </si>
  <si>
    <t xml:space="preserve">D1161</t>
  </si>
  <si>
    <t xml:space="preserve">D1162</t>
  </si>
  <si>
    <t xml:space="preserve">1974-01-16</t>
  </si>
  <si>
    <t xml:space="preserve">D1163</t>
  </si>
  <si>
    <t xml:space="preserve">D1164</t>
  </si>
  <si>
    <t xml:space="preserve">D1165</t>
  </si>
  <si>
    <t xml:space="preserve">D1166</t>
  </si>
  <si>
    <t xml:space="preserve">1965-09-22</t>
  </si>
  <si>
    <t xml:space="preserve">D1167</t>
  </si>
  <si>
    <t xml:space="preserve">$500</t>
  </si>
  <si>
    <t xml:space="preserve">1957-09-22</t>
  </si>
  <si>
    <t xml:space="preserve">D1168</t>
  </si>
  <si>
    <t xml:space="preserve">D1169</t>
  </si>
  <si>
    <t xml:space="preserve">1944-09-26</t>
  </si>
  <si>
    <t xml:space="preserve">D1170</t>
  </si>
  <si>
    <t xml:space="preserve">D1171</t>
  </si>
  <si>
    <t xml:space="preserve">D1172</t>
  </si>
  <si>
    <t xml:space="preserve">D1173</t>
  </si>
  <si>
    <t xml:space="preserve">1934-12-15</t>
  </si>
  <si>
    <t xml:space="preserve">D1174</t>
  </si>
  <si>
    <t xml:space="preserve">D1175</t>
  </si>
  <si>
    <t xml:space="preserve">1982-03-16</t>
  </si>
  <si>
    <t xml:space="preserve">D1176</t>
  </si>
  <si>
    <t xml:space="preserve">$420</t>
  </si>
  <si>
    <t xml:space="preserve">D1177</t>
  </si>
  <si>
    <t xml:space="preserve">1937-12-16</t>
  </si>
  <si>
    <t xml:space="preserve">D1178</t>
  </si>
  <si>
    <t xml:space="preserve">1973-01-21</t>
  </si>
  <si>
    <t xml:space="preserve">D1179</t>
  </si>
  <si>
    <t xml:space="preserve">D1180</t>
  </si>
  <si>
    <t xml:space="preserve">$35</t>
  </si>
  <si>
    <t xml:space="preserve">1959-08-11</t>
  </si>
  <si>
    <t xml:space="preserve">D1181</t>
  </si>
  <si>
    <t xml:space="preserve">D1182</t>
  </si>
  <si>
    <t xml:space="preserve">1993-03-16</t>
  </si>
  <si>
    <t xml:space="preserve">D1183</t>
  </si>
  <si>
    <t xml:space="preserve">D1184</t>
  </si>
  <si>
    <t xml:space="preserve">1982-08-19</t>
  </si>
  <si>
    <t xml:space="preserve">D1185</t>
  </si>
  <si>
    <t xml:space="preserve">1925-03-09</t>
  </si>
  <si>
    <t xml:space="preserve">D1186</t>
  </si>
  <si>
    <t xml:space="preserve">$170</t>
  </si>
  <si>
    <t xml:space="preserve">D1187</t>
  </si>
  <si>
    <t xml:space="preserve">$110</t>
  </si>
  <si>
    <t xml:space="preserve">D1188</t>
  </si>
  <si>
    <t xml:space="preserve">1979-03-17</t>
  </si>
  <si>
    <t xml:space="preserve">D1189</t>
  </si>
  <si>
    <t xml:space="preserve">D1190</t>
  </si>
  <si>
    <t xml:space="preserve">D1191</t>
  </si>
  <si>
    <t xml:space="preserve">D1192</t>
  </si>
  <si>
    <t xml:space="preserve">D1193</t>
  </si>
  <si>
    <t xml:space="preserve">D1194</t>
  </si>
  <si>
    <t xml:space="preserve">D1195</t>
  </si>
  <si>
    <t xml:space="preserve">1956-09-13</t>
  </si>
  <si>
    <t xml:space="preserve">D1196</t>
  </si>
  <si>
    <t xml:space="preserve">1961-03-09</t>
  </si>
  <si>
    <t xml:space="preserve">D1197</t>
  </si>
  <si>
    <t xml:space="preserve">D1198</t>
  </si>
  <si>
    <t xml:space="preserve">D1199</t>
  </si>
  <si>
    <t xml:space="preserve">1942-03-03</t>
  </si>
  <si>
    <t xml:space="preserve">D1200</t>
  </si>
  <si>
    <t xml:space="preserve">D1201</t>
  </si>
  <si>
    <t xml:space="preserve">1948-05-14</t>
  </si>
  <si>
    <t xml:space="preserve">D1202</t>
  </si>
  <si>
    <t xml:space="preserve">$51</t>
  </si>
  <si>
    <t xml:space="preserve">D1203</t>
  </si>
  <si>
    <t xml:space="preserve">1951-01-21</t>
  </si>
  <si>
    <t xml:space="preserve">D1204</t>
  </si>
  <si>
    <t xml:space="preserve">D1205</t>
  </si>
  <si>
    <t xml:space="preserve">1975-03-03</t>
  </si>
  <si>
    <t xml:space="preserve">D1206</t>
  </si>
  <si>
    <t xml:space="preserve">D1207</t>
  </si>
  <si>
    <t xml:space="preserve">D1208</t>
  </si>
  <si>
    <t xml:space="preserve">$5,000</t>
  </si>
  <si>
    <t xml:space="preserve">D1209</t>
  </si>
  <si>
    <t xml:space="preserve">$384</t>
  </si>
  <si>
    <t xml:space="preserve">D1210</t>
  </si>
  <si>
    <t xml:space="preserve">$60</t>
  </si>
  <si>
    <t xml:space="preserve">D1211</t>
  </si>
  <si>
    <t xml:space="preserve">D1212</t>
  </si>
  <si>
    <t xml:space="preserve">1994-09-10</t>
  </si>
  <si>
    <t xml:space="preserve">D1213</t>
  </si>
  <si>
    <t xml:space="preserve">1975-09-11</t>
  </si>
  <si>
    <t xml:space="preserve">D1214</t>
  </si>
  <si>
    <t xml:space="preserve">FAMILY DONOR</t>
  </si>
  <si>
    <t xml:space="preserve">D1215</t>
  </si>
  <si>
    <t xml:space="preserve">1986-12-19</t>
  </si>
  <si>
    <t xml:space="preserve">D1216</t>
  </si>
  <si>
    <t xml:space="preserve">D1217</t>
  </si>
  <si>
    <t xml:space="preserve">1978-06-19</t>
  </si>
  <si>
    <t xml:space="preserve">D1218</t>
  </si>
  <si>
    <t xml:space="preserve">D1219</t>
  </si>
  <si>
    <t xml:space="preserve">D1220</t>
  </si>
  <si>
    <t xml:space="preserve">D1221</t>
  </si>
  <si>
    <t xml:space="preserve">D1222</t>
  </si>
  <si>
    <t xml:space="preserve">1987-05-23</t>
  </si>
  <si>
    <t xml:space="preserve">D1223</t>
  </si>
  <si>
    <t xml:space="preserve">1932-06-15</t>
  </si>
  <si>
    <t xml:space="preserve">D1224</t>
  </si>
  <si>
    <t xml:space="preserve">D1225</t>
  </si>
  <si>
    <t xml:space="preserve">1954-05-11</t>
  </si>
  <si>
    <t xml:space="preserve">D1226</t>
  </si>
  <si>
    <t xml:space="preserve">D1227</t>
  </si>
  <si>
    <t xml:space="preserve">$270</t>
  </si>
  <si>
    <t xml:space="preserve">D1228</t>
  </si>
  <si>
    <t xml:space="preserve">1985-03-19</t>
  </si>
  <si>
    <t xml:space="preserve">D1229</t>
  </si>
  <si>
    <t xml:space="preserve">D1230</t>
  </si>
  <si>
    <t xml:space="preserve">D1231</t>
  </si>
  <si>
    <t xml:space="preserve">1997-03-08</t>
  </si>
  <si>
    <t xml:space="preserve">D1232</t>
  </si>
  <si>
    <t xml:space="preserve">1941-09-10</t>
  </si>
  <si>
    <t xml:space="preserve">D1233</t>
  </si>
  <si>
    <t xml:space="preserve">D1234</t>
  </si>
  <si>
    <t xml:space="preserve">D1235</t>
  </si>
  <si>
    <t xml:space="preserve">1982-03-19</t>
  </si>
  <si>
    <t xml:space="preserve">D1236</t>
  </si>
  <si>
    <t xml:space="preserve">1937-03-15</t>
  </si>
  <si>
    <t xml:space="preserve">D1237</t>
  </si>
  <si>
    <t xml:space="preserve">1990-09-10</t>
  </si>
  <si>
    <t xml:space="preserve">D1238</t>
  </si>
  <si>
    <t xml:space="preserve">D1239</t>
  </si>
  <si>
    <t xml:space="preserve">1956-08-09</t>
  </si>
  <si>
    <t xml:space="preserve">D1240</t>
  </si>
  <si>
    <t xml:space="preserve">1933-03-08</t>
  </si>
  <si>
    <t xml:space="preserve">D1241</t>
  </si>
  <si>
    <t xml:space="preserve">D1242</t>
  </si>
  <si>
    <t xml:space="preserve">$96</t>
  </si>
  <si>
    <t xml:space="preserve">D1243</t>
  </si>
  <si>
    <t xml:space="preserve">1947-09-13</t>
  </si>
  <si>
    <t xml:space="preserve">D1244</t>
  </si>
  <si>
    <t xml:space="preserve">1956-06-21</t>
  </si>
  <si>
    <t xml:space="preserve">D1245</t>
  </si>
  <si>
    <t xml:space="preserve">D1246</t>
  </si>
  <si>
    <t xml:space="preserve">1996-09-08</t>
  </si>
  <si>
    <t xml:space="preserve">D1247</t>
  </si>
  <si>
    <t xml:space="preserve">D1248</t>
  </si>
  <si>
    <t xml:space="preserve">D1249</t>
  </si>
  <si>
    <t xml:space="preserve">D1250</t>
  </si>
  <si>
    <t xml:space="preserve">D1251</t>
  </si>
  <si>
    <t xml:space="preserve">D1252</t>
  </si>
  <si>
    <t xml:space="preserve">1980-09-14</t>
  </si>
  <si>
    <t xml:space="preserve">D1253</t>
  </si>
  <si>
    <t xml:space="preserve">D1254</t>
  </si>
  <si>
    <t xml:space="preserve">D1255</t>
  </si>
  <si>
    <t xml:space="preserve">1981-09-14</t>
  </si>
  <si>
    <t xml:space="preserve">D1256</t>
  </si>
  <si>
    <t xml:space="preserve">D1257</t>
  </si>
  <si>
    <t xml:space="preserve">1972-01-19</t>
  </si>
  <si>
    <t xml:space="preserve">D1258</t>
  </si>
  <si>
    <t xml:space="preserve">1959-12-09</t>
  </si>
  <si>
    <t xml:space="preserve">D1259</t>
  </si>
  <si>
    <t xml:space="preserve">1975-12-11</t>
  </si>
  <si>
    <t xml:space="preserve">D1260</t>
  </si>
  <si>
    <t xml:space="preserve">1993-12-17</t>
  </si>
  <si>
    <t xml:space="preserve">D1261</t>
  </si>
  <si>
    <t xml:space="preserve">1966-12-21</t>
  </si>
  <si>
    <t xml:space="preserve">D1262</t>
  </si>
  <si>
    <t xml:space="preserve">D1263</t>
  </si>
  <si>
    <t xml:space="preserve">1962-03-15</t>
  </si>
  <si>
    <t xml:space="preserve">D1264</t>
  </si>
  <si>
    <t xml:space="preserve">D1265</t>
  </si>
  <si>
    <t xml:space="preserve">D1266</t>
  </si>
  <si>
    <t xml:space="preserve">D1267</t>
  </si>
  <si>
    <t xml:space="preserve">D1268</t>
  </si>
  <si>
    <t xml:space="preserve">D1269</t>
  </si>
  <si>
    <t xml:space="preserve">1972-06-11</t>
  </si>
  <si>
    <t xml:space="preserve">D1270</t>
  </si>
  <si>
    <t xml:space="preserve">D1271</t>
  </si>
  <si>
    <t xml:space="preserve">D1272</t>
  </si>
  <si>
    <t xml:space="preserve">1969-05-10</t>
  </si>
  <si>
    <t xml:space="preserve">D1273</t>
  </si>
  <si>
    <t xml:space="preserve">1980-12-19</t>
  </si>
  <si>
    <t xml:space="preserve">D1274</t>
  </si>
  <si>
    <t xml:space="preserve">D1275</t>
  </si>
  <si>
    <t xml:space="preserve">1991-09-16</t>
  </si>
  <si>
    <t xml:space="preserve">D1276</t>
  </si>
  <si>
    <t xml:space="preserve">1949-09-08</t>
  </si>
  <si>
    <t xml:space="preserve">D1277</t>
  </si>
  <si>
    <t xml:space="preserve">D1278</t>
  </si>
  <si>
    <t xml:space="preserve">D1279</t>
  </si>
  <si>
    <t xml:space="preserve">1989-03-17</t>
  </si>
  <si>
    <t xml:space="preserve">D1280</t>
  </si>
  <si>
    <t xml:space="preserve">D1281</t>
  </si>
  <si>
    <t xml:space="preserve">1947-12-01</t>
  </si>
  <si>
    <t xml:space="preserve">D1282</t>
  </si>
  <si>
    <t xml:space="preserve">1983-08-05</t>
  </si>
  <si>
    <t xml:space="preserve">D1283</t>
  </si>
  <si>
    <t xml:space="preserve">1987-03-11</t>
  </si>
  <si>
    <t xml:space="preserve">D1284</t>
  </si>
  <si>
    <t xml:space="preserve">$500,000-$999,999</t>
  </si>
  <si>
    <t xml:space="preserve">$8,772</t>
  </si>
  <si>
    <t xml:space="preserve">D1285</t>
  </si>
  <si>
    <t xml:space="preserve">D1286</t>
  </si>
  <si>
    <t xml:space="preserve">$130</t>
  </si>
  <si>
    <t xml:space="preserve">D1287</t>
  </si>
  <si>
    <t xml:space="preserve">D1288</t>
  </si>
  <si>
    <t xml:space="preserve">$640</t>
  </si>
  <si>
    <t xml:space="preserve">1963-05-20</t>
  </si>
  <si>
    <t xml:space="preserve">D1289</t>
  </si>
  <si>
    <t xml:space="preserve">1976-09-16</t>
  </si>
  <si>
    <t xml:space="preserve">D1290</t>
  </si>
  <si>
    <t xml:space="preserve">D1291</t>
  </si>
  <si>
    <t xml:space="preserve">D1292</t>
  </si>
  <si>
    <t xml:space="preserve">D1293</t>
  </si>
  <si>
    <t xml:space="preserve">D1294</t>
  </si>
  <si>
    <t xml:space="preserve">1983-06-17</t>
  </si>
  <si>
    <t xml:space="preserve">D1295</t>
  </si>
  <si>
    <t xml:space="preserve">D1296</t>
  </si>
  <si>
    <t xml:space="preserve">1977-03-16</t>
  </si>
  <si>
    <t xml:space="preserve">D1297</t>
  </si>
  <si>
    <t xml:space="preserve">$630</t>
  </si>
  <si>
    <t xml:space="preserve">1942-05-01</t>
  </si>
  <si>
    <t xml:space="preserve">D1298</t>
  </si>
  <si>
    <t xml:space="preserve">D1299</t>
  </si>
  <si>
    <t xml:space="preserve">1983-09-20</t>
  </si>
  <si>
    <t xml:space="preserve">D1300</t>
  </si>
  <si>
    <t xml:space="preserve">$26</t>
  </si>
  <si>
    <t xml:space="preserve">1982-09-13</t>
  </si>
  <si>
    <t xml:space="preserve">D1301</t>
  </si>
  <si>
    <t xml:space="preserve">D1302</t>
  </si>
  <si>
    <t xml:space="preserve">D1303</t>
  </si>
  <si>
    <t xml:space="preserve">D1304</t>
  </si>
  <si>
    <t xml:space="preserve">D1305</t>
  </si>
  <si>
    <t xml:space="preserve">$70</t>
  </si>
  <si>
    <t xml:space="preserve">D1306</t>
  </si>
  <si>
    <t xml:space="preserve">$328</t>
  </si>
  <si>
    <t xml:space="preserve">1970-08-11</t>
  </si>
  <si>
    <t xml:space="preserve">D1307</t>
  </si>
  <si>
    <t xml:space="preserve">1980-05-14</t>
  </si>
  <si>
    <t xml:space="preserve">D1308</t>
  </si>
  <si>
    <t xml:space="preserve">D1309</t>
  </si>
  <si>
    <t xml:space="preserve">D1310</t>
  </si>
  <si>
    <t xml:space="preserve">D1311</t>
  </si>
  <si>
    <t xml:space="preserve">1976-09-14</t>
  </si>
  <si>
    <t xml:space="preserve">D1312</t>
  </si>
  <si>
    <t xml:space="preserve">D1313</t>
  </si>
  <si>
    <t xml:space="preserve">D1314</t>
  </si>
  <si>
    <t xml:space="preserve">$2,500</t>
  </si>
  <si>
    <t xml:space="preserve">$1,500</t>
  </si>
  <si>
    <t xml:space="preserve">1980-05-10</t>
  </si>
  <si>
    <t xml:space="preserve">D1315</t>
  </si>
  <si>
    <t xml:space="preserve">D1316</t>
  </si>
  <si>
    <t xml:space="preserve">1979-09-14</t>
  </si>
  <si>
    <t xml:space="preserve">D1317</t>
  </si>
  <si>
    <t xml:space="preserve">D1318</t>
  </si>
  <si>
    <t xml:space="preserve">D1319</t>
  </si>
  <si>
    <t xml:space="preserve">D1320</t>
  </si>
  <si>
    <t xml:space="preserve">1990-09-16</t>
  </si>
  <si>
    <t xml:space="preserve">D1321</t>
  </si>
  <si>
    <t xml:space="preserve">1992-09-10</t>
  </si>
  <si>
    <t xml:space="preserve">D1322</t>
  </si>
  <si>
    <t xml:space="preserve">D1323</t>
  </si>
  <si>
    <t xml:space="preserve">D1324</t>
  </si>
  <si>
    <t xml:space="preserve">D1325</t>
  </si>
  <si>
    <t xml:space="preserve">D1326</t>
  </si>
  <si>
    <t xml:space="preserve">1993-05-26</t>
  </si>
  <si>
    <t xml:space="preserve">D1327</t>
  </si>
  <si>
    <t xml:space="preserve">1988-03-11</t>
  </si>
  <si>
    <t xml:space="preserve">D1328</t>
  </si>
  <si>
    <t xml:space="preserve">D1329</t>
  </si>
  <si>
    <t xml:space="preserve">1977-01-11</t>
  </si>
  <si>
    <t xml:space="preserve">D1330</t>
  </si>
  <si>
    <t xml:space="preserve">D1331</t>
  </si>
  <si>
    <t xml:space="preserve">D1332</t>
  </si>
  <si>
    <t xml:space="preserve">D1333</t>
  </si>
  <si>
    <t xml:space="preserve">1965-09-10</t>
  </si>
  <si>
    <t xml:space="preserve">D1334</t>
  </si>
  <si>
    <t xml:space="preserve">1999-05-22</t>
  </si>
  <si>
    <t xml:space="preserve">D1335</t>
  </si>
  <si>
    <t xml:space="preserve">1988-05-14</t>
  </si>
  <si>
    <t xml:space="preserve">D1336</t>
  </si>
  <si>
    <t xml:space="preserve">D1337</t>
  </si>
  <si>
    <t xml:space="preserve">D1338</t>
  </si>
  <si>
    <t xml:space="preserve">D1339</t>
  </si>
  <si>
    <t xml:space="preserve">D1340</t>
  </si>
  <si>
    <t xml:space="preserve">D1341</t>
  </si>
  <si>
    <t xml:space="preserve">D1342</t>
  </si>
  <si>
    <t xml:space="preserve">$1,200</t>
  </si>
  <si>
    <t xml:space="preserve">D1343</t>
  </si>
  <si>
    <t xml:space="preserve">1986-03-08</t>
  </si>
  <si>
    <t xml:space="preserve">D1344</t>
  </si>
  <si>
    <t xml:space="preserve">1961-05-01</t>
  </si>
  <si>
    <t xml:space="preserve">D1345</t>
  </si>
  <si>
    <t xml:space="preserve">D1346</t>
  </si>
  <si>
    <t xml:space="preserve">D1347</t>
  </si>
  <si>
    <t xml:space="preserve">D1348</t>
  </si>
  <si>
    <t xml:space="preserve">1990-03-11</t>
  </si>
  <si>
    <t xml:space="preserve">D1349</t>
  </si>
  <si>
    <t xml:space="preserve">D1350</t>
  </si>
  <si>
    <t xml:space="preserve">1971-03-19</t>
  </si>
  <si>
    <t xml:space="preserve">D1351</t>
  </si>
  <si>
    <t xml:space="preserve">1967-05-08</t>
  </si>
  <si>
    <t xml:space="preserve">D1352</t>
  </si>
  <si>
    <t xml:space="preserve">D1353</t>
  </si>
  <si>
    <t xml:space="preserve">D1354</t>
  </si>
  <si>
    <t xml:space="preserve">D1355</t>
  </si>
  <si>
    <t xml:space="preserve">D1356</t>
  </si>
  <si>
    <t xml:space="preserve">D1357</t>
  </si>
  <si>
    <t xml:space="preserve">D1358</t>
  </si>
  <si>
    <t xml:space="preserve">D1359</t>
  </si>
  <si>
    <t xml:space="preserve">$375</t>
  </si>
  <si>
    <t xml:space="preserve">D1360</t>
  </si>
  <si>
    <t xml:space="preserve">D1361</t>
  </si>
  <si>
    <t xml:space="preserve">D1362</t>
  </si>
  <si>
    <t xml:space="preserve">D1363</t>
  </si>
  <si>
    <t xml:space="preserve">D1364</t>
  </si>
  <si>
    <t xml:space="preserve">D1365</t>
  </si>
  <si>
    <t xml:space="preserve">1971-01-15</t>
  </si>
  <si>
    <t xml:space="preserve">D1366</t>
  </si>
  <si>
    <t xml:space="preserve">D1367</t>
  </si>
  <si>
    <t xml:space="preserve">D1368</t>
  </si>
  <si>
    <t xml:space="preserve">D1369</t>
  </si>
  <si>
    <t xml:space="preserve">D1370</t>
  </si>
  <si>
    <t xml:space="preserve">D1371</t>
  </si>
  <si>
    <t xml:space="preserve">1921-12-08</t>
  </si>
  <si>
    <t xml:space="preserve">D1372</t>
  </si>
  <si>
    <t xml:space="preserve">D1373</t>
  </si>
  <si>
    <t xml:space="preserve">D1374</t>
  </si>
  <si>
    <t xml:space="preserve">1985-09-08</t>
  </si>
  <si>
    <t xml:space="preserve">D1375</t>
  </si>
  <si>
    <t xml:space="preserve">D1376</t>
  </si>
  <si>
    <t xml:space="preserve">D1377</t>
  </si>
  <si>
    <t xml:space="preserve">D1378</t>
  </si>
  <si>
    <t xml:space="preserve">D1379</t>
  </si>
  <si>
    <t xml:space="preserve">D1380</t>
  </si>
  <si>
    <t xml:space="preserve">D1381</t>
  </si>
  <si>
    <t xml:space="preserve">D1382</t>
  </si>
  <si>
    <t xml:space="preserve">1981-05-10</t>
  </si>
  <si>
    <t xml:space="preserve">D1383</t>
  </si>
  <si>
    <t xml:space="preserve">$360</t>
  </si>
  <si>
    <t xml:space="preserve">1982-08-05</t>
  </si>
  <si>
    <t xml:space="preserve">D1384</t>
  </si>
  <si>
    <t xml:space="preserve">1960-12-11</t>
  </si>
  <si>
    <t xml:space="preserve">D1385</t>
  </si>
  <si>
    <t xml:space="preserve">D1386</t>
  </si>
  <si>
    <t xml:space="preserve">1966-12-01</t>
  </si>
  <si>
    <t xml:space="preserve">D1387</t>
  </si>
  <si>
    <t xml:space="preserve">D1388</t>
  </si>
  <si>
    <t xml:space="preserve">D1389</t>
  </si>
  <si>
    <t xml:space="preserve">1965-05-11</t>
  </si>
  <si>
    <t xml:space="preserve">D1390</t>
  </si>
  <si>
    <t xml:space="preserve">D1391</t>
  </si>
  <si>
    <t xml:space="preserve">1982-12-08</t>
  </si>
  <si>
    <t xml:space="preserve">D1392</t>
  </si>
  <si>
    <t xml:space="preserve">1977-03-08</t>
  </si>
  <si>
    <t xml:space="preserve">D1393</t>
  </si>
  <si>
    <t xml:space="preserve">1950-09-01</t>
  </si>
  <si>
    <t xml:space="preserve">D1394</t>
  </si>
  <si>
    <t xml:space="preserve">D1395</t>
  </si>
  <si>
    <t xml:space="preserve">D1396</t>
  </si>
  <si>
    <t xml:space="preserve">D1397</t>
  </si>
  <si>
    <t xml:space="preserve">1982-08-11</t>
  </si>
  <si>
    <t xml:space="preserve">D1398</t>
  </si>
  <si>
    <t xml:space="preserve">D1399</t>
  </si>
  <si>
    <t xml:space="preserve">D1400</t>
  </si>
  <si>
    <t xml:space="preserve">1975-05-22</t>
  </si>
  <si>
    <t xml:space="preserve">D1401</t>
  </si>
  <si>
    <t xml:space="preserve">D1402</t>
  </si>
  <si>
    <t xml:space="preserve">$180</t>
  </si>
  <si>
    <t xml:space="preserve">D1403</t>
  </si>
  <si>
    <t xml:space="preserve">1985-08-09</t>
  </si>
  <si>
    <t xml:space="preserve">D1404</t>
  </si>
  <si>
    <t xml:space="preserve">D1405</t>
  </si>
  <si>
    <t xml:space="preserve">1957-12-16</t>
  </si>
  <si>
    <t xml:space="preserve">D1406</t>
  </si>
  <si>
    <t xml:space="preserve">D1407</t>
  </si>
  <si>
    <t xml:space="preserve">D1408</t>
  </si>
  <si>
    <t xml:space="preserve">D1409</t>
  </si>
  <si>
    <t xml:space="preserve">1989-09-14</t>
  </si>
  <si>
    <t xml:space="preserve">D1410</t>
  </si>
  <si>
    <t xml:space="preserve">D1411</t>
  </si>
  <si>
    <t xml:space="preserve">$8</t>
  </si>
  <si>
    <t xml:space="preserve">1986-09-01</t>
  </si>
  <si>
    <t xml:space="preserve">D1412</t>
  </si>
  <si>
    <t xml:space="preserve">$190</t>
  </si>
  <si>
    <t xml:space="preserve">1953-01-19</t>
  </si>
  <si>
    <t xml:space="preserve">D1413</t>
  </si>
  <si>
    <t xml:space="preserve">1987-09-16</t>
  </si>
  <si>
    <t xml:space="preserve">D1414</t>
  </si>
  <si>
    <t xml:space="preserve">D1415</t>
  </si>
  <si>
    <t xml:space="preserve">1980-12-10</t>
  </si>
  <si>
    <t xml:space="preserve">D1416</t>
  </si>
  <si>
    <t xml:space="preserve">D1417</t>
  </si>
  <si>
    <t xml:space="preserve">D1418</t>
  </si>
  <si>
    <t xml:space="preserve">1986-06-17</t>
  </si>
  <si>
    <t xml:space="preserve">D1419</t>
  </si>
  <si>
    <t xml:space="preserve">D1420</t>
  </si>
  <si>
    <t xml:space="preserve">1981-06-17</t>
  </si>
  <si>
    <t xml:space="preserve">D1421</t>
  </si>
  <si>
    <t xml:space="preserve">1964-06-05</t>
  </si>
  <si>
    <t xml:space="preserve">D1422</t>
  </si>
  <si>
    <t xml:space="preserve">1947-05-26</t>
  </si>
  <si>
    <t xml:space="preserve">D1423</t>
  </si>
  <si>
    <t xml:space="preserve">1935-03-19</t>
  </si>
  <si>
    <t xml:space="preserve">D1424</t>
  </si>
  <si>
    <t xml:space="preserve">D1425</t>
  </si>
  <si>
    <t xml:space="preserve">1969-09-16</t>
  </si>
  <si>
    <t xml:space="preserve">D1426</t>
  </si>
  <si>
    <t xml:space="preserve">D1427</t>
  </si>
  <si>
    <t xml:space="preserve">D1428</t>
  </si>
  <si>
    <t xml:space="preserve">D1429</t>
  </si>
  <si>
    <t xml:space="preserve">1985-09-11</t>
  </si>
  <si>
    <t xml:space="preserve">D1430</t>
  </si>
  <si>
    <t xml:space="preserve">D1431</t>
  </si>
  <si>
    <t xml:space="preserve">D1432</t>
  </si>
  <si>
    <t xml:space="preserve">1982-05-13</t>
  </si>
  <si>
    <t xml:space="preserve">D1433</t>
  </si>
  <si>
    <t xml:space="preserve">1978-03-21</t>
  </si>
  <si>
    <t xml:space="preserve">D1434</t>
  </si>
  <si>
    <t xml:space="preserve">D1435</t>
  </si>
  <si>
    <t xml:space="preserve">D1436</t>
  </si>
  <si>
    <t xml:space="preserve">D1437</t>
  </si>
  <si>
    <t xml:space="preserve">$180,100</t>
  </si>
  <si>
    <t xml:space="preserve">$3,000</t>
  </si>
  <si>
    <t xml:space="preserve">D1438</t>
  </si>
  <si>
    <t xml:space="preserve">1988-01-16</t>
  </si>
  <si>
    <t xml:space="preserve">D1439</t>
  </si>
  <si>
    <t xml:space="preserve">D1440</t>
  </si>
  <si>
    <t xml:space="preserve">D1441</t>
  </si>
  <si>
    <t xml:space="preserve">D1442</t>
  </si>
  <si>
    <t xml:space="preserve">D1443</t>
  </si>
  <si>
    <t xml:space="preserve">D1444</t>
  </si>
  <si>
    <t xml:space="preserve">D1445</t>
  </si>
  <si>
    <t xml:space="preserve">D1446</t>
  </si>
  <si>
    <t xml:space="preserve">1983-05-22</t>
  </si>
  <si>
    <t xml:space="preserve">D1447</t>
  </si>
  <si>
    <t xml:space="preserve">1966-09-16</t>
  </si>
  <si>
    <t xml:space="preserve">D1448</t>
  </si>
  <si>
    <t xml:space="preserve">1976-12-13</t>
  </si>
  <si>
    <t xml:space="preserve">D1449</t>
  </si>
  <si>
    <t xml:space="preserve">D1450</t>
  </si>
  <si>
    <t xml:space="preserve">$125</t>
  </si>
  <si>
    <t xml:space="preserve">D1451</t>
  </si>
  <si>
    <t xml:space="preserve">1966-09-10</t>
  </si>
  <si>
    <t xml:space="preserve">D1452</t>
  </si>
  <si>
    <t xml:space="preserve">1987-01-23</t>
  </si>
  <si>
    <t xml:space="preserve">D1453</t>
  </si>
  <si>
    <t xml:space="preserve">1961-09-10</t>
  </si>
  <si>
    <t xml:space="preserve">D1454</t>
  </si>
  <si>
    <t xml:space="preserve">1949-06-17</t>
  </si>
  <si>
    <t xml:space="preserve">D1455</t>
  </si>
  <si>
    <t xml:space="preserve">1984-09-26</t>
  </si>
  <si>
    <t xml:space="preserve">D1456</t>
  </si>
  <si>
    <t xml:space="preserve">D1457</t>
  </si>
  <si>
    <t xml:space="preserve">1979-12-01</t>
  </si>
  <si>
    <t xml:space="preserve">D1458</t>
  </si>
  <si>
    <t xml:space="preserve">1969-06-16</t>
  </si>
  <si>
    <t xml:space="preserve">D1459</t>
  </si>
  <si>
    <t xml:space="preserve">D1460</t>
  </si>
  <si>
    <t xml:space="preserve">1955-08-16</t>
  </si>
  <si>
    <t xml:space="preserve">D1461</t>
  </si>
  <si>
    <t xml:space="preserve">1993-12-10</t>
  </si>
  <si>
    <t xml:space="preserve">D1462</t>
  </si>
  <si>
    <t xml:space="preserve">D1463</t>
  </si>
  <si>
    <t xml:space="preserve">D1464</t>
  </si>
  <si>
    <t xml:space="preserve">D1465</t>
  </si>
  <si>
    <t xml:space="preserve">1964-03-19</t>
  </si>
  <si>
    <t xml:space="preserve">D1466</t>
  </si>
  <si>
    <t xml:space="preserve">1990-09-22</t>
  </si>
  <si>
    <t xml:space="preserve">D1467</t>
  </si>
  <si>
    <t xml:space="preserve">D1468</t>
  </si>
  <si>
    <t xml:space="preserve">D1469</t>
  </si>
  <si>
    <t xml:space="preserve">1976-12-17</t>
  </si>
  <si>
    <t xml:space="preserve">D1470</t>
  </si>
  <si>
    <t xml:space="preserve">D1471</t>
  </si>
  <si>
    <t xml:space="preserve">D1472</t>
  </si>
  <si>
    <t xml:space="preserve">1944-06-09</t>
  </si>
  <si>
    <t xml:space="preserve">D1473</t>
  </si>
  <si>
    <t xml:space="preserve">1948-06-19</t>
  </si>
  <si>
    <t xml:space="preserve">D1474</t>
  </si>
  <si>
    <t xml:space="preserve">D1475</t>
  </si>
  <si>
    <t xml:space="preserve">D1476</t>
  </si>
  <si>
    <t xml:space="preserve">D1477</t>
  </si>
  <si>
    <t xml:space="preserve">D1478</t>
  </si>
  <si>
    <t xml:space="preserve">1993-09-23</t>
  </si>
  <si>
    <t xml:space="preserve">D1479</t>
  </si>
  <si>
    <t xml:space="preserve">D1480</t>
  </si>
  <si>
    <t xml:space="preserve">1994-08-05</t>
  </si>
  <si>
    <t xml:space="preserve">D1481</t>
  </si>
  <si>
    <t xml:space="preserve">D1482</t>
  </si>
  <si>
    <t xml:space="preserve">D1483</t>
  </si>
  <si>
    <t xml:space="preserve">1980-12-13</t>
  </si>
  <si>
    <t xml:space="preserve">D1484</t>
  </si>
  <si>
    <t xml:space="preserve">$600</t>
  </si>
  <si>
    <t xml:space="preserve">D1485</t>
  </si>
  <si>
    <t xml:space="preserve">1958-06-11</t>
  </si>
  <si>
    <t xml:space="preserve">D1486</t>
  </si>
  <si>
    <t xml:space="preserve">1953-09-14</t>
  </si>
  <si>
    <t xml:space="preserve">D1487</t>
  </si>
  <si>
    <t xml:space="preserve">D1488</t>
  </si>
  <si>
    <t xml:space="preserve">1964-09-10</t>
  </si>
  <si>
    <t xml:space="preserve">D1489</t>
  </si>
  <si>
    <t xml:space="preserve">D1490</t>
  </si>
  <si>
    <t xml:space="preserve">D1491</t>
  </si>
  <si>
    <t xml:space="preserve">1941-09-22</t>
  </si>
  <si>
    <t xml:space="preserve">D1492</t>
  </si>
  <si>
    <t xml:space="preserve">1990-03-23</t>
  </si>
  <si>
    <t xml:space="preserve">D1493</t>
  </si>
  <si>
    <t xml:space="preserve">D1494</t>
  </si>
  <si>
    <t xml:space="preserve">D1495</t>
  </si>
  <si>
    <t xml:space="preserve">D1496</t>
  </si>
  <si>
    <t xml:space="preserve">D1497</t>
  </si>
  <si>
    <t xml:space="preserve">D1498</t>
  </si>
  <si>
    <t xml:space="preserve">D1499</t>
  </si>
  <si>
    <t xml:space="preserve">1941-05-01</t>
  </si>
  <si>
    <t xml:space="preserve">D1500</t>
  </si>
  <si>
    <t xml:space="preserve">1967-05-10</t>
  </si>
  <si>
    <t xml:space="preserve">D1501</t>
  </si>
  <si>
    <t xml:space="preserve">D1502</t>
  </si>
  <si>
    <t xml:space="preserve">D1503</t>
  </si>
  <si>
    <t xml:space="preserve">D1504</t>
  </si>
  <si>
    <t xml:space="preserve">1994-03-08</t>
  </si>
  <si>
    <t xml:space="preserve">D1505</t>
  </si>
  <si>
    <t xml:space="preserve">1940-05-11</t>
  </si>
  <si>
    <t xml:space="preserve">D1506</t>
  </si>
  <si>
    <t xml:space="preserve">D1507</t>
  </si>
  <si>
    <t xml:space="preserve">$240</t>
  </si>
  <si>
    <t xml:space="preserve">1964-06-19</t>
  </si>
  <si>
    <t xml:space="preserve">D1508</t>
  </si>
  <si>
    <t xml:space="preserve">1964-09-08</t>
  </si>
  <si>
    <t xml:space="preserve">D1509</t>
  </si>
  <si>
    <t xml:space="preserve">D1510</t>
  </si>
  <si>
    <t xml:space="preserve">$18</t>
  </si>
  <si>
    <t xml:space="preserve">D1511</t>
  </si>
  <si>
    <t xml:space="preserve">1989-09-20</t>
  </si>
  <si>
    <t xml:space="preserve">D1512</t>
  </si>
  <si>
    <t xml:space="preserve">D1513</t>
  </si>
  <si>
    <t xml:space="preserve">D1514</t>
  </si>
  <si>
    <t xml:space="preserve">1973-05-22</t>
  </si>
  <si>
    <t xml:space="preserve">D1515</t>
  </si>
  <si>
    <t xml:space="preserve">D1516</t>
  </si>
  <si>
    <t xml:space="preserve">D1517</t>
  </si>
  <si>
    <t xml:space="preserve">D1518</t>
  </si>
  <si>
    <t xml:space="preserve">D1519</t>
  </si>
  <si>
    <t xml:space="preserve">D1520</t>
  </si>
  <si>
    <t xml:space="preserve">1997-09-20</t>
  </si>
  <si>
    <t xml:space="preserve">D1521</t>
  </si>
  <si>
    <t xml:space="preserve">D1522</t>
  </si>
  <si>
    <t xml:space="preserve">D1523</t>
  </si>
  <si>
    <t xml:space="preserve">D1524</t>
  </si>
  <si>
    <t xml:space="preserve">D1525</t>
  </si>
  <si>
    <t xml:space="preserve">D1526</t>
  </si>
  <si>
    <t xml:space="preserve">D1527</t>
  </si>
  <si>
    <t xml:space="preserve">D1528</t>
  </si>
  <si>
    <t xml:space="preserve">D1529</t>
  </si>
  <si>
    <t xml:space="preserve">1982-03-23</t>
  </si>
  <si>
    <t xml:space="preserve">D1530</t>
  </si>
  <si>
    <t xml:space="preserve">1987-08-23</t>
  </si>
  <si>
    <t xml:space="preserve">D1531</t>
  </si>
  <si>
    <t xml:space="preserve">1977-12-05</t>
  </si>
  <si>
    <t xml:space="preserve">D1532</t>
  </si>
  <si>
    <t xml:space="preserve">1979-09-16</t>
  </si>
  <si>
    <t xml:space="preserve">D1533</t>
  </si>
  <si>
    <t xml:space="preserve">1992-03-03</t>
  </si>
  <si>
    <t xml:space="preserve">D1534</t>
  </si>
  <si>
    <t xml:space="preserve">1985-05-13</t>
  </si>
  <si>
    <t xml:space="preserve">D1535</t>
  </si>
  <si>
    <t xml:space="preserve">D1536</t>
  </si>
  <si>
    <t xml:space="preserve">1982-05-10</t>
  </si>
  <si>
    <t xml:space="preserve">D1537</t>
  </si>
  <si>
    <t xml:space="preserve">D1538</t>
  </si>
  <si>
    <t xml:space="preserve">D1539</t>
  </si>
  <si>
    <t xml:space="preserve">D1540</t>
  </si>
  <si>
    <t xml:space="preserve">D1541</t>
  </si>
  <si>
    <t xml:space="preserve">D1542</t>
  </si>
  <si>
    <t xml:space="preserve">D1543</t>
  </si>
  <si>
    <t xml:space="preserve">D1544</t>
  </si>
  <si>
    <t xml:space="preserve">1945-01-17</t>
  </si>
  <si>
    <t xml:space="preserve">D1545</t>
  </si>
  <si>
    <t xml:space="preserve">D1546</t>
  </si>
  <si>
    <t xml:space="preserve">D1547</t>
  </si>
  <si>
    <t xml:space="preserve">D1548</t>
  </si>
  <si>
    <t xml:space="preserve">1962-12-14</t>
  </si>
  <si>
    <t xml:space="preserve">D1549</t>
  </si>
  <si>
    <t xml:space="preserve">1944-12-08</t>
  </si>
  <si>
    <t xml:space="preserve">D1550</t>
  </si>
  <si>
    <t xml:space="preserve">D1551</t>
  </si>
  <si>
    <t xml:space="preserve">1989-05-14</t>
  </si>
  <si>
    <t xml:space="preserve">D1552</t>
  </si>
  <si>
    <t xml:space="preserve">D1553</t>
  </si>
  <si>
    <t xml:space="preserve">1938-12-08</t>
  </si>
  <si>
    <t xml:space="preserve">D1554</t>
  </si>
  <si>
    <t xml:space="preserve">1956-01-05</t>
  </si>
  <si>
    <t xml:space="preserve">D1555</t>
  </si>
  <si>
    <t xml:space="preserve">D1556</t>
  </si>
  <si>
    <t xml:space="preserve">D1557</t>
  </si>
  <si>
    <t xml:space="preserve">D1558</t>
  </si>
  <si>
    <t xml:space="preserve">D1559</t>
  </si>
  <si>
    <t xml:space="preserve">D1560</t>
  </si>
  <si>
    <t xml:space="preserve">D1561</t>
  </si>
  <si>
    <t xml:space="preserve">1952-09-01</t>
  </si>
  <si>
    <t xml:space="preserve">D1562</t>
  </si>
  <si>
    <t xml:space="preserve">D1563</t>
  </si>
  <si>
    <t xml:space="preserve">$350</t>
  </si>
  <si>
    <t xml:space="preserve">D1564</t>
  </si>
  <si>
    <t xml:space="preserve">1972-01-05</t>
  </si>
  <si>
    <t xml:space="preserve">D1565</t>
  </si>
  <si>
    <t xml:space="preserve">D1566</t>
  </si>
  <si>
    <t xml:space="preserve">D1567</t>
  </si>
  <si>
    <t xml:space="preserve">1968-05-01</t>
  </si>
  <si>
    <t xml:space="preserve">D1568</t>
  </si>
  <si>
    <t xml:space="preserve">D1569</t>
  </si>
  <si>
    <t xml:space="preserve">D1570</t>
  </si>
  <si>
    <t xml:space="preserve">1962-08-09</t>
  </si>
  <si>
    <t xml:space="preserve">D1571</t>
  </si>
  <si>
    <t xml:space="preserve">D1572</t>
  </si>
  <si>
    <t xml:space="preserve">D1573</t>
  </si>
  <si>
    <t xml:space="preserve">D1574</t>
  </si>
  <si>
    <t xml:space="preserve">D1575</t>
  </si>
  <si>
    <t xml:space="preserve">D1576</t>
  </si>
  <si>
    <t xml:space="preserve">D1577</t>
  </si>
  <si>
    <t xml:space="preserve">1984-09-20</t>
  </si>
  <si>
    <t xml:space="preserve">D1578</t>
  </si>
  <si>
    <t xml:space="preserve">1971-09-01</t>
  </si>
  <si>
    <t xml:space="preserve">D1579</t>
  </si>
  <si>
    <t xml:space="preserve">$625</t>
  </si>
  <si>
    <t xml:space="preserve">D1580</t>
  </si>
  <si>
    <t xml:space="preserve">1962-01-09</t>
  </si>
  <si>
    <t xml:space="preserve">D1581</t>
  </si>
  <si>
    <t xml:space="preserve">D1582</t>
  </si>
  <si>
    <t xml:space="preserve">D1583</t>
  </si>
  <si>
    <t xml:space="preserve">D1584</t>
  </si>
  <si>
    <t xml:space="preserve">D1585</t>
  </si>
  <si>
    <t xml:space="preserve">1990-03-19</t>
  </si>
  <si>
    <t xml:space="preserve">D1586</t>
  </si>
  <si>
    <t xml:space="preserve">1984-01-05</t>
  </si>
  <si>
    <t xml:space="preserve">D1587</t>
  </si>
  <si>
    <t xml:space="preserve">1939-03-21</t>
  </si>
  <si>
    <t xml:space="preserve">D1588</t>
  </si>
  <si>
    <t xml:space="preserve">D1589</t>
  </si>
  <si>
    <t xml:space="preserve">D1590</t>
  </si>
  <si>
    <t xml:space="preserve">D1591</t>
  </si>
  <si>
    <t xml:space="preserve">D1592</t>
  </si>
  <si>
    <t xml:space="preserve">D1593</t>
  </si>
  <si>
    <t xml:space="preserve">$45,100</t>
  </si>
  <si>
    <t xml:space="preserve">1929-12-14</t>
  </si>
  <si>
    <t xml:space="preserve">D1594</t>
  </si>
  <si>
    <t xml:space="preserve">D1595</t>
  </si>
  <si>
    <t xml:space="preserve">D1596</t>
  </si>
  <si>
    <t xml:space="preserve">D1597</t>
  </si>
  <si>
    <t xml:space="preserve">D1598</t>
  </si>
  <si>
    <t xml:space="preserve">D1599</t>
  </si>
  <si>
    <t xml:space="preserve">D1600</t>
  </si>
  <si>
    <t xml:space="preserve">D1601</t>
  </si>
  <si>
    <t xml:space="preserve">D1602</t>
  </si>
  <si>
    <t xml:space="preserve">D1603</t>
  </si>
  <si>
    <t xml:space="preserve">1947-09-11</t>
  </si>
  <si>
    <t xml:space="preserve">D1604</t>
  </si>
  <si>
    <t xml:space="preserve">D1605</t>
  </si>
  <si>
    <t xml:space="preserve">D1606</t>
  </si>
  <si>
    <t xml:space="preserve">D1607</t>
  </si>
  <si>
    <t xml:space="preserve">D1608</t>
  </si>
  <si>
    <t xml:space="preserve">D1609</t>
  </si>
  <si>
    <t xml:space="preserve">D1610</t>
  </si>
  <si>
    <t xml:space="preserve">1985-12-21</t>
  </si>
  <si>
    <t xml:space="preserve">D1611</t>
  </si>
  <si>
    <t xml:space="preserve">D1612</t>
  </si>
  <si>
    <t xml:space="preserve">1983-12-03</t>
  </si>
  <si>
    <t xml:space="preserve">D1613</t>
  </si>
  <si>
    <t xml:space="preserve">D1614</t>
  </si>
  <si>
    <t xml:space="preserve">$75</t>
  </si>
  <si>
    <t xml:space="preserve">D1615</t>
  </si>
  <si>
    <t xml:space="preserve">1969-05-13</t>
  </si>
  <si>
    <t xml:space="preserve">D1616</t>
  </si>
  <si>
    <t xml:space="preserve">D1617</t>
  </si>
  <si>
    <t xml:space="preserve">D1618</t>
  </si>
  <si>
    <t xml:space="preserve">1985-06-19</t>
  </si>
  <si>
    <t xml:space="preserve">D1619</t>
  </si>
  <si>
    <t xml:space="preserve">D1620</t>
  </si>
  <si>
    <t xml:space="preserve">$1,020</t>
  </si>
  <si>
    <t xml:space="preserve">$520</t>
  </si>
  <si>
    <t xml:space="preserve">1967-05-11</t>
  </si>
  <si>
    <t xml:space="preserve">D1621</t>
  </si>
  <si>
    <t xml:space="preserve">D1622</t>
  </si>
  <si>
    <t xml:space="preserve">D1623</t>
  </si>
  <si>
    <t xml:space="preserve">D1624</t>
  </si>
  <si>
    <t xml:space="preserve">D1625</t>
  </si>
  <si>
    <t xml:space="preserve">1984-12-09</t>
  </si>
  <si>
    <t xml:space="preserve">D1626</t>
  </si>
  <si>
    <t xml:space="preserve">D1627</t>
  </si>
  <si>
    <t xml:space="preserve">D1628</t>
  </si>
  <si>
    <t xml:space="preserve">D1629</t>
  </si>
  <si>
    <t xml:space="preserve">D1630</t>
  </si>
  <si>
    <t xml:space="preserve">D1631</t>
  </si>
  <si>
    <t xml:space="preserve">1963-05-26</t>
  </si>
  <si>
    <t xml:space="preserve">D1632</t>
  </si>
  <si>
    <t xml:space="preserve">Unknown</t>
  </si>
  <si>
    <t xml:space="preserve">1974-09-20</t>
  </si>
  <si>
    <t xml:space="preserve">D1633</t>
  </si>
  <si>
    <t xml:space="preserve">1993-09-10</t>
  </si>
  <si>
    <t xml:space="preserve">D1634</t>
  </si>
  <si>
    <t xml:space="preserve">1992-05-16</t>
  </si>
  <si>
    <t xml:space="preserve">D1635</t>
  </si>
  <si>
    <t xml:space="preserve">D1636</t>
  </si>
  <si>
    <t xml:space="preserve">D1637</t>
  </si>
  <si>
    <t xml:space="preserve">D1638</t>
  </si>
  <si>
    <t xml:space="preserve">D1639</t>
  </si>
  <si>
    <t xml:space="preserve">D1640</t>
  </si>
  <si>
    <t xml:space="preserve">1980-05-16</t>
  </si>
  <si>
    <t xml:space="preserve">D1641</t>
  </si>
  <si>
    <t xml:space="preserve">D1642</t>
  </si>
  <si>
    <t xml:space="preserve">1958-03-21</t>
  </si>
  <si>
    <t xml:space="preserve">D1643</t>
  </si>
  <si>
    <t xml:space="preserve">$250</t>
  </si>
  <si>
    <t xml:space="preserve">D1644</t>
  </si>
  <si>
    <t xml:space="preserve">D1645</t>
  </si>
  <si>
    <t xml:space="preserve">1973-09-11</t>
  </si>
  <si>
    <t xml:space="preserve">D1646</t>
  </si>
  <si>
    <t xml:space="preserve">$294</t>
  </si>
  <si>
    <t xml:space="preserve">1993-12-23</t>
  </si>
  <si>
    <t xml:space="preserve">D1647</t>
  </si>
  <si>
    <t xml:space="preserve">1984-09-01</t>
  </si>
  <si>
    <t xml:space="preserve">D1648</t>
  </si>
  <si>
    <t xml:space="preserve">D1649</t>
  </si>
  <si>
    <t xml:space="preserve">D1650</t>
  </si>
  <si>
    <t xml:space="preserve">D1651</t>
  </si>
  <si>
    <t xml:space="preserve">D1652</t>
  </si>
  <si>
    <t xml:space="preserve">D1653</t>
  </si>
  <si>
    <t xml:space="preserve">1962-03-23</t>
  </si>
  <si>
    <t xml:space="preserve">D1654</t>
  </si>
  <si>
    <t xml:space="preserve">1981-08-23</t>
  </si>
  <si>
    <t xml:space="preserve">D1655</t>
  </si>
  <si>
    <t xml:space="preserve">D1656</t>
  </si>
  <si>
    <t xml:space="preserve">D1657</t>
  </si>
  <si>
    <t xml:space="preserve">D1658</t>
  </si>
  <si>
    <t xml:space="preserve">D1659</t>
  </si>
  <si>
    <t xml:space="preserve">D1660</t>
  </si>
  <si>
    <t xml:space="preserve">D1661</t>
  </si>
  <si>
    <t xml:space="preserve">1983-12-10</t>
  </si>
  <si>
    <t xml:space="preserve">D1662</t>
  </si>
  <si>
    <t xml:space="preserve">1982-01-05</t>
  </si>
  <si>
    <t xml:space="preserve">D1663</t>
  </si>
  <si>
    <t xml:space="preserve">D1664</t>
  </si>
  <si>
    <t xml:space="preserve">D1665</t>
  </si>
  <si>
    <t xml:space="preserve">$165</t>
  </si>
  <si>
    <t xml:space="preserve">D1666</t>
  </si>
  <si>
    <t xml:space="preserve">1974-08-15</t>
  </si>
  <si>
    <t xml:space="preserve">D1667</t>
  </si>
  <si>
    <t xml:space="preserve">D1668</t>
  </si>
  <si>
    <t xml:space="preserve">D1669</t>
  </si>
  <si>
    <t xml:space="preserve">1970-08-17</t>
  </si>
  <si>
    <t xml:space="preserve">D1670</t>
  </si>
  <si>
    <t xml:space="preserve">D1671</t>
  </si>
  <si>
    <t xml:space="preserve">D1672</t>
  </si>
  <si>
    <t xml:space="preserve">1972-12-09</t>
  </si>
  <si>
    <t xml:space="preserve">D1673</t>
  </si>
  <si>
    <t xml:space="preserve">D1674</t>
  </si>
  <si>
    <t xml:space="preserve">D1675</t>
  </si>
  <si>
    <t xml:space="preserve">D1676</t>
  </si>
  <si>
    <t xml:space="preserve">D1677</t>
  </si>
  <si>
    <t xml:space="preserve">D1678</t>
  </si>
  <si>
    <t xml:space="preserve">1944-09-08</t>
  </si>
  <si>
    <t xml:space="preserve">D1679</t>
  </si>
  <si>
    <t xml:space="preserve">D1680</t>
  </si>
  <si>
    <t xml:space="preserve">$1,100</t>
  </si>
  <si>
    <t xml:space="preserve">D1681</t>
  </si>
  <si>
    <t xml:space="preserve">D1682</t>
  </si>
  <si>
    <t xml:space="preserve">1967-12-16</t>
  </si>
  <si>
    <t xml:space="preserve">D1683</t>
  </si>
  <si>
    <t xml:space="preserve">D1684</t>
  </si>
  <si>
    <t xml:space="preserve">D1685</t>
  </si>
  <si>
    <t xml:space="preserve">D1686</t>
  </si>
  <si>
    <t xml:space="preserve">D1687</t>
  </si>
  <si>
    <t xml:space="preserve">D1688</t>
  </si>
  <si>
    <t xml:space="preserve">1957-09-13</t>
  </si>
  <si>
    <t xml:space="preserve">D1689</t>
  </si>
  <si>
    <t xml:space="preserve">D1690</t>
  </si>
  <si>
    <t xml:space="preserve">1982-06-16</t>
  </si>
  <si>
    <t xml:space="preserve">D1691</t>
  </si>
  <si>
    <t xml:space="preserve">D1692</t>
  </si>
  <si>
    <t xml:space="preserve">D1693</t>
  </si>
  <si>
    <t xml:space="preserve">1973-06-08</t>
  </si>
  <si>
    <t xml:space="preserve">D1694</t>
  </si>
  <si>
    <t xml:space="preserve">D1695</t>
  </si>
  <si>
    <t xml:space="preserve">1981-09-08</t>
  </si>
  <si>
    <t xml:space="preserve">D1696</t>
  </si>
  <si>
    <t xml:space="preserve">D1697</t>
  </si>
  <si>
    <t xml:space="preserve">1966-05-11</t>
  </si>
  <si>
    <t xml:space="preserve">D1698</t>
  </si>
  <si>
    <t xml:space="preserve">1987-08-16</t>
  </si>
  <si>
    <t xml:space="preserve">D1699</t>
  </si>
  <si>
    <t xml:space="preserve">D1700</t>
  </si>
  <si>
    <t xml:space="preserve">1984-05-08</t>
  </si>
  <si>
    <t xml:space="preserve">D1701</t>
  </si>
  <si>
    <t xml:space="preserve">1962-01-15</t>
  </si>
  <si>
    <t xml:space="preserve">D1702</t>
  </si>
  <si>
    <t xml:space="preserve">D1703</t>
  </si>
  <si>
    <t xml:space="preserve">D1704</t>
  </si>
  <si>
    <t xml:space="preserve">1974-05-14</t>
  </si>
  <si>
    <t xml:space="preserve">D1705</t>
  </si>
  <si>
    <t xml:space="preserve">D1706</t>
  </si>
  <si>
    <t xml:space="preserve">D1707</t>
  </si>
  <si>
    <t xml:space="preserve">D1708</t>
  </si>
  <si>
    <t xml:space="preserve">D1709</t>
  </si>
  <si>
    <t xml:space="preserve">1983-09-10</t>
  </si>
  <si>
    <t xml:space="preserve">D1710</t>
  </si>
  <si>
    <t xml:space="preserve">D1711</t>
  </si>
  <si>
    <t xml:space="preserve">1970-08-16</t>
  </si>
  <si>
    <t xml:space="preserve">D1712</t>
  </si>
  <si>
    <t xml:space="preserve">1986-09-14</t>
  </si>
  <si>
    <t xml:space="preserve">D1713</t>
  </si>
  <si>
    <t xml:space="preserve">D1714</t>
  </si>
  <si>
    <t xml:space="preserve">D1715</t>
  </si>
  <si>
    <t xml:space="preserve">1947-08-09</t>
  </si>
  <si>
    <t xml:space="preserve">D1716</t>
  </si>
  <si>
    <t xml:space="preserve">1962-01-19</t>
  </si>
  <si>
    <t xml:space="preserve">D1717</t>
  </si>
  <si>
    <t xml:space="preserve">D1718</t>
  </si>
  <si>
    <t xml:space="preserve">1980-09-11</t>
  </si>
  <si>
    <t xml:space="preserve">D1719</t>
  </si>
  <si>
    <t xml:space="preserve">1987-05-11</t>
  </si>
  <si>
    <t xml:space="preserve">D1720</t>
  </si>
  <si>
    <t xml:space="preserve">1950-01-16</t>
  </si>
  <si>
    <t xml:space="preserve">D1721</t>
  </si>
  <si>
    <t xml:space="preserve">1980-08-11</t>
  </si>
  <si>
    <t xml:space="preserve">D1722</t>
  </si>
  <si>
    <t xml:space="preserve">1998-09-10</t>
  </si>
  <si>
    <t xml:space="preserve">D1723</t>
  </si>
  <si>
    <t xml:space="preserve">1927-03-21</t>
  </si>
  <si>
    <t xml:space="preserve">D1724</t>
  </si>
  <si>
    <t xml:space="preserve">D1725</t>
  </si>
  <si>
    <t xml:space="preserve">D1726</t>
  </si>
  <si>
    <t xml:space="preserve">D1727</t>
  </si>
  <si>
    <t xml:space="preserve">D1728</t>
  </si>
  <si>
    <t xml:space="preserve">1971-12-16</t>
  </si>
  <si>
    <t xml:space="preserve">D1729</t>
  </si>
  <si>
    <t xml:space="preserve">1972-08-09</t>
  </si>
  <si>
    <t xml:space="preserve">D1730</t>
  </si>
  <si>
    <t xml:space="preserve">D1731</t>
  </si>
  <si>
    <t xml:space="preserve">D1732</t>
  </si>
  <si>
    <t xml:space="preserve">D1733</t>
  </si>
  <si>
    <t xml:space="preserve">1960-09-26</t>
  </si>
  <si>
    <t xml:space="preserve">D1734</t>
  </si>
  <si>
    <t xml:space="preserve">D1735</t>
  </si>
  <si>
    <t xml:space="preserve">1967-03-03</t>
  </si>
  <si>
    <t xml:space="preserve">D1736</t>
  </si>
  <si>
    <t xml:space="preserve">1991-03-23</t>
  </si>
  <si>
    <t xml:space="preserve">D1737</t>
  </si>
  <si>
    <t xml:space="preserve">D1738</t>
  </si>
  <si>
    <t xml:space="preserve">D1739</t>
  </si>
  <si>
    <t xml:space="preserve">D1740</t>
  </si>
  <si>
    <t xml:space="preserve">D1741</t>
  </si>
  <si>
    <t xml:space="preserve">1990-12-23</t>
  </si>
  <si>
    <t xml:space="preserve">D1742</t>
  </si>
  <si>
    <t xml:space="preserve">D1743</t>
  </si>
  <si>
    <t xml:space="preserve">D1744</t>
  </si>
  <si>
    <t xml:space="preserve">D1745</t>
  </si>
  <si>
    <t xml:space="preserve">D1746</t>
  </si>
  <si>
    <t xml:space="preserve">1996-12-09</t>
  </si>
  <si>
    <t xml:space="preserve">D1747</t>
  </si>
  <si>
    <t xml:space="preserve">1977-03-21</t>
  </si>
  <si>
    <t xml:space="preserve">D1748</t>
  </si>
  <si>
    <t xml:space="preserve">$480</t>
  </si>
  <si>
    <t xml:space="preserve">D1749</t>
  </si>
  <si>
    <t xml:space="preserve">D1618-DUP</t>
  </si>
  <si>
    <t xml:space="preserve">D1053-DUP</t>
  </si>
  <si>
    <t xml:space="preserve">D1289-DUP</t>
  </si>
  <si>
    <t xml:space="preserve">D1221-DUP</t>
  </si>
  <si>
    <t xml:space="preserve">D1232-DUP</t>
  </si>
  <si>
    <t xml:space="preserve">D1726-DUP</t>
  </si>
  <si>
    <t xml:space="preserve">D1472-DUP</t>
  </si>
  <si>
    <t xml:space="preserve">D1351-DUP</t>
  </si>
  <si>
    <t xml:space="preserve">VolunteerID</t>
  </si>
  <si>
    <t xml:space="preserve">LinkedDonorID</t>
  </si>
  <si>
    <t xml:space="preserve">Volunteer Name</t>
  </si>
  <si>
    <t xml:space="preserve">Shift Date</t>
  </si>
  <si>
    <t xml:space="preserve">Role</t>
  </si>
  <si>
    <t xml:space="preserve">Location</t>
  </si>
  <si>
    <t xml:space="preserve">Hours</t>
  </si>
  <si>
    <t xml:space="preserve">V2001</t>
  </si>
  <si>
    <t xml:space="preserve">Elizabeth Wright</t>
  </si>
  <si>
    <t xml:space="preserve">03/03/2025</t>
  </si>
  <si>
    <t xml:space="preserve">Warehouse Loading</t>
  </si>
  <si>
    <t xml:space="preserve">Main Warehouse</t>
  </si>
  <si>
    <t xml:space="preserve">05/24/2026</t>
  </si>
  <si>
    <t xml:space="preserve">Food Sorting</t>
  </si>
  <si>
    <t xml:space="preserve">12/29/2024</t>
  </si>
  <si>
    <t xml:space="preserve">Downtown Pantry</t>
  </si>
  <si>
    <t xml:space="preserve">V2002</t>
  </si>
  <si>
    <t xml:space="preserve">Kevin Young</t>
  </si>
  <si>
    <t xml:space="preserve">05/10/2025</t>
  </si>
  <si>
    <t xml:space="preserve">Mobile Distribution Driver</t>
  </si>
  <si>
    <t xml:space="preserve">Mobile Unit - Route A</t>
  </si>
  <si>
    <t xml:space="preserve">07/13/2025</t>
  </si>
  <si>
    <t xml:space="preserve">Event Setup</t>
  </si>
  <si>
    <t xml:space="preserve">Mobile Unit - Route B</t>
  </si>
  <si>
    <t xml:space="preserve">06/20/2025</t>
  </si>
  <si>
    <t xml:space="preserve">Front Desk Greeter</t>
  </si>
  <si>
    <t xml:space="preserve">02/03/2024</t>
  </si>
  <si>
    <t xml:space="preserve">08/30/2025</t>
  </si>
  <si>
    <t xml:space="preserve">05/12/2026</t>
  </si>
  <si>
    <t xml:space="preserve">Community Center Site</t>
  </si>
  <si>
    <t xml:space="preserve">02/04/2025</t>
  </si>
  <si>
    <t xml:space="preserve">Pantry Stocking</t>
  </si>
  <si>
    <t xml:space="preserve">01/15/2025</t>
  </si>
  <si>
    <t xml:space="preserve">V2003</t>
  </si>
  <si>
    <t xml:space="preserve">Donald King</t>
  </si>
  <si>
    <t xml:space="preserve">07/03/2024</t>
  </si>
  <si>
    <t xml:space="preserve">02/14/2024</t>
  </si>
  <si>
    <t xml:space="preserve">Holiday Box Packing</t>
  </si>
  <si>
    <t xml:space="preserve">10/01/2024</t>
  </si>
  <si>
    <t xml:space="preserve">01/19/2024</t>
  </si>
  <si>
    <t xml:space="preserve">03/09/2024</t>
  </si>
  <si>
    <t xml:space="preserve">03/29/2024</t>
  </si>
  <si>
    <t xml:space="preserve">01/17/2024</t>
  </si>
  <si>
    <t xml:space="preserve">08/28/2025</t>
  </si>
  <si>
    <t xml:space="preserve">07/25/2024</t>
  </si>
  <si>
    <t xml:space="preserve">08/29/2024</t>
  </si>
  <si>
    <t xml:space="preserve">V2004</t>
  </si>
  <si>
    <t xml:space="preserve">Christopher Allen</t>
  </si>
  <si>
    <t xml:space="preserve">07/17/2024</t>
  </si>
  <si>
    <t xml:space="preserve">Client Intake Assistant</t>
  </si>
  <si>
    <t xml:space="preserve">06/17/2025</t>
  </si>
  <si>
    <t xml:space="preserve">V2005</t>
  </si>
  <si>
    <t xml:space="preserve">Andrew Rodriguez</t>
  </si>
  <si>
    <t xml:space="preserve">02/04/2026</t>
  </si>
  <si>
    <t xml:space="preserve">10/28/2024</t>
  </si>
  <si>
    <t xml:space="preserve">06/29/2025</t>
  </si>
  <si>
    <t xml:space="preserve">02/25/2026</t>
  </si>
  <si>
    <t xml:space="preserve">04/13/2024</t>
  </si>
  <si>
    <t xml:space="preserve">09/25/2024</t>
  </si>
  <si>
    <t xml:space="preserve">V2006</t>
  </si>
  <si>
    <t xml:space="preserve">Steven Clark</t>
  </si>
  <si>
    <t xml:space="preserve">05/09/2024</t>
  </si>
  <si>
    <t xml:space="preserve">12/24/2025</t>
  </si>
  <si>
    <t xml:space="preserve">04/21/2024</t>
  </si>
  <si>
    <t xml:space="preserve">11/09/2024</t>
  </si>
  <si>
    <t xml:space="preserve">09/11/2024</t>
  </si>
  <si>
    <t xml:space="preserve">12/08/2025</t>
  </si>
  <si>
    <t xml:space="preserve">V2007</t>
  </si>
  <si>
    <t xml:space="preserve">Melissa Hill</t>
  </si>
  <si>
    <t xml:space="preserve">02/11/2024</t>
  </si>
  <si>
    <t xml:space="preserve">11/07/2025</t>
  </si>
  <si>
    <t xml:space="preserve">06/14/2024</t>
  </si>
  <si>
    <t xml:space="preserve">12/30/2024</t>
  </si>
  <si>
    <t xml:space="preserve">08/04/2025</t>
  </si>
  <si>
    <t xml:space="preserve">10/17/2024</t>
  </si>
  <si>
    <t xml:space="preserve">04/22/2026</t>
  </si>
  <si>
    <t xml:space="preserve">05/15/2024</t>
  </si>
  <si>
    <t xml:space="preserve">03/18/2026</t>
  </si>
  <si>
    <t xml:space="preserve">05/31/2025</t>
  </si>
  <si>
    <t xml:space="preserve">V2008</t>
  </si>
  <si>
    <t xml:space="preserve">Christopher Robinson</t>
  </si>
  <si>
    <t xml:space="preserve">01/03/2025</t>
  </si>
  <si>
    <t xml:space="preserve">11/01/2025</t>
  </si>
  <si>
    <t xml:space="preserve">03/20/2024</t>
  </si>
  <si>
    <t xml:space="preserve">08/14/2024</t>
  </si>
  <si>
    <t xml:space="preserve">05/03/2026</t>
  </si>
  <si>
    <t xml:space="preserve">03/28/2024</t>
  </si>
  <si>
    <t xml:space="preserve">01/12/2024</t>
  </si>
  <si>
    <t xml:space="preserve">04/03/2024</t>
  </si>
  <si>
    <t xml:space="preserve">02/01/2026</t>
  </si>
  <si>
    <t xml:space="preserve">08/06/2025</t>
  </si>
  <si>
    <t xml:space="preserve">02/05/2026</t>
  </si>
  <si>
    <t xml:space="preserve">03/07/2026</t>
  </si>
  <si>
    <t xml:space="preserve">V2009</t>
  </si>
  <si>
    <t xml:space="preserve">Kenneth Perez</t>
  </si>
  <si>
    <t xml:space="preserve">11/16/2024</t>
  </si>
  <si>
    <t xml:space="preserve">11/28/2024</t>
  </si>
  <si>
    <t xml:space="preserve">03/30/2024</t>
  </si>
  <si>
    <t xml:space="preserve">04/17/2024</t>
  </si>
  <si>
    <t xml:space="preserve">02/17/2025</t>
  </si>
  <si>
    <t xml:space="preserve">01/08/2026</t>
  </si>
  <si>
    <t xml:space="preserve">12/25/2024</t>
  </si>
  <si>
    <t xml:space="preserve">05/27/2025</t>
  </si>
  <si>
    <t xml:space="preserve">09/15/2024</t>
  </si>
  <si>
    <t xml:space="preserve">03/18/2024</t>
  </si>
  <si>
    <t xml:space="preserve">V2010</t>
  </si>
  <si>
    <t xml:space="preserve">Charles Lee</t>
  </si>
  <si>
    <t xml:space="preserve">12/14/2024</t>
  </si>
  <si>
    <t xml:space="preserve">05/15/2026</t>
  </si>
  <si>
    <t xml:space="preserve">04/06/2026</t>
  </si>
  <si>
    <t xml:space="preserve">pantry stocking</t>
  </si>
  <si>
    <t xml:space="preserve">11/17/2025</t>
  </si>
  <si>
    <t xml:space="preserve">05/30/2024</t>
  </si>
  <si>
    <t xml:space="preserve">03/04/2026</t>
  </si>
  <si>
    <t xml:space="preserve">05/05/2026</t>
  </si>
  <si>
    <t xml:space="preserve">V2011</t>
  </si>
  <si>
    <t xml:space="preserve">Matthew Thompson</t>
  </si>
  <si>
    <t xml:space="preserve">03/29/2026</t>
  </si>
  <si>
    <t xml:space="preserve">02/22/2024</t>
  </si>
  <si>
    <t xml:space="preserve">04/23/2026</t>
  </si>
  <si>
    <t xml:space="preserve">V2012</t>
  </si>
  <si>
    <t xml:space="preserve">Susan Garcia</t>
  </si>
  <si>
    <t xml:space="preserve">03/03/2024</t>
  </si>
  <si>
    <t xml:space="preserve">V2013</t>
  </si>
  <si>
    <t xml:space="preserve">Jessica Torres</t>
  </si>
  <si>
    <t xml:space="preserve">08/31/2025</t>
  </si>
  <si>
    <t xml:space="preserve">11/27/2024</t>
  </si>
  <si>
    <t xml:space="preserve">01/25/2025</t>
  </si>
  <si>
    <t xml:space="preserve">V2014</t>
  </si>
  <si>
    <t xml:space="preserve">Donald Jones</t>
  </si>
  <si>
    <t xml:space="preserve">10/13/2024</t>
  </si>
  <si>
    <t xml:space="preserve">03/05/2026</t>
  </si>
  <si>
    <t xml:space="preserve">10/23/2025</t>
  </si>
  <si>
    <t xml:space="preserve">12/19/2024</t>
  </si>
  <si>
    <t xml:space="preserve">08/12/2025</t>
  </si>
  <si>
    <t xml:space="preserve">07/31/2025</t>
  </si>
  <si>
    <t xml:space="preserve">12/12/2025</t>
  </si>
  <si>
    <t xml:space="preserve">08/17/2024</t>
  </si>
  <si>
    <t xml:space="preserve">04/29/2024</t>
  </si>
  <si>
    <t xml:space="preserve">05/16/2024</t>
  </si>
  <si>
    <t xml:space="preserve">09/19/2025</t>
  </si>
  <si>
    <t xml:space="preserve">V2015</t>
  </si>
  <si>
    <t xml:space="preserve">Linda Wilson</t>
  </si>
  <si>
    <t xml:space="preserve">01/03/2024</t>
  </si>
  <si>
    <t xml:space="preserve">V2016</t>
  </si>
  <si>
    <t xml:space="preserve">Emily Clark</t>
  </si>
  <si>
    <t xml:space="preserve">10/06/2025</t>
  </si>
  <si>
    <t xml:space="preserve">04/03/2025</t>
  </si>
  <si>
    <t xml:space="preserve">05/27/2026</t>
  </si>
  <si>
    <t xml:space="preserve">04/24/2026</t>
  </si>
  <si>
    <t xml:space="preserve">04/21/2025</t>
  </si>
  <si>
    <t xml:space="preserve">01/15/2026</t>
  </si>
  <si>
    <t xml:space="preserve">06/18/2024</t>
  </si>
  <si>
    <t xml:space="preserve">03/14/2025</t>
  </si>
  <si>
    <t xml:space="preserve">09/17/2024</t>
  </si>
  <si>
    <t xml:space="preserve">V2017</t>
  </si>
  <si>
    <t xml:space="preserve">Robert Wilson</t>
  </si>
  <si>
    <t xml:space="preserve">05/19/2024</t>
  </si>
  <si>
    <t xml:space="preserve">05/31/2026</t>
  </si>
  <si>
    <t xml:space="preserve">02/01/2024</t>
  </si>
  <si>
    <t xml:space="preserve">04/26/2026</t>
  </si>
  <si>
    <t xml:space="preserve">05/20/2025</t>
  </si>
  <si>
    <t xml:space="preserve">03/22/2024</t>
  </si>
  <si>
    <t xml:space="preserve">02/20/2024</t>
  </si>
  <si>
    <t xml:space="preserve">05/02/2026</t>
  </si>
  <si>
    <t xml:space="preserve">01/20/2026</t>
  </si>
  <si>
    <t xml:space="preserve">V2018</t>
  </si>
  <si>
    <t xml:space="preserve">Stephanie Hernandez</t>
  </si>
  <si>
    <t xml:space="preserve">04/25/2025</t>
  </si>
  <si>
    <t xml:space="preserve">V2019</t>
  </si>
  <si>
    <t xml:space="preserve">Karen Jackson</t>
  </si>
  <si>
    <t xml:space="preserve">03/17/2025</t>
  </si>
  <si>
    <t xml:space="preserve">10/04/2024</t>
  </si>
  <si>
    <t xml:space="preserve">09/28/2024</t>
  </si>
  <si>
    <t xml:space="preserve">V2020</t>
  </si>
  <si>
    <t xml:space="preserve">William Sanchez</t>
  </si>
  <si>
    <t xml:space="preserve">06/28/2025</t>
  </si>
  <si>
    <t xml:space="preserve">09/26/2025</t>
  </si>
  <si>
    <t xml:space="preserve">01/22/2026</t>
  </si>
  <si>
    <t xml:space="preserve">V2021</t>
  </si>
  <si>
    <t xml:space="preserve">George Williams</t>
  </si>
  <si>
    <t xml:space="preserve">01/31/2024</t>
  </si>
  <si>
    <t xml:space="preserve">V2022</t>
  </si>
  <si>
    <t xml:space="preserve">Brian Torres</t>
  </si>
  <si>
    <t xml:space="preserve">03/10/2024</t>
  </si>
  <si>
    <t xml:space="preserve">03/26/2026</t>
  </si>
  <si>
    <t xml:space="preserve">02/26/2025</t>
  </si>
  <si>
    <t xml:space="preserve">04/22/2024</t>
  </si>
  <si>
    <t xml:space="preserve">07/21/2024</t>
  </si>
  <si>
    <t xml:space="preserve">06/08/2024</t>
  </si>
  <si>
    <t xml:space="preserve">08/19/2025</t>
  </si>
  <si>
    <t xml:space="preserve">03/31/2025</t>
  </si>
  <si>
    <t xml:space="preserve">11/10/2024</t>
  </si>
  <si>
    <t xml:space="preserve">V2023</t>
  </si>
  <si>
    <t xml:space="preserve">Ashley White</t>
  </si>
  <si>
    <t xml:space="preserve">09/13/2024</t>
  </si>
  <si>
    <t xml:space="preserve">02/08/2025</t>
  </si>
  <si>
    <t xml:space="preserve">02/09/2026</t>
  </si>
  <si>
    <t xml:space="preserve">07/09/2024</t>
  </si>
  <si>
    <t xml:space="preserve">holiday box packing</t>
  </si>
  <si>
    <t xml:space="preserve">12/04/2024</t>
  </si>
  <si>
    <t xml:space="preserve">11/13/2024</t>
  </si>
  <si>
    <t xml:space="preserve">03/24/2025</t>
  </si>
  <si>
    <t xml:space="preserve">05/30/2026</t>
  </si>
  <si>
    <t xml:space="preserve">10/17/2025</t>
  </si>
  <si>
    <t xml:space="preserve">V2024</t>
  </si>
  <si>
    <t xml:space="preserve">Emily Williams</t>
  </si>
  <si>
    <t xml:space="preserve">04/25/2026</t>
  </si>
  <si>
    <t xml:space="preserve">07/09/2025</t>
  </si>
  <si>
    <t xml:space="preserve">05/18/2024</t>
  </si>
  <si>
    <t xml:space="preserve">09/23/2024</t>
  </si>
  <si>
    <t xml:space="preserve">V2025</t>
  </si>
  <si>
    <t xml:space="preserve">George Anderson</t>
  </si>
  <si>
    <t xml:space="preserve">08/09/2024</t>
  </si>
  <si>
    <t xml:space="preserve">06/27/2025</t>
  </si>
  <si>
    <t xml:space="preserve">07/23/2025</t>
  </si>
  <si>
    <t xml:space="preserve">10/01/2025</t>
  </si>
  <si>
    <t xml:space="preserve">02/19/2024</t>
  </si>
  <si>
    <t xml:space="preserve">V2026</t>
  </si>
  <si>
    <t xml:space="preserve">Edward Rodriguez</t>
  </si>
  <si>
    <t xml:space="preserve">10/19/2024</t>
  </si>
  <si>
    <t xml:space="preserve">03/21/2026</t>
  </si>
  <si>
    <t xml:space="preserve">04/05/2025</t>
  </si>
  <si>
    <t xml:space="preserve">03/21/2024</t>
  </si>
  <si>
    <t xml:space="preserve">02/24/2026</t>
  </si>
  <si>
    <t xml:space="preserve">12/23/2025</t>
  </si>
  <si>
    <t xml:space="preserve">02/10/2026</t>
  </si>
  <si>
    <t xml:space="preserve">05/01/2026</t>
  </si>
  <si>
    <t xml:space="preserve">event setup</t>
  </si>
  <si>
    <t xml:space="preserve">02/06/2024</t>
  </si>
  <si>
    <t xml:space="preserve">05/16/2026</t>
  </si>
  <si>
    <t xml:space="preserve">05/11/2024</t>
  </si>
  <si>
    <t xml:space="preserve">V2027</t>
  </si>
  <si>
    <t xml:space="preserve">Kimberly Walker</t>
  </si>
  <si>
    <t xml:space="preserve">01/26/2024</t>
  </si>
  <si>
    <t xml:space="preserve">V2028</t>
  </si>
  <si>
    <t xml:space="preserve">Linda Harris</t>
  </si>
  <si>
    <t xml:space="preserve">03/15/2024</t>
  </si>
  <si>
    <t xml:space="preserve">V2029</t>
  </si>
  <si>
    <t xml:space="preserve">Margaret Thompson</t>
  </si>
  <si>
    <t xml:space="preserve">10/30/2025</t>
  </si>
  <si>
    <t xml:space="preserve">V2030</t>
  </si>
  <si>
    <t xml:space="preserve">Melissa Davis</t>
  </si>
  <si>
    <t xml:space="preserve">12/25/2025</t>
  </si>
  <si>
    <t xml:space="preserve">01/07/2024</t>
  </si>
  <si>
    <t xml:space="preserve">V2031</t>
  </si>
  <si>
    <t xml:space="preserve">Robert Hernandez</t>
  </si>
  <si>
    <t xml:space="preserve">06/17/2024</t>
  </si>
  <si>
    <t xml:space="preserve">03/11/2024</t>
  </si>
  <si>
    <t xml:space="preserve">10/21/2025</t>
  </si>
  <si>
    <t xml:space="preserve">V2032</t>
  </si>
  <si>
    <t xml:space="preserve">Nancy King</t>
  </si>
  <si>
    <t xml:space="preserve">03/22/2025</t>
  </si>
  <si>
    <t xml:space="preserve">05/30/2025</t>
  </si>
  <si>
    <t xml:space="preserve">05/21/2026</t>
  </si>
  <si>
    <t xml:space="preserve">02/22/2026</t>
  </si>
  <si>
    <t xml:space="preserve">11/01/2024</t>
  </si>
  <si>
    <t xml:space="preserve">12/04/2025</t>
  </si>
  <si>
    <t xml:space="preserve">V2033</t>
  </si>
  <si>
    <t xml:space="preserve">Melissa Perez</t>
  </si>
  <si>
    <t xml:space="preserve">12/11/2024</t>
  </si>
  <si>
    <t xml:space="preserve">05/01/2024</t>
  </si>
  <si>
    <t xml:space="preserve">05/01/2025</t>
  </si>
  <si>
    <t xml:space="preserve">07/24/2024</t>
  </si>
  <si>
    <t xml:space="preserve">03/20/2026</t>
  </si>
  <si>
    <t xml:space="preserve">06/07/2024</t>
  </si>
  <si>
    <t xml:space="preserve">01/06/2026</t>
  </si>
  <si>
    <t xml:space="preserve">07/02/2024</t>
  </si>
  <si>
    <t xml:space="preserve">08/27/2024</t>
  </si>
  <si>
    <t xml:space="preserve">10/31/2024</t>
  </si>
  <si>
    <t xml:space="preserve">V2034</t>
  </si>
  <si>
    <t xml:space="preserve">Kenneth Lopez</t>
  </si>
  <si>
    <t xml:space="preserve">08/07/2024</t>
  </si>
  <si>
    <t xml:space="preserve">07/20/2025</t>
  </si>
  <si>
    <t xml:space="preserve">12/27/2025</t>
  </si>
  <si>
    <t xml:space="preserve">V2035</t>
  </si>
  <si>
    <t xml:space="preserve">Thomas Wilson</t>
  </si>
  <si>
    <t xml:space="preserve">09/18/2024</t>
  </si>
  <si>
    <t xml:space="preserve">V2036</t>
  </si>
  <si>
    <t xml:space="preserve">Melissa Thomas</t>
  </si>
  <si>
    <t xml:space="preserve">09/25/2025</t>
  </si>
  <si>
    <t xml:space="preserve">V2037</t>
  </si>
  <si>
    <t xml:space="preserve">Steven Moore</t>
  </si>
  <si>
    <t xml:space="preserve">10/09/2025</t>
  </si>
  <si>
    <t xml:space="preserve">11/14/2024</t>
  </si>
  <si>
    <t xml:space="preserve">05/26/2025</t>
  </si>
  <si>
    <t xml:space="preserve">07/05/2025</t>
  </si>
  <si>
    <t xml:space="preserve">03/08/2024</t>
  </si>
  <si>
    <t xml:space="preserve">01/26/2026</t>
  </si>
  <si>
    <t xml:space="preserve">05/24/2025</t>
  </si>
  <si>
    <t xml:space="preserve">09/02/2024</t>
  </si>
  <si>
    <t xml:space="preserve">10/10/2024</t>
  </si>
  <si>
    <t xml:space="preserve">V2038</t>
  </si>
  <si>
    <t xml:space="preserve">Betty Taylor</t>
  </si>
  <si>
    <t xml:space="preserve">05/22/2026</t>
  </si>
  <si>
    <t xml:space="preserve">11/23/2024</t>
  </si>
  <si>
    <t xml:space="preserve">09/07/2024</t>
  </si>
  <si>
    <t xml:space="preserve">09/22/2024</t>
  </si>
  <si>
    <t xml:space="preserve">04/23/2025</t>
  </si>
  <si>
    <t xml:space="preserve">V2039</t>
  </si>
  <si>
    <t xml:space="preserve">Robert Harris</t>
  </si>
  <si>
    <t xml:space="preserve">08/04/2024</t>
  </si>
  <si>
    <t xml:space="preserve">04/18/2025</t>
  </si>
  <si>
    <t xml:space="preserve">07/20/2024</t>
  </si>
  <si>
    <t xml:space="preserve">06/24/2024</t>
  </si>
  <si>
    <t xml:space="preserve">12/29/2025</t>
  </si>
  <si>
    <t xml:space="preserve">02/15/2026</t>
  </si>
  <si>
    <t xml:space="preserve">04/08/2026</t>
  </si>
  <si>
    <t xml:space="preserve">10/04/2025</t>
  </si>
  <si>
    <t xml:space="preserve">07/27/2025</t>
  </si>
  <si>
    <t xml:space="preserve">V2040</t>
  </si>
  <si>
    <t xml:space="preserve">Steven Jones</t>
  </si>
  <si>
    <t xml:space="preserve">food sorting</t>
  </si>
  <si>
    <t xml:space="preserve">09/23/2025</t>
  </si>
  <si>
    <t xml:space="preserve">V2041</t>
  </si>
  <si>
    <t xml:space="preserve">Sarah Perez</t>
  </si>
  <si>
    <t xml:space="preserve">06/06/2025</t>
  </si>
  <si>
    <t xml:space="preserve">11/18/2024</t>
  </si>
  <si>
    <t xml:space="preserve">05/20/2026</t>
  </si>
  <si>
    <t xml:space="preserve">V2042</t>
  </si>
  <si>
    <t xml:space="preserve">Karen Williams</t>
  </si>
  <si>
    <t xml:space="preserve">07/04/2025</t>
  </si>
  <si>
    <t xml:space="preserve">08/03/2025</t>
  </si>
  <si>
    <t xml:space="preserve">05/06/2024</t>
  </si>
  <si>
    <t xml:space="preserve">V2043</t>
  </si>
  <si>
    <t xml:space="preserve">Andrew Sanchez</t>
  </si>
  <si>
    <t xml:space="preserve">01/23/2024</t>
  </si>
  <si>
    <t xml:space="preserve">08/11/2025</t>
  </si>
  <si>
    <t xml:space="preserve">03/21/2025</t>
  </si>
  <si>
    <t xml:space="preserve">07/12/2024</t>
  </si>
  <si>
    <t xml:space="preserve">01/02/2026</t>
  </si>
  <si>
    <t xml:space="preserve">06/25/2024</t>
  </si>
  <si>
    <t xml:space="preserve">08/06/2024</t>
  </si>
  <si>
    <t xml:space="preserve">12/28/2024</t>
  </si>
  <si>
    <t xml:space="preserve">V2044</t>
  </si>
  <si>
    <t xml:space="preserve">Mark Thomas</t>
  </si>
  <si>
    <t xml:space="preserve">09/14/2025</t>
  </si>
  <si>
    <t xml:space="preserve">06/15/2025</t>
  </si>
  <si>
    <t xml:space="preserve">V2045</t>
  </si>
  <si>
    <t xml:space="preserve">Patricia Allen</t>
  </si>
  <si>
    <t xml:space="preserve">04/28/2025</t>
  </si>
  <si>
    <t xml:space="preserve">V2046</t>
  </si>
  <si>
    <t xml:space="preserve">Jessica Harris</t>
  </si>
  <si>
    <t xml:space="preserve">07/18/2025</t>
  </si>
  <si>
    <t xml:space="preserve">03/11/2026</t>
  </si>
  <si>
    <t xml:space="preserve">V2047</t>
  </si>
  <si>
    <t xml:space="preserve">Mary Thompson</t>
  </si>
  <si>
    <t xml:space="preserve">08/01/2024</t>
  </si>
  <si>
    <t xml:space="preserve">V2048</t>
  </si>
  <si>
    <t xml:space="preserve">Mark Martin</t>
  </si>
  <si>
    <t xml:space="preserve">12/12/2024</t>
  </si>
  <si>
    <t xml:space="preserve">01/24/2024</t>
  </si>
  <si>
    <t xml:space="preserve">V2049</t>
  </si>
  <si>
    <t xml:space="preserve">Kevin Jackson</t>
  </si>
  <si>
    <t xml:space="preserve">03/13/2025</t>
  </si>
  <si>
    <t xml:space="preserve">10/30/2024</t>
  </si>
  <si>
    <t xml:space="preserve">05/12/2024</t>
  </si>
  <si>
    <t xml:space="preserve">10/11/2025</t>
  </si>
  <si>
    <t xml:space="preserve">client intake assistant</t>
  </si>
  <si>
    <t xml:space="preserve">06/02/2024</t>
  </si>
  <si>
    <t xml:space="preserve">10/29/2024</t>
  </si>
  <si>
    <t xml:space="preserve">V2050</t>
  </si>
  <si>
    <t xml:space="preserve">Patricia King</t>
  </si>
  <si>
    <t xml:space="preserve">01/13/2025</t>
  </si>
  <si>
    <t xml:space="preserve">10/16/2025</t>
  </si>
  <si>
    <t xml:space="preserve">10/15/2024</t>
  </si>
  <si>
    <t xml:space="preserve">02/12/2025</t>
  </si>
  <si>
    <t xml:space="preserve">04/14/2025</t>
  </si>
  <si>
    <t xml:space="preserve">V2051</t>
  </si>
  <si>
    <t xml:space="preserve">Barbara Johnson</t>
  </si>
  <si>
    <t xml:space="preserve">03/01/2025</t>
  </si>
  <si>
    <t xml:space="preserve">V2052</t>
  </si>
  <si>
    <t xml:space="preserve">Matthew Allen</t>
  </si>
  <si>
    <t xml:space="preserve">10/20/2024</t>
  </si>
  <si>
    <t xml:space="preserve">V2053</t>
  </si>
  <si>
    <t xml:space="preserve">Paul Martinez</t>
  </si>
  <si>
    <t xml:space="preserve">V2054</t>
  </si>
  <si>
    <t xml:space="preserve">Amanda Garcia</t>
  </si>
  <si>
    <t xml:space="preserve">01/24/2025</t>
  </si>
  <si>
    <t xml:space="preserve">V2055</t>
  </si>
  <si>
    <t xml:space="preserve">Elizabeth Hernandez</t>
  </si>
  <si>
    <t xml:space="preserve">06/16/2024</t>
  </si>
  <si>
    <t xml:space="preserve">06/26/2025</t>
  </si>
  <si>
    <t xml:space="preserve">V2056</t>
  </si>
  <si>
    <t xml:space="preserve">Paul Taylor</t>
  </si>
  <si>
    <t xml:space="preserve">01/04/2024</t>
  </si>
  <si>
    <t xml:space="preserve">V2057</t>
  </si>
  <si>
    <t xml:space="preserve">Sarah Lee</t>
  </si>
  <si>
    <t xml:space="preserve">05/08/2025</t>
  </si>
  <si>
    <t xml:space="preserve">11/20/2024</t>
  </si>
  <si>
    <t xml:space="preserve">01/19/2025</t>
  </si>
  <si>
    <t xml:space="preserve">V2058</t>
  </si>
  <si>
    <t xml:space="preserve">Mark Moore</t>
  </si>
  <si>
    <t xml:space="preserve">02/14/2025</t>
  </si>
  <si>
    <t xml:space="preserve">04/02/2026</t>
  </si>
  <si>
    <t xml:space="preserve">01/17/2026</t>
  </si>
  <si>
    <t xml:space="preserve">05/24/2024</t>
  </si>
  <si>
    <t xml:space="preserve">09/06/2024</t>
  </si>
  <si>
    <t xml:space="preserve">01/01/2026</t>
  </si>
  <si>
    <t xml:space="preserve">10/08/2024</t>
  </si>
  <si>
    <t xml:space="preserve">04/18/2026</t>
  </si>
  <si>
    <t xml:space="preserve">V2059</t>
  </si>
  <si>
    <t xml:space="preserve">William Hernandez</t>
  </si>
  <si>
    <t xml:space="preserve">10/14/2024</t>
  </si>
  <si>
    <t xml:space="preserve">03/14/2026</t>
  </si>
  <si>
    <t xml:space="preserve">V2060</t>
  </si>
  <si>
    <t xml:space="preserve">Amanda Torres</t>
  </si>
  <si>
    <t xml:space="preserve">11/07/2024</t>
  </si>
  <si>
    <t xml:space="preserve">02/10/2024</t>
  </si>
  <si>
    <t xml:space="preserve">V2061</t>
  </si>
  <si>
    <t xml:space="preserve">Donald Walker</t>
  </si>
  <si>
    <t xml:space="preserve">03/05/2025</t>
  </si>
  <si>
    <t xml:space="preserve">04/29/2026</t>
  </si>
  <si>
    <t xml:space="preserve">03/28/2025</t>
  </si>
  <si>
    <t xml:space="preserve">02/28/2025</t>
  </si>
  <si>
    <t xml:space="preserve">08/23/2025</t>
  </si>
  <si>
    <t xml:space="preserve">04/26/2024</t>
  </si>
  <si>
    <t xml:space="preserve">V2062</t>
  </si>
  <si>
    <t xml:space="preserve">Michael Walker</t>
  </si>
  <si>
    <t xml:space="preserve">06/04/2024</t>
  </si>
  <si>
    <t xml:space="preserve">07/06/2025</t>
  </si>
  <si>
    <t xml:space="preserve">08/29/2025</t>
  </si>
  <si>
    <t xml:space="preserve">V2063</t>
  </si>
  <si>
    <t xml:space="preserve">Melissa Young</t>
  </si>
  <si>
    <t xml:space="preserve">11/12/2024</t>
  </si>
  <si>
    <t xml:space="preserve">10/15/2025</t>
  </si>
  <si>
    <t xml:space="preserve">01/14/2025</t>
  </si>
  <si>
    <t xml:space="preserve">V2064</t>
  </si>
  <si>
    <t xml:space="preserve">Carol Garcia</t>
  </si>
  <si>
    <t xml:space="preserve">05/26/2024</t>
  </si>
  <si>
    <t xml:space="preserve">03/24/2024</t>
  </si>
  <si>
    <t xml:space="preserve">04/06/2025</t>
  </si>
  <si>
    <t xml:space="preserve">04/14/2026</t>
  </si>
  <si>
    <t xml:space="preserve">03/30/2026</t>
  </si>
  <si>
    <t xml:space="preserve">03/06/2025</t>
  </si>
  <si>
    <t xml:space="preserve">07/10/2025</t>
  </si>
  <si>
    <t xml:space="preserve">V2065</t>
  </si>
  <si>
    <t xml:space="preserve">Linda Thomas</t>
  </si>
  <si>
    <t xml:space="preserve">V2066</t>
  </si>
  <si>
    <t xml:space="preserve">Patricia Davis</t>
  </si>
  <si>
    <t xml:space="preserve">04/30/2026</t>
  </si>
  <si>
    <t xml:space="preserve">04/24/2024</t>
  </si>
  <si>
    <t xml:space="preserve">V2067</t>
  </si>
  <si>
    <t xml:space="preserve">Karen Flores</t>
  </si>
  <si>
    <t xml:space="preserve">10/21/2024</t>
  </si>
  <si>
    <t xml:space="preserve">09/20/2024</t>
  </si>
  <si>
    <t xml:space="preserve">07/26/2024</t>
  </si>
  <si>
    <t xml:space="preserve">03/25/2024</t>
  </si>
  <si>
    <t xml:space="preserve">08/12/2024</t>
  </si>
  <si>
    <t xml:space="preserve">01/11/2024</t>
  </si>
  <si>
    <t xml:space="preserve">V2068</t>
  </si>
  <si>
    <t xml:space="preserve">Donald Clark</t>
  </si>
  <si>
    <t xml:space="preserve">11/14/2025</t>
  </si>
  <si>
    <t xml:space="preserve">05/23/2024</t>
  </si>
  <si>
    <t xml:space="preserve">V2069</t>
  </si>
  <si>
    <t xml:space="preserve">Christopher Hill</t>
  </si>
  <si>
    <t xml:space="preserve">02/08/2026</t>
  </si>
  <si>
    <t xml:space="preserve">11/27/2025</t>
  </si>
  <si>
    <t xml:space="preserve">V2070</t>
  </si>
  <si>
    <t xml:space="preserve">William Flores</t>
  </si>
  <si>
    <t xml:space="preserve">08/02/2025</t>
  </si>
  <si>
    <t xml:space="preserve">03/03/2026</t>
  </si>
  <si>
    <t xml:space="preserve">V2071</t>
  </si>
  <si>
    <t xml:space="preserve">William Wright</t>
  </si>
  <si>
    <t xml:space="preserve">12/08/2024</t>
  </si>
  <si>
    <t xml:space="preserve">V2072</t>
  </si>
  <si>
    <t xml:space="preserve">Deborah Jackson</t>
  </si>
  <si>
    <t xml:space="preserve">05/09/2026</t>
  </si>
  <si>
    <t xml:space="preserve">02/16/2026</t>
  </si>
  <si>
    <t xml:space="preserve">06/27/2024</t>
  </si>
  <si>
    <t xml:space="preserve">V2073</t>
  </si>
  <si>
    <t xml:space="preserve">Mary Lewis</t>
  </si>
  <si>
    <t xml:space="preserve">11/05/2025</t>
  </si>
  <si>
    <t xml:space="preserve">05/02/2025</t>
  </si>
  <si>
    <t xml:space="preserve">10/10/2025</t>
  </si>
  <si>
    <t xml:space="preserve">04/05/2026</t>
  </si>
  <si>
    <t xml:space="preserve">02/25/2024</t>
  </si>
  <si>
    <t xml:space="preserve">03/15/2025</t>
  </si>
  <si>
    <t xml:space="preserve">V2074</t>
  </si>
  <si>
    <t xml:space="preserve">Christopher Moore</t>
  </si>
  <si>
    <t xml:space="preserve">03/08/2026</t>
  </si>
  <si>
    <t xml:space="preserve">05/10/2024</t>
  </si>
  <si>
    <t xml:space="preserve">09/09/2024</t>
  </si>
  <si>
    <t xml:space="preserve">V2075</t>
  </si>
  <si>
    <t xml:space="preserve">Donna Hill</t>
  </si>
  <si>
    <t xml:space="preserve">01/25/2026</t>
  </si>
  <si>
    <t xml:space="preserve">03/05/2024</t>
  </si>
  <si>
    <t xml:space="preserve">V2076</t>
  </si>
  <si>
    <t xml:space="preserve">Amanda Hill</t>
  </si>
  <si>
    <t xml:space="preserve">01/27/2025</t>
  </si>
  <si>
    <t xml:space="preserve">06/21/2024</t>
  </si>
  <si>
    <t xml:space="preserve">01/05/2026</t>
  </si>
  <si>
    <t xml:space="preserve">V2077</t>
  </si>
  <si>
    <t xml:space="preserve">Thomas Lopez</t>
  </si>
  <si>
    <t xml:space="preserve">03/17/2026</t>
  </si>
  <si>
    <t xml:space="preserve">01/25/2024</t>
  </si>
  <si>
    <t xml:space="preserve">V2078</t>
  </si>
  <si>
    <t xml:space="preserve">Joshua Thomas</t>
  </si>
  <si>
    <t xml:space="preserve">02/01/2025</t>
  </si>
  <si>
    <t xml:space="preserve">04/10/2025</t>
  </si>
  <si>
    <t xml:space="preserve">12/26/2025</t>
  </si>
  <si>
    <t xml:space="preserve">10/22/2025</t>
  </si>
  <si>
    <t xml:space="preserve">01/05/2024</t>
  </si>
  <si>
    <t xml:space="preserve">05/02/2024</t>
  </si>
  <si>
    <t xml:space="preserve">03/23/2024</t>
  </si>
  <si>
    <t xml:space="preserve">07/10/2024</t>
  </si>
  <si>
    <t xml:space="preserve">05/23/2026</t>
  </si>
  <si>
    <t xml:space="preserve">01/29/2024</t>
  </si>
  <si>
    <t xml:space="preserve">V2079</t>
  </si>
  <si>
    <t xml:space="preserve">Andrew Lewis</t>
  </si>
  <si>
    <t xml:space="preserve">04/23/2024</t>
  </si>
  <si>
    <t xml:space="preserve">01/02/2025</t>
  </si>
  <si>
    <t xml:space="preserve">05/08/2024</t>
  </si>
  <si>
    <t xml:space="preserve">V2080</t>
  </si>
  <si>
    <t xml:space="preserve">Sarah Martin</t>
  </si>
  <si>
    <t xml:space="preserve">03/12/2026</t>
  </si>
  <si>
    <t xml:space="preserve">04/15/2026</t>
  </si>
  <si>
    <t xml:space="preserve">V2081</t>
  </si>
  <si>
    <t xml:space="preserve">Matthew Martinez</t>
  </si>
  <si>
    <t xml:space="preserve">03/26/2024</t>
  </si>
  <si>
    <t xml:space="preserve">03/16/2024</t>
  </si>
  <si>
    <t xml:space="preserve">11/02/2025</t>
  </si>
  <si>
    <t xml:space="preserve">06/23/2024</t>
  </si>
  <si>
    <t xml:space="preserve">10/08/2025</t>
  </si>
  <si>
    <t xml:space="preserve">V2082</t>
  </si>
  <si>
    <t xml:space="preserve">Mark Jackson</t>
  </si>
  <si>
    <t xml:space="preserve">07/07/2025</t>
  </si>
  <si>
    <t xml:space="preserve">02/26/2026</t>
  </si>
  <si>
    <t xml:space="preserve">04/12/2025</t>
  </si>
  <si>
    <t xml:space="preserve">07/08/2024</t>
  </si>
  <si>
    <t xml:space="preserve">04/15/2025</t>
  </si>
  <si>
    <t xml:space="preserve">02/13/2024</t>
  </si>
  <si>
    <t xml:space="preserve">07/30/2025</t>
  </si>
  <si>
    <t xml:space="preserve">02/02/2024</t>
  </si>
  <si>
    <t xml:space="preserve">V2083</t>
  </si>
  <si>
    <t xml:space="preserve">Michael Martin</t>
  </si>
  <si>
    <t xml:space="preserve">V2084</t>
  </si>
  <si>
    <t xml:space="preserve">Mary Hernandez</t>
  </si>
  <si>
    <t xml:space="preserve">11/08/2024</t>
  </si>
  <si>
    <t xml:space="preserve">09/21/2025</t>
  </si>
  <si>
    <t xml:space="preserve">V2085</t>
  </si>
  <si>
    <t xml:space="preserve">Richard Rodriguez</t>
  </si>
  <si>
    <t xml:space="preserve">V2086</t>
  </si>
  <si>
    <t xml:space="preserve">William Young</t>
  </si>
  <si>
    <t xml:space="preserve">07/28/2024</t>
  </si>
  <si>
    <t xml:space="preserve">07/28/2025</t>
  </si>
  <si>
    <t xml:space="preserve">08/20/2024</t>
  </si>
  <si>
    <t xml:space="preserve">09/07/2025</t>
  </si>
  <si>
    <t xml:space="preserve">V2087</t>
  </si>
  <si>
    <t xml:space="preserve">Sarah Moore</t>
  </si>
  <si>
    <t xml:space="preserve">04/26/2025</t>
  </si>
  <si>
    <t xml:space="preserve">03/06/2024</t>
  </si>
  <si>
    <t xml:space="preserve">03/12/2025</t>
  </si>
  <si>
    <t xml:space="preserve">V2088</t>
  </si>
  <si>
    <t xml:space="preserve">Mary Sanchez</t>
  </si>
  <si>
    <t xml:space="preserve">V2089</t>
  </si>
  <si>
    <t xml:space="preserve">Edward Perez</t>
  </si>
  <si>
    <t xml:space="preserve">01/28/2024</t>
  </si>
  <si>
    <t xml:space="preserve">04/03/2026</t>
  </si>
  <si>
    <t xml:space="preserve">12/13/2025</t>
  </si>
  <si>
    <t xml:space="preserve">12/19/2025</t>
  </si>
  <si>
    <t xml:space="preserve">01/26/2025</t>
  </si>
  <si>
    <t xml:space="preserve">V2090</t>
  </si>
  <si>
    <t xml:space="preserve">06/30/2025</t>
  </si>
  <si>
    <t xml:space="preserve">08/16/2025</t>
  </si>
  <si>
    <t xml:space="preserve">06/12/2025</t>
  </si>
  <si>
    <t xml:space="preserve">02/11/2025</t>
  </si>
  <si>
    <t xml:space="preserve">V2091</t>
  </si>
  <si>
    <t xml:space="preserve">Mark Torres</t>
  </si>
  <si>
    <t xml:space="preserve">04/04/2024</t>
  </si>
  <si>
    <t xml:space="preserve">01/22/2025</t>
  </si>
  <si>
    <t xml:space="preserve">02/02/2025</t>
  </si>
  <si>
    <t xml:space="preserve">V2092</t>
  </si>
  <si>
    <t xml:space="preserve">William Wilson</t>
  </si>
  <si>
    <t xml:space="preserve">10/25/2024</t>
  </si>
  <si>
    <t xml:space="preserve">11/13/2025</t>
  </si>
  <si>
    <t xml:space="preserve">11/24/2025</t>
  </si>
  <si>
    <t xml:space="preserve">04/08/2025</t>
  </si>
  <si>
    <t xml:space="preserve">V2093</t>
  </si>
  <si>
    <t xml:space="preserve">Kenneth Moore</t>
  </si>
  <si>
    <t xml:space="preserve">01/03/2026</t>
  </si>
  <si>
    <t xml:space="preserve">10/27/2025</t>
  </si>
  <si>
    <t xml:space="preserve">07/11/2024</t>
  </si>
  <si>
    <t xml:space="preserve">06/01/2025</t>
  </si>
  <si>
    <t xml:space="preserve">V2094</t>
  </si>
  <si>
    <t xml:space="preserve">Deborah Hill</t>
  </si>
  <si>
    <t xml:space="preserve">01/23/2025</t>
  </si>
  <si>
    <t xml:space="preserve">02/10/2025</t>
  </si>
  <si>
    <t xml:space="preserve">09/18/2025</t>
  </si>
  <si>
    <t xml:space="preserve">V2095</t>
  </si>
  <si>
    <t xml:space="preserve">Elizabeth Martin</t>
  </si>
  <si>
    <t xml:space="preserve">04/12/2024</t>
  </si>
  <si>
    <t xml:space="preserve">08/05/2024</t>
  </si>
  <si>
    <t xml:space="preserve">V2096</t>
  </si>
  <si>
    <t xml:space="preserve">Karen Perez</t>
  </si>
  <si>
    <t xml:space="preserve">12/21/2024</t>
  </si>
  <si>
    <t xml:space="preserve">03/29/2025</t>
  </si>
  <si>
    <t xml:space="preserve">V2097</t>
  </si>
  <si>
    <t xml:space="preserve">Linda Sanchez</t>
  </si>
  <si>
    <t xml:space="preserve">09/29/2024</t>
  </si>
  <si>
    <t xml:space="preserve">02/18/2024</t>
  </si>
  <si>
    <t xml:space="preserve">V2098</t>
  </si>
  <si>
    <t xml:space="preserve">Amanda Lee</t>
  </si>
  <si>
    <t xml:space="preserve">04/19/2026</t>
  </si>
  <si>
    <t xml:space="preserve">07/29/2024</t>
  </si>
  <si>
    <t xml:space="preserve">02/19/2026</t>
  </si>
  <si>
    <t xml:space="preserve">V2099</t>
  </si>
  <si>
    <t xml:space="preserve">Mary Davis</t>
  </si>
  <si>
    <t xml:space="preserve">06/03/2024</t>
  </si>
  <si>
    <t xml:space="preserve">12/05/2025</t>
  </si>
  <si>
    <t xml:space="preserve">11/21/2025</t>
  </si>
  <si>
    <t xml:space="preserve">V2100</t>
  </si>
  <si>
    <t xml:space="preserve">Lisa Young</t>
  </si>
  <si>
    <t xml:space="preserve">04/16/2026</t>
  </si>
  <si>
    <t xml:space="preserve">09/19/2024</t>
  </si>
  <si>
    <t xml:space="preserve">01/22/2024</t>
  </si>
  <si>
    <t xml:space="preserve">12/31/2024</t>
  </si>
  <si>
    <t xml:space="preserve">02/16/2024</t>
  </si>
  <si>
    <t xml:space="preserve">11/16/2025</t>
  </si>
  <si>
    <t xml:space="preserve">V2101</t>
  </si>
  <si>
    <t xml:space="preserve">Margaret Nguyen</t>
  </si>
  <si>
    <t xml:space="preserve">10/26/2024</t>
  </si>
  <si>
    <t xml:space="preserve">09/08/2024</t>
  </si>
  <si>
    <t xml:space="preserve">11/09/2025</t>
  </si>
  <si>
    <t xml:space="preserve">06/19/2024</t>
  </si>
  <si>
    <t xml:space="preserve">02/20/2026</t>
  </si>
  <si>
    <t xml:space="preserve">03/04/2025</t>
  </si>
  <si>
    <t xml:space="preserve">09/04/2024</t>
  </si>
  <si>
    <t xml:space="preserve">V2102</t>
  </si>
  <si>
    <t xml:space="preserve">Patricia Flores</t>
  </si>
  <si>
    <t xml:space="preserve">04/25/2024</t>
  </si>
  <si>
    <t xml:space="preserve">01/27/2024</t>
  </si>
  <si>
    <t xml:space="preserve">V2103</t>
  </si>
  <si>
    <t xml:space="preserve">Linda Perez</t>
  </si>
  <si>
    <t xml:space="preserve">05/12/2025</t>
  </si>
  <si>
    <t xml:space="preserve">03/17/2024</t>
  </si>
  <si>
    <t xml:space="preserve">12/14/2025</t>
  </si>
  <si>
    <t xml:space="preserve">01/09/2025</t>
  </si>
  <si>
    <t xml:space="preserve">01/16/2025</t>
  </si>
  <si>
    <t xml:space="preserve">05/06/2025</t>
  </si>
  <si>
    <t xml:space="preserve">03/27/2024</t>
  </si>
  <si>
    <t xml:space="preserve">V2104</t>
  </si>
  <si>
    <t xml:space="preserve">Kimberly Hill</t>
  </si>
  <si>
    <t xml:space="preserve">V2105</t>
  </si>
  <si>
    <t xml:space="preserve">Emily Nguyen</t>
  </si>
  <si>
    <t xml:space="preserve">06/24/2025</t>
  </si>
  <si>
    <t xml:space="preserve">02/05/2025</t>
  </si>
  <si>
    <t xml:space="preserve">10/18/2024</t>
  </si>
  <si>
    <t xml:space="preserve">01/04/2026</t>
  </si>
  <si>
    <t xml:space="preserve">03/27/2025</t>
  </si>
  <si>
    <t xml:space="preserve">02/11/2026</t>
  </si>
  <si>
    <t xml:space="preserve">V2106</t>
  </si>
  <si>
    <t xml:space="preserve">Kimberly Wilson</t>
  </si>
  <si>
    <t xml:space="preserve">01/31/2026</t>
  </si>
  <si>
    <t xml:space="preserve">07/30/2024</t>
  </si>
  <si>
    <t xml:space="preserve">V2107</t>
  </si>
  <si>
    <t xml:space="preserve">Susan Brown</t>
  </si>
  <si>
    <t xml:space="preserve">03/02/2025</t>
  </si>
  <si>
    <t xml:space="preserve">01/30/2024</t>
  </si>
  <si>
    <t xml:space="preserve">05/18/2026</t>
  </si>
  <si>
    <t xml:space="preserve">front desk greeter</t>
  </si>
  <si>
    <t xml:space="preserve">V2108</t>
  </si>
  <si>
    <t xml:space="preserve">Nancy Wilson</t>
  </si>
  <si>
    <t xml:space="preserve">05/25/2026</t>
  </si>
  <si>
    <t xml:space="preserve">05/11/2026</t>
  </si>
  <si>
    <t xml:space="preserve">03/24/2026</t>
  </si>
  <si>
    <t xml:space="preserve">V2109</t>
  </si>
  <si>
    <t xml:space="preserve">Steven Wilson</t>
  </si>
  <si>
    <t xml:space="preserve">V2110</t>
  </si>
  <si>
    <t xml:space="preserve">Karen Lopez</t>
  </si>
  <si>
    <t xml:space="preserve">10/02/2024</t>
  </si>
  <si>
    <t xml:space="preserve">V2111</t>
  </si>
  <si>
    <t xml:space="preserve">Sandra Rodriguez</t>
  </si>
  <si>
    <t xml:space="preserve">11/26/2025</t>
  </si>
  <si>
    <t xml:space="preserve">V2112</t>
  </si>
  <si>
    <t xml:space="preserve">Jessica Wilson</t>
  </si>
  <si>
    <t xml:space="preserve">11/10/2025</t>
  </si>
  <si>
    <t xml:space="preserve">01/20/2024</t>
  </si>
  <si>
    <t xml:space="preserve">09/12/2024</t>
  </si>
  <si>
    <t xml:space="preserve">12/02/2024</t>
  </si>
  <si>
    <t xml:space="preserve">08/10/2025</t>
  </si>
  <si>
    <t xml:space="preserve">09/09/2025</t>
  </si>
  <si>
    <t xml:space="preserve">V2113</t>
  </si>
  <si>
    <t xml:space="preserve">Karen Thomas</t>
  </si>
  <si>
    <t xml:space="preserve">03/12/2024</t>
  </si>
  <si>
    <t xml:space="preserve">01/21/2026</t>
  </si>
  <si>
    <t xml:space="preserve">04/10/2024</t>
  </si>
  <si>
    <t xml:space="preserve">08/24/2024</t>
  </si>
  <si>
    <t xml:space="preserve">08/05/2025</t>
  </si>
  <si>
    <t xml:space="preserve">06/22/2025</t>
  </si>
  <si>
    <t xml:space="preserve">01/18/2024</t>
  </si>
  <si>
    <t xml:space="preserve">V2114</t>
  </si>
  <si>
    <t xml:space="preserve">Christopher Gonzalez</t>
  </si>
  <si>
    <t xml:space="preserve">05/04/2025</t>
  </si>
  <si>
    <t xml:space="preserve">02/07/2026</t>
  </si>
  <si>
    <t xml:space="preserve">V2115</t>
  </si>
  <si>
    <t xml:space="preserve">Joshua Jackson</t>
  </si>
  <si>
    <t xml:space="preserve">06/21/2025</t>
  </si>
  <si>
    <t xml:space="preserve">12/10/2024</t>
  </si>
  <si>
    <t xml:space="preserve">02/18/2026</t>
  </si>
  <si>
    <t xml:space="preserve">04/06/2024</t>
  </si>
  <si>
    <t xml:space="preserve">V2116</t>
  </si>
  <si>
    <t xml:space="preserve">Kimberly Moore</t>
  </si>
  <si>
    <t xml:space="preserve">12/22/2024</t>
  </si>
  <si>
    <t xml:space="preserve">V2117</t>
  </si>
  <si>
    <t xml:space="preserve">01/28/2025</t>
  </si>
  <si>
    <t xml:space="preserve">V2118</t>
  </si>
  <si>
    <t xml:space="preserve">William Davis</t>
  </si>
  <si>
    <t xml:space="preserve">03/31/2026</t>
  </si>
  <si>
    <t xml:space="preserve">V2119</t>
  </si>
  <si>
    <t xml:space="preserve">Susan Allen</t>
  </si>
  <si>
    <t xml:space="preserve">03/16/2026</t>
  </si>
  <si>
    <t xml:space="preserve">02/08/2024</t>
  </si>
  <si>
    <t xml:space="preserve">02/14/2026</t>
  </si>
  <si>
    <t xml:space="preserve">05/20/2024</t>
  </si>
  <si>
    <t xml:space="preserve">04/13/2026</t>
  </si>
  <si>
    <t xml:space="preserve">V2120</t>
  </si>
  <si>
    <t xml:space="preserve">Anthony Thomas</t>
  </si>
  <si>
    <t xml:space="preserve">V2121</t>
  </si>
  <si>
    <t xml:space="preserve">V2122</t>
  </si>
  <si>
    <t xml:space="preserve">Stephanie Lopez</t>
  </si>
  <si>
    <t xml:space="preserve">04/27/2026</t>
  </si>
  <si>
    <t xml:space="preserve">V2123</t>
  </si>
  <si>
    <t xml:space="preserve">Melissa Robinson</t>
  </si>
  <si>
    <t xml:space="preserve">01/21/2024</t>
  </si>
  <si>
    <t xml:space="preserve">V2124</t>
  </si>
  <si>
    <t xml:space="preserve">Michael Gonzalez</t>
  </si>
  <si>
    <t xml:space="preserve">02/07/2025</t>
  </si>
  <si>
    <t xml:space="preserve">10/05/2025</t>
  </si>
  <si>
    <t xml:space="preserve">05/07/2024</t>
  </si>
  <si>
    <t xml:space="preserve">V2125</t>
  </si>
  <si>
    <t xml:space="preserve">Brian Harris</t>
  </si>
  <si>
    <t xml:space="preserve">V2126</t>
  </si>
  <si>
    <t xml:space="preserve">Kimberly Scott</t>
  </si>
  <si>
    <t xml:space="preserve">01/16/2026</t>
  </si>
  <si>
    <t xml:space="preserve">01/24/2026</t>
  </si>
  <si>
    <t xml:space="preserve">V2127</t>
  </si>
  <si>
    <t xml:space="preserve">Patricia Lee</t>
  </si>
  <si>
    <t xml:space="preserve">09/05/2025</t>
  </si>
  <si>
    <t xml:space="preserve">09/10/2024</t>
  </si>
  <si>
    <t xml:space="preserve">V2128</t>
  </si>
  <si>
    <t xml:space="preserve">Donald Davis</t>
  </si>
  <si>
    <t xml:space="preserve">05/25/2024</t>
  </si>
  <si>
    <t xml:space="preserve">02/12/2024</t>
  </si>
  <si>
    <t xml:space="preserve">V2129</t>
  </si>
  <si>
    <t xml:space="preserve">Patricia Gonzalez</t>
  </si>
  <si>
    <t xml:space="preserve">07/15/2025</t>
  </si>
  <si>
    <t xml:space="preserve">10/03/2024</t>
  </si>
  <si>
    <t xml:space="preserve">V2130</t>
  </si>
  <si>
    <t xml:space="preserve">Sarah Garcia</t>
  </si>
  <si>
    <t xml:space="preserve">V2131</t>
  </si>
  <si>
    <t xml:space="preserve">Christopher Wilson</t>
  </si>
  <si>
    <t xml:space="preserve">09/27/2024</t>
  </si>
  <si>
    <t xml:space="preserve">01/31/2025</t>
  </si>
  <si>
    <t xml:space="preserve">06/25/2025</t>
  </si>
  <si>
    <t xml:space="preserve">V2132</t>
  </si>
  <si>
    <t xml:space="preserve">Lisa Scott</t>
  </si>
  <si>
    <t xml:space="preserve">V2133</t>
  </si>
  <si>
    <t xml:space="preserve">Melissa Wilson</t>
  </si>
  <si>
    <t xml:space="preserve">10/12/2024</t>
  </si>
  <si>
    <t xml:space="preserve">03/10/2025</t>
  </si>
  <si>
    <t xml:space="preserve">11/30/2025</t>
  </si>
  <si>
    <t xml:space="preserve">V2134</t>
  </si>
  <si>
    <t xml:space="preserve">08/21/2024</t>
  </si>
  <si>
    <t xml:space="preserve">V2135</t>
  </si>
  <si>
    <t xml:space="preserve">Patricia Rodriguez</t>
  </si>
  <si>
    <t xml:space="preserve">11/22/2025</t>
  </si>
  <si>
    <t xml:space="preserve">10/25/2025</t>
  </si>
  <si>
    <t xml:space="preserve">V2136</t>
  </si>
  <si>
    <t xml:space="preserve">Joshua King</t>
  </si>
  <si>
    <t xml:space="preserve">05/05/2024</t>
  </si>
  <si>
    <t xml:space="preserve">04/09/2025</t>
  </si>
  <si>
    <t xml:space="preserve">V2137</t>
  </si>
  <si>
    <t xml:space="preserve">Deborah Wilson</t>
  </si>
  <si>
    <t xml:space="preserve">12/20/2024</t>
  </si>
  <si>
    <t xml:space="preserve">V2138</t>
  </si>
  <si>
    <t xml:space="preserve">Donald Ramirez</t>
  </si>
  <si>
    <t xml:space="preserve">01/04/2025</t>
  </si>
  <si>
    <t xml:space="preserve">11/26/2024</t>
  </si>
  <si>
    <t xml:space="preserve">V2139</t>
  </si>
  <si>
    <t xml:space="preserve">Susan Taylor</t>
  </si>
  <si>
    <t xml:space="preserve">02/03/2025</t>
  </si>
  <si>
    <t xml:space="preserve">12/22/2025</t>
  </si>
  <si>
    <t xml:space="preserve">V2140</t>
  </si>
  <si>
    <t xml:space="preserve">Patricia Harris</t>
  </si>
  <si>
    <t xml:space="preserve">V2141</t>
  </si>
  <si>
    <t xml:space="preserve">Matthew Torres</t>
  </si>
  <si>
    <t xml:space="preserve">08/20/2025</t>
  </si>
  <si>
    <t xml:space="preserve">V2142</t>
  </si>
  <si>
    <t xml:space="preserve">Steven Flores</t>
  </si>
  <si>
    <t xml:space="preserve">12/13/2024</t>
  </si>
  <si>
    <t xml:space="preserve">V2143</t>
  </si>
  <si>
    <t xml:space="preserve">Betty Anderson</t>
  </si>
  <si>
    <t xml:space="preserve">01/06/2024</t>
  </si>
  <si>
    <t xml:space="preserve">V2144</t>
  </si>
  <si>
    <t xml:space="preserve">Charles Brown</t>
  </si>
  <si>
    <t xml:space="preserve">12/09/2024</t>
  </si>
  <si>
    <t xml:space="preserve">03/01/2024</t>
  </si>
  <si>
    <t xml:space="preserve">11/06/2024</t>
  </si>
  <si>
    <t xml:space="preserve">V2145</t>
  </si>
  <si>
    <t xml:space="preserve">James White</t>
  </si>
  <si>
    <t xml:space="preserve">04/09/2024</t>
  </si>
  <si>
    <t xml:space="preserve">09/24/2024</t>
  </si>
  <si>
    <t xml:space="preserve">09/28/2025</t>
  </si>
  <si>
    <t xml:space="preserve">V2146</t>
  </si>
  <si>
    <t xml:space="preserve">Christopher Martinez</t>
  </si>
  <si>
    <t xml:space="preserve">V2147</t>
  </si>
  <si>
    <t xml:space="preserve">Carol Williams</t>
  </si>
  <si>
    <t xml:space="preserve">04/17/2026</t>
  </si>
  <si>
    <t xml:space="preserve">07/15/2024</t>
  </si>
  <si>
    <t xml:space="preserve">07/24/2025</t>
  </si>
  <si>
    <t xml:space="preserve">04/07/2026</t>
  </si>
  <si>
    <t xml:space="preserve">V2148</t>
  </si>
  <si>
    <t xml:space="preserve">Lisa Nguyen</t>
  </si>
  <si>
    <t xml:space="preserve">V2149</t>
  </si>
  <si>
    <t xml:space="preserve">Michael Wright</t>
  </si>
  <si>
    <t xml:space="preserve">04/29/2025</t>
  </si>
  <si>
    <t xml:space="preserve">11/25/2024</t>
  </si>
  <si>
    <t xml:space="preserve">01/18/2026</t>
  </si>
  <si>
    <t xml:space="preserve">V2150</t>
  </si>
  <si>
    <t xml:space="preserve">Nancy Jones</t>
  </si>
  <si>
    <t xml:space="preserve">V2151</t>
  </si>
  <si>
    <t xml:space="preserve">Christopher Scott</t>
  </si>
  <si>
    <t xml:space="preserve">12/30/2025</t>
  </si>
  <si>
    <t xml:space="preserve">09/30/2025</t>
  </si>
  <si>
    <t xml:space="preserve">01/08/2024</t>
  </si>
  <si>
    <t xml:space="preserve">06/30/2024</t>
  </si>
  <si>
    <t xml:space="preserve">05/14/2024</t>
  </si>
  <si>
    <t xml:space="preserve">V2152</t>
  </si>
  <si>
    <t xml:space="preserve">Anthony Moore</t>
  </si>
  <si>
    <t xml:space="preserve">12/15/2024</t>
  </si>
  <si>
    <t xml:space="preserve">05/22/2025</t>
  </si>
  <si>
    <t xml:space="preserve">02/15/2025</t>
  </si>
  <si>
    <t xml:space="preserve">V2153</t>
  </si>
  <si>
    <t xml:space="preserve">Karen Gonzalez</t>
  </si>
  <si>
    <t xml:space="preserve">04/12/2026</t>
  </si>
  <si>
    <t xml:space="preserve">06/16/2025</t>
  </si>
  <si>
    <t xml:space="preserve">05/09/2025</t>
  </si>
  <si>
    <t xml:space="preserve">V2154</t>
  </si>
  <si>
    <t xml:space="preserve">Thomas Thomas</t>
  </si>
  <si>
    <t xml:space="preserve">01/21/2025</t>
  </si>
  <si>
    <t xml:space="preserve">02/13/2025</t>
  </si>
  <si>
    <t xml:space="preserve">V2155</t>
  </si>
  <si>
    <t xml:space="preserve">Elizabeth Rodriguez</t>
  </si>
  <si>
    <t xml:space="preserve">01/17/2025</t>
  </si>
  <si>
    <t xml:space="preserve">V2156</t>
  </si>
  <si>
    <t xml:space="preserve">Joseph White</t>
  </si>
  <si>
    <t xml:space="preserve">V2157</t>
  </si>
  <si>
    <t xml:space="preserve">03/20/2025</t>
  </si>
  <si>
    <t xml:space="preserve">V2158</t>
  </si>
  <si>
    <t xml:space="preserve">Deborah Perez</t>
  </si>
  <si>
    <t xml:space="preserve">V2159</t>
  </si>
  <si>
    <t xml:space="preserve">John Jones</t>
  </si>
  <si>
    <t xml:space="preserve">12/03/2024</t>
  </si>
  <si>
    <t xml:space="preserve">08/13/2024</t>
  </si>
  <si>
    <t xml:space="preserve">V2160</t>
  </si>
  <si>
    <t xml:space="preserve">Joseph Thompson</t>
  </si>
  <si>
    <t xml:space="preserve">06/05/2024</t>
  </si>
  <si>
    <t xml:space="preserve">V2161</t>
  </si>
  <si>
    <t xml:space="preserve">Donald Johnson</t>
  </si>
  <si>
    <t xml:space="preserve">V2162</t>
  </si>
  <si>
    <t xml:space="preserve">David Robinson</t>
  </si>
  <si>
    <t xml:space="preserve">03/04/2024</t>
  </si>
  <si>
    <t xml:space="preserve">12/10/2025</t>
  </si>
  <si>
    <t xml:space="preserve">V2163</t>
  </si>
  <si>
    <t xml:space="preserve">Deborah Ramirez</t>
  </si>
  <si>
    <t xml:space="preserve">03/31/2024</t>
  </si>
  <si>
    <t xml:space="preserve">V2164</t>
  </si>
  <si>
    <t xml:space="preserve">Stephanie Smith</t>
  </si>
  <si>
    <t xml:space="preserve">V2165</t>
  </si>
  <si>
    <t xml:space="preserve">09/03/2025</t>
  </si>
  <si>
    <t xml:space="preserve">V2166</t>
  </si>
  <si>
    <t xml:space="preserve">Linda White</t>
  </si>
  <si>
    <t xml:space="preserve">09/04/2025</t>
  </si>
  <si>
    <t xml:space="preserve">V2167</t>
  </si>
  <si>
    <t xml:space="preserve">Robert Lewis</t>
  </si>
  <si>
    <t xml:space="preserve">01/13/2024</t>
  </si>
  <si>
    <t xml:space="preserve">V2168</t>
  </si>
  <si>
    <t xml:space="preserve">Richard Torres</t>
  </si>
  <si>
    <t xml:space="preserve">01/16/2024</t>
  </si>
  <si>
    <t xml:space="preserve">V2169</t>
  </si>
  <si>
    <t xml:space="preserve">Patricia Nguyen</t>
  </si>
  <si>
    <t xml:space="preserve">12/23/2024</t>
  </si>
  <si>
    <t xml:space="preserve">06/18/2025</t>
  </si>
  <si>
    <t xml:space="preserve">V2170</t>
  </si>
  <si>
    <t xml:space="preserve">Joshua Flores</t>
  </si>
  <si>
    <t xml:space="preserve">04/24/2025</t>
  </si>
  <si>
    <t xml:space="preserve">V2171</t>
  </si>
  <si>
    <t xml:space="preserve">Anthony Lopez</t>
  </si>
  <si>
    <t xml:space="preserve">08/22/2025</t>
  </si>
  <si>
    <t xml:space="preserve">04/30/2025</t>
  </si>
  <si>
    <t xml:space="preserve">07/25/2025</t>
  </si>
  <si>
    <t xml:space="preserve">V2172</t>
  </si>
  <si>
    <t xml:space="preserve">James Walker</t>
  </si>
  <si>
    <t xml:space="preserve">05/29/2025</t>
  </si>
  <si>
    <t xml:space="preserve">V2173</t>
  </si>
  <si>
    <t xml:space="preserve">Thomas Harris</t>
  </si>
  <si>
    <t xml:space="preserve">09/20/2025</t>
  </si>
  <si>
    <t xml:space="preserve">V2174</t>
  </si>
  <si>
    <t xml:space="preserve">Karen White</t>
  </si>
  <si>
    <t xml:space="preserve">10/19/2025</t>
  </si>
  <si>
    <t xml:space="preserve">08/25/2024</t>
  </si>
  <si>
    <t xml:space="preserve">08/26/2024</t>
  </si>
  <si>
    <t xml:space="preserve">V2175</t>
  </si>
  <si>
    <t xml:space="preserve">Mary Wright</t>
  </si>
  <si>
    <t xml:space="preserve">01/12/2025</t>
  </si>
  <si>
    <t xml:space="preserve">V2176</t>
  </si>
  <si>
    <t xml:space="preserve">Paul Miller</t>
  </si>
  <si>
    <t xml:space="preserve">08/09/2025</t>
  </si>
  <si>
    <t xml:space="preserve">V2177</t>
  </si>
  <si>
    <t xml:space="preserve">Paul Lewis</t>
  </si>
  <si>
    <t xml:space="preserve">12/06/2024</t>
  </si>
  <si>
    <t xml:space="preserve">12/07/2024</t>
  </si>
  <si>
    <t xml:space="preserve">V2178</t>
  </si>
  <si>
    <t xml:space="preserve">Elizabeth Jackson</t>
  </si>
  <si>
    <t xml:space="preserve">02/25/2025</t>
  </si>
  <si>
    <t xml:space="preserve">V2179</t>
  </si>
  <si>
    <t xml:space="preserve">Matthew Thomas</t>
  </si>
  <si>
    <t xml:space="preserve">11/03/2024</t>
  </si>
  <si>
    <t xml:space="preserve">V2180</t>
  </si>
  <si>
    <t xml:space="preserve">Joshua Davis</t>
  </si>
  <si>
    <t xml:space="preserve">01/08/2025</t>
  </si>
  <si>
    <t xml:space="preserve">12/05/2024</t>
  </si>
  <si>
    <t xml:space="preserve">V2181</t>
  </si>
  <si>
    <t xml:space="preserve">Donald Miller</t>
  </si>
  <si>
    <t xml:space="preserve">04/30/2024</t>
  </si>
  <si>
    <t xml:space="preserve">06/08/2025</t>
  </si>
  <si>
    <t xml:space="preserve">V2182</t>
  </si>
  <si>
    <t xml:space="preserve">Margaret Clark</t>
  </si>
  <si>
    <t xml:space="preserve">01/10/2024</t>
  </si>
  <si>
    <t xml:space="preserve">V2183</t>
  </si>
  <si>
    <t xml:space="preserve">Steven Allen</t>
  </si>
  <si>
    <t xml:space="preserve">06/22/2024</t>
  </si>
  <si>
    <t xml:space="preserve">V2184</t>
  </si>
  <si>
    <t xml:space="preserve">Sarah Harris</t>
  </si>
  <si>
    <t xml:space="preserve">07/26/2025</t>
  </si>
  <si>
    <t xml:space="preserve">V2185</t>
  </si>
  <si>
    <t xml:space="preserve">10/24/2025</t>
  </si>
  <si>
    <t xml:space="preserve">05/06/2026</t>
  </si>
  <si>
    <t xml:space="preserve">09/10/2025</t>
  </si>
  <si>
    <t xml:space="preserve">V2186</t>
  </si>
  <si>
    <t xml:space="preserve">Melissa Wright</t>
  </si>
  <si>
    <t xml:space="preserve">V2187</t>
  </si>
  <si>
    <t xml:space="preserve">Kenneth Johnson</t>
  </si>
  <si>
    <t xml:space="preserve">08/18/2024</t>
  </si>
  <si>
    <t xml:space="preserve">V2188</t>
  </si>
  <si>
    <t xml:space="preserve">Donna Walker</t>
  </si>
  <si>
    <t xml:space="preserve">11/19/2024</t>
  </si>
  <si>
    <t xml:space="preserve">V2189</t>
  </si>
  <si>
    <t xml:space="preserve">James Scott</t>
  </si>
  <si>
    <t xml:space="preserve">V2190</t>
  </si>
  <si>
    <t xml:space="preserve">Elizabeth Nguyen</t>
  </si>
  <si>
    <t xml:space="preserve">V2191</t>
  </si>
  <si>
    <t xml:space="preserve">06/11/2024</t>
  </si>
  <si>
    <t xml:space="preserve">V2192</t>
  </si>
  <si>
    <t xml:space="preserve">Ashley Jones</t>
  </si>
  <si>
    <t xml:space="preserve">V2193</t>
  </si>
  <si>
    <t xml:space="preserve">Lisa Thompson</t>
  </si>
  <si>
    <t xml:space="preserve">V2194</t>
  </si>
  <si>
    <t xml:space="preserve">Kimberly Jones</t>
  </si>
  <si>
    <t xml:space="preserve">10/31/2025</t>
  </si>
  <si>
    <t xml:space="preserve">V2195</t>
  </si>
  <si>
    <t xml:space="preserve">Kimberly Lewis</t>
  </si>
  <si>
    <t xml:space="preserve">V2196</t>
  </si>
  <si>
    <t xml:space="preserve">Deborah Walker</t>
  </si>
  <si>
    <t xml:space="preserve">V2197</t>
  </si>
  <si>
    <t xml:space="preserve">Edward Ramirez</t>
  </si>
  <si>
    <t xml:space="preserve">06/28/2024</t>
  </si>
  <si>
    <t xml:space="preserve">V2198</t>
  </si>
  <si>
    <t xml:space="preserve">David Wilson</t>
  </si>
  <si>
    <t xml:space="preserve">V2199</t>
  </si>
  <si>
    <t xml:space="preserve">Sandra Smith</t>
  </si>
  <si>
    <t xml:space="preserve">V2200</t>
  </si>
  <si>
    <t xml:space="preserve">Nancy Miller</t>
  </si>
  <si>
    <t xml:space="preserve">11/11/2024</t>
  </si>
  <si>
    <t xml:space="preserve">V2201</t>
  </si>
  <si>
    <t xml:space="preserve">Michelle Smith</t>
  </si>
  <si>
    <t xml:space="preserve">08/15/2025</t>
  </si>
  <si>
    <t xml:space="preserve">05/18/2025</t>
  </si>
  <si>
    <t xml:space="preserve">V2202</t>
  </si>
  <si>
    <t xml:space="preserve">12/16/2024</t>
  </si>
  <si>
    <t xml:space="preserve">10/28/2025</t>
  </si>
  <si>
    <t xml:space="preserve">10/05/2024</t>
  </si>
  <si>
    <t xml:space="preserve">V2203</t>
  </si>
  <si>
    <t xml:space="preserve">Christopher Lee</t>
  </si>
  <si>
    <t xml:space="preserve">V2204</t>
  </si>
  <si>
    <t xml:space="preserve">James Young</t>
  </si>
  <si>
    <t xml:space="preserve">06/12/2024</t>
  </si>
  <si>
    <t xml:space="preserve">V2205</t>
  </si>
  <si>
    <t xml:space="preserve">Karen Taylor</t>
  </si>
  <si>
    <t xml:space="preserve">12/20/2025</t>
  </si>
  <si>
    <t xml:space="preserve">10/16/2024</t>
  </si>
  <si>
    <t xml:space="preserve">V2206</t>
  </si>
  <si>
    <t xml:space="preserve">Nancy Rodriguez</t>
  </si>
  <si>
    <t xml:space="preserve">V2207</t>
  </si>
  <si>
    <t xml:space="preserve">Kenneth Robinson</t>
  </si>
  <si>
    <t xml:space="preserve">V2208</t>
  </si>
  <si>
    <t xml:space="preserve">Elizabeth Jones</t>
  </si>
  <si>
    <t xml:space="preserve">mobile distribution driver</t>
  </si>
  <si>
    <t xml:space="preserve">02/03/2026</t>
  </si>
  <si>
    <t xml:space="preserve">V2209</t>
  </si>
  <si>
    <t xml:space="preserve">William Thompson</t>
  </si>
  <si>
    <t xml:space="preserve">03/30/2025</t>
  </si>
  <si>
    <t xml:space="preserve">02/15/2024</t>
  </si>
  <si>
    <t xml:space="preserve">V2210</t>
  </si>
  <si>
    <t xml:space="preserve">Sandra Hernandez</t>
  </si>
  <si>
    <t xml:space="preserve">11/15/2025</t>
  </si>
  <si>
    <t xml:space="preserve">V2211</t>
  </si>
  <si>
    <t xml:space="preserve">Sandra Sanchez</t>
  </si>
  <si>
    <t xml:space="preserve">10/07/2025</t>
  </si>
  <si>
    <t xml:space="preserve">02/17/2024</t>
  </si>
  <si>
    <t xml:space="preserve">V2212</t>
  </si>
  <si>
    <t xml:space="preserve">Ashley Clark</t>
  </si>
  <si>
    <t xml:space="preserve">03/23/2026</t>
  </si>
  <si>
    <t xml:space="preserve">V2213</t>
  </si>
  <si>
    <t xml:space="preserve">Nancy Wright</t>
  </si>
  <si>
    <t xml:space="preserve">05/29/2026</t>
  </si>
  <si>
    <t xml:space="preserve">V2214</t>
  </si>
  <si>
    <t xml:space="preserve">Sarah Hill</t>
  </si>
  <si>
    <t xml:space="preserve">V2215</t>
  </si>
  <si>
    <t xml:space="preserve">Staff Member</t>
  </si>
  <si>
    <t xml:space="preserve">Contact Method</t>
  </si>
  <si>
    <t xml:space="preserve">Date</t>
  </si>
  <si>
    <t xml:space="preserve">Donor/Volunteer Name</t>
  </si>
  <si>
    <t xml:space="preserve">Notes</t>
  </si>
  <si>
    <t xml:space="preserve">Substantive Contact</t>
  </si>
  <si>
    <t xml:space="preserve">Outcome</t>
  </si>
  <si>
    <t xml:space="preserve">Ann Marie Levier</t>
  </si>
  <si>
    <t xml:space="preserve">Email</t>
  </si>
  <si>
    <t xml:space="preserve">12/1/17</t>
  </si>
  <si>
    <t xml:space="preserve">Dominic Richards</t>
  </si>
  <si>
    <t xml:space="preserve">Sent Dominic an email asking for an update if he would like to move ahead with a gift to establish the full Graduate Student Honors Program based on how pleased he was with the intern program</t>
  </si>
  <si>
    <t xml:space="preserve">Positive</t>
  </si>
  <si>
    <t xml:space="preserve">William Bendrich</t>
  </si>
  <si>
    <t xml:space="preserve">Emailed Dr. Jonathan Winters, who have ties to Dr. Bendrich, regarding a gift to fund a Student Honors Program based on his verbal interest</t>
  </si>
  <si>
    <t xml:space="preserve">Letter</t>
  </si>
  <si>
    <t xml:space="preserve">11/30/17</t>
  </si>
  <si>
    <t xml:space="preserve">Belinda Carlyle</t>
  </si>
  <si>
    <t xml:space="preserve">Sent Belinda an upgrade brochure, appeal letter and envelope, as well as a handwritten note asking for her to become a leadership annual fund donor with a gift of $1,000</t>
  </si>
  <si>
    <t xml:space="preserve">Deborah Mettier</t>
  </si>
  <si>
    <t xml:space="preserve">Phone</t>
  </si>
  <si>
    <t xml:space="preserve">11/29/17</t>
  </si>
  <si>
    <t xml:space="preserve">Donna Gilbert</t>
  </si>
  <si>
    <t xml:space="preserve">$50k to extend Kendrick Memorial Undergraduate Scholarship and create Guiles Memorial Student Scholarship based on board meeting and verbal commtiment</t>
  </si>
  <si>
    <t xml:space="preserve">11/27/17</t>
  </si>
  <si>
    <t xml:space="preserve">Jeffrey Jantz</t>
  </si>
  <si>
    <t xml:space="preserve">Sent upgrade brochure asking Jeffrey and Julie to become a leadership annual fund donor by making a gift of $1,000 or more, and said I'd be happy to send information about our Leadership Society</t>
  </si>
  <si>
    <t xml:space="preserve">11/24/17</t>
  </si>
  <si>
    <t xml:space="preserve">Marsha Kenmore</t>
  </si>
  <si>
    <t xml:space="preserve">Sent Marsha an leadership annual fund upgrade brochure with a handwritten note asking her to become a leadership annual fund donor with a gift of $5,000</t>
  </si>
  <si>
    <t xml:space="preserve">Kenneth Smith</t>
  </si>
  <si>
    <t xml:space="preserve">Sent upgrade brochure to Kenneth thanking them for their support since 2000 and asking them to become leadership annual fund donors with a gift of $2,500</t>
  </si>
  <si>
    <t xml:space="preserve">Bill Bamers</t>
  </si>
  <si>
    <t xml:space="preserve">Visit</t>
  </si>
  <si>
    <t xml:space="preserve">11/20/17</t>
  </si>
  <si>
    <t xml:space="preserve">Jennifer Ballens</t>
  </si>
  <si>
    <t xml:space="preserve">Roger, Julie and Amy met Jennifer for a cultivation lunch in Palo Alto. Jennifer shared that she and Jack would like to try to get to the Ambassadors Society level to support research lab.</t>
  </si>
  <si>
    <t xml:space="preserve">Carlos Bendiga</t>
  </si>
  <si>
    <t xml:space="preserve">10/30/17</t>
  </si>
  <si>
    <t xml:space="preserve">Barbara Benaldi</t>
  </si>
  <si>
    <t xml:space="preserve">Not available during next trip to Seattle. Declined last meeting. Will try again in Winter.</t>
  </si>
  <si>
    <t xml:space="preserve">Negative</t>
  </si>
  <si>
    <t xml:space="preserve">10/27/17</t>
  </si>
  <si>
    <t xml:space="preserve">Jeff Zink</t>
  </si>
  <si>
    <t xml:space="preserve">Emailed about continued funding or guidance regarding facilities project based on lab meeting</t>
  </si>
  <si>
    <t xml:space="preserve">Laurie Stickel</t>
  </si>
  <si>
    <t xml:space="preserve">Laurie is not able to meet now (too busy)</t>
  </si>
  <si>
    <t xml:space="preserve">Carol Candy</t>
  </si>
  <si>
    <t xml:space="preserve">Left message for meeting to gather feedback about Dayton event and negative concerns about upcoming initiative</t>
  </si>
  <si>
    <t xml:space="preserve">10/26/17</t>
  </si>
  <si>
    <t xml:space="preserve">Bill Mandel</t>
  </si>
  <si>
    <t xml:space="preserve">Bill would like to become more involved with University Center, first with a blog post and he will add the Institute to annual charities to support</t>
  </si>
  <si>
    <t xml:space="preserve">10/25/17</t>
  </si>
  <si>
    <t xml:space="preserve">Yoshi Margarita</t>
  </si>
  <si>
    <t xml:space="preserve">Emailed Yoshi to inquire if he would like to be featured in the annual report</t>
  </si>
  <si>
    <t xml:space="preserve">Rashi Mohinder</t>
  </si>
  <si>
    <t xml:space="preserve">10/18/17</t>
  </si>
  <si>
    <t xml:space="preserve">Ingrid Horowitz</t>
  </si>
  <si>
    <t xml:space="preserve">Wendy spoke with Troy Rigamonti and he identified Ingrid as a major gift prospect. He has been in touch with her due to her work with United Way in San Francisco and has expressed interest in getting involved in the Center</t>
  </si>
  <si>
    <t xml:space="preserve">10/3/17</t>
  </si>
  <si>
    <t xml:space="preserve">Maria Del Carmen</t>
  </si>
  <si>
    <t xml:space="preserve">Agreed to review giving opportunities</t>
  </si>
  <si>
    <t xml:space="preserve">Jonathan Dune</t>
  </si>
  <si>
    <t xml:space="preserve">Requested class notation for new consulting job</t>
  </si>
  <si>
    <t xml:space="preserve">10/1/17</t>
  </si>
  <si>
    <t xml:space="preserve">Steven Sanders</t>
  </si>
  <si>
    <t xml:space="preserve">Not able to attend Fall Football games this season</t>
  </si>
  <si>
    <t xml:space="preserve">John Summers</t>
  </si>
  <si>
    <t xml:space="preserve">Deborah to host John for homecoming game. Lunch meeting pending.</t>
  </si>
  <si>
    <t xml:space="preserve">Ken Takahashi</t>
  </si>
  <si>
    <t xml:space="preserve">Ken's no longer wishes to support the university. Unhappy with recently handling of gift recognition ceremony cancellation.</t>
  </si>
  <si>
    <t xml:space="preserve">9/27/17</t>
  </si>
  <si>
    <t xml:space="preserve">Doug E. Fresh</t>
  </si>
  <si>
    <t xml:space="preserve">Email to thank them for their gift last year, with mention that the gift was made this week last year, and ask for them to continue to support us this year with a gift</t>
  </si>
  <si>
    <t xml:space="preserve">Polly Peters</t>
  </si>
  <si>
    <t xml:space="preserve">Polly us not able to donate right now and is involved with many other organizations</t>
  </si>
  <si>
    <t xml:space="preserve">Izzy Smith</t>
  </si>
  <si>
    <t xml:space="preserve">Emailed happy anniversary card to Izzy to remind him that he supported student scholarships a year ago this week</t>
  </si>
  <si>
    <t xml:space="preserve">Leonard Palmer</t>
  </si>
  <si>
    <t xml:space="preserve">Follow-up email after not being able to connect while I was in Florida, and mentioned he must decline two upcoming speaking engagements in Miami</t>
  </si>
  <si>
    <t xml:space="preserve">9/24/17</t>
  </si>
  <si>
    <t xml:space="preserve">Beverly Skinner</t>
  </si>
  <si>
    <t xml:space="preserve">Beverly responded to my email to let me know she and Bob regretably did not enjoy the University Science Fellows meeting</t>
  </si>
  <si>
    <t xml:space="preserve">Eli Spencer</t>
  </si>
  <si>
    <t xml:space="preserve">Sent introductory postcard thanking Eli for his continued support and hoping to meet for coffee soon</t>
  </si>
  <si>
    <t xml:space="preserve">9/22/17</t>
  </si>
  <si>
    <t xml:space="preserve">Mary Billows</t>
  </si>
  <si>
    <t xml:space="preserve">Sent Mary an introductory postcard thanking her for continued support, and offering to grab coffee with her soon to learn more about her interests in support the university.</t>
  </si>
  <si>
    <t xml:space="preserve">9/15/17</t>
  </si>
  <si>
    <t xml:space="preserve">Yani Yantos</t>
  </si>
  <si>
    <t xml:space="preserve">Email response from Yani; unfortunately does not want to meet</t>
  </si>
  <si>
    <t xml:space="preserve">Andrew Napp</t>
  </si>
  <si>
    <t xml:space="preserve">Gift Renewal Discussion--agreed to split gift btwn College and University Student Scholarships</t>
  </si>
  <si>
    <t xml:space="preserve">Adam Crinker</t>
  </si>
  <si>
    <t xml:space="preserve">Adam agreed to a $5k Junior Alumni Association gift</t>
  </si>
  <si>
    <t xml:space="preserve">April Catson</t>
  </si>
  <si>
    <t xml:space="preserve">8/31/17</t>
  </si>
  <si>
    <t xml:space="preserve">Mitch Michaels</t>
  </si>
  <si>
    <t xml:space="preserve">We met for lunch at Bigelow's. Mitch agreed to join the Council.</t>
  </si>
  <si>
    <t xml:space="preserve">8/30/17</t>
  </si>
  <si>
    <t xml:space="preserve">Gary Garty</t>
  </si>
  <si>
    <t xml:space="preserve">Gary unfortunately requested to be removed from mailing list; will not support in the future</t>
  </si>
  <si>
    <t xml:space="preserve">Laurie Satchi</t>
  </si>
  <si>
    <t xml:space="preserve">not a gift prospect</t>
  </si>
  <si>
    <t xml:space="preserve">Joan Joffey</t>
  </si>
  <si>
    <t xml:space="preserve">Sam Pinchas</t>
  </si>
  <si>
    <t xml:space="preserve">Met with Sam to discuss interest in the Council. Adam would like to participate.</t>
  </si>
  <si>
    <t xml:space="preserve">8/11/17</t>
  </si>
  <si>
    <t xml:space="preserve">Ricardo Mendez</t>
  </si>
  <si>
    <t xml:space="preserve">not interested in the University</t>
  </si>
  <si>
    <t xml:space="preserve">Paul Johnson</t>
  </si>
  <si>
    <t xml:space="preserve">Paul is pleased with the direction of the Council and I mentioned our next meeting would most likely be in Septebmer</t>
  </si>
  <si>
    <t xml:space="preserve">8/7/17</t>
  </si>
  <si>
    <t xml:space="preserve">Mike Panda</t>
  </si>
  <si>
    <t xml:space="preserve">Mike expressed interest in supporting the spring event</t>
  </si>
  <si>
    <t xml:space="preserve">Adam Gross</t>
  </si>
  <si>
    <t xml:space="preserve">Met with Adam to discuss interest in the Council. Adam would like to participate.</t>
  </si>
  <si>
    <t xml:space="preserve">Barbara Booker</t>
  </si>
  <si>
    <t xml:space="preserve">Barbara is not a prospect</t>
  </si>
  <si>
    <t xml:space="preserve">7/29/17</t>
  </si>
  <si>
    <t xml:space="preserve">Andrew Keller</t>
  </si>
  <si>
    <t xml:space="preserve">Andrew has decided not to support program</t>
  </si>
  <si>
    <t xml:space="preserve">Brandon Barry</t>
  </si>
  <si>
    <t xml:space="preserve">Brandon is not a MG prospect</t>
  </si>
  <si>
    <t xml:space="preserve">Weihua Wong</t>
  </si>
  <si>
    <t xml:space="preserve">Not a major gift prospect at this time</t>
  </si>
  <si>
    <t xml:space="preserve">Angela Devine</t>
  </si>
  <si>
    <t xml:space="preserve">Not able to meet during this trip</t>
  </si>
  <si>
    <t xml:space="preserve">Bobby Michaels</t>
  </si>
  <si>
    <t xml:space="preserve">Bob Sanders</t>
  </si>
  <si>
    <t xml:space="preserve">Invited Bob Sanders to Student Designers Forum, but could not attend. Also declined lecture invitation next month.</t>
  </si>
  <si>
    <t xml:space="preserve">John Pickles</t>
  </si>
  <si>
    <t xml:space="preserve">Agreed to visit campus again to meet to discuss ideas for support</t>
  </si>
  <si>
    <t xml:space="preserve">Buffy Derula</t>
  </si>
  <si>
    <t xml:space="preserve">Spoke to Buffy, wife of Kevin. Buffy's daughter Maria loves campus and I suggested we have lunch to discuss study abroad program and support.</t>
  </si>
  <si>
    <t xml:space="preserve">7/27/17</t>
  </si>
  <si>
    <t xml:space="preserve">John Zappy</t>
  </si>
  <si>
    <t xml:space="preserve">John invited me out to see his factory. John likes the new student mentorship program.</t>
  </si>
  <si>
    <t xml:space="preserve">Pappy Reagan</t>
  </si>
  <si>
    <t xml:space="preserve">Pappy does not want to meet during this trip.</t>
  </si>
  <si>
    <t xml:space="preserve">Carol Tilly</t>
  </si>
  <si>
    <t xml:space="preserve">Carol asked for me to resend email and she wants to schedule a meeting in the next couple of weeks.</t>
  </si>
  <si>
    <t xml:space="preserve">Paula Poundstone</t>
  </si>
  <si>
    <t xml:space="preserve">Spoke with Paula, following up on initial email. Paula asked for me to resend email and she wants to schedule a meeting in the next couple of weeks.</t>
  </si>
  <si>
    <t xml:space="preserve">Scott Soma</t>
  </si>
  <si>
    <t xml:space="preserve">Definitely interested in the University and would like a meeting next month.</t>
  </si>
  <si>
    <t xml:space="preserve">Jane Timo</t>
  </si>
  <si>
    <t xml:space="preserve">Lauri Gold</t>
  </si>
  <si>
    <t xml:space="preserve">Laurie wants to meet as soon as possible to discuss the Council volunteer group event.</t>
  </si>
  <si>
    <t xml:space="preserve">Tos Norani</t>
  </si>
  <si>
    <t xml:space="preserve">Pappy Geoffrey</t>
  </si>
  <si>
    <t xml:space="preserve">Pappy is not interested in meeting.</t>
  </si>
  <si>
    <t xml:space="preserve">7/18/17</t>
  </si>
  <si>
    <t xml:space="preserve">Mona Yeltz</t>
  </si>
  <si>
    <t xml:space="preserve">Mona does not want to meet during this trip.</t>
  </si>
  <si>
    <t xml:space="preserve">Miriam Weathers</t>
  </si>
  <si>
    <t xml:space="preserve">Miriam declined visit and is no longer interested in the Center.</t>
  </si>
  <si>
    <t xml:space="preserve">Ryan Biller</t>
  </si>
  <si>
    <t xml:space="preserve">Willliam Namee</t>
  </si>
  <si>
    <t xml:space="preserve">Kevin Racetop</t>
  </si>
  <si>
    <t xml:space="preserve">Ryan Lincoln</t>
  </si>
  <si>
    <t xml:space="preserve">Ryan Menzo</t>
  </si>
  <si>
    <t xml:space="preserve">Melinda Montero</t>
  </si>
  <si>
    <t xml:space="preserve">Definitely interested in the Center and would like a meeting next month.</t>
  </si>
  <si>
    <t xml:space="preserve">Vicky Sanchez</t>
  </si>
  <si>
    <t xml:space="preserve">Rachel Block</t>
  </si>
  <si>
    <t xml:space="preserve">7/15/17</t>
  </si>
  <si>
    <t xml:space="preserve">Sandy Bullock</t>
  </si>
  <si>
    <t xml:space="preserve">Julia sent Sandy an email following up on her potential Council membership as well as meeting with Toshio Kumura, family's financial planner</t>
  </si>
  <si>
    <t xml:space="preserve">Leonard Nimorach</t>
  </si>
  <si>
    <t xml:space="preserve">Julia reached out for a meeting to discuss Leonard's support of the Center.</t>
  </si>
  <si>
    <t xml:space="preserve">Ben Billards</t>
  </si>
  <si>
    <t xml:space="preserve">Jim Yamamoto and Ben discussed his role as Chair and future support.</t>
  </si>
  <si>
    <t xml:space="preserve">Barbara toured University. To continue engaging with Center.</t>
  </si>
  <si>
    <t xml:space="preserve">Institute Director met with Bill. Not a major gift prospect</t>
  </si>
  <si>
    <t xml:space="preserve">Troy Rigamonti</t>
  </si>
  <si>
    <t xml:space="preserve">Troy Rigamonti spoke with director about University Center. Troy is interested.</t>
  </si>
  <si>
    <t xml:space="preserve">Bondo Beadry</t>
  </si>
  <si>
    <t xml:space="preserve">Bondo declined to support Research project funding</t>
  </si>
  <si>
    <t xml:space="preserve">Billy Blanks</t>
  </si>
  <si>
    <t xml:space="preserve">Billy declined to support Research project funding</t>
  </si>
  <si>
    <t xml:space="preserve">7/13/17</t>
  </si>
  <si>
    <t xml:space="preserve">Jeff Cook</t>
  </si>
  <si>
    <t xml:space="preserve">Jeffrey cannot attend meeting with Jim Yamamoto</t>
  </si>
  <si>
    <t xml:space="preserve">Henry Lime</t>
  </si>
  <si>
    <t xml:space="preserve">Henry cannot attend meeting with Mary and Jim Yamamoto</t>
  </si>
  <si>
    <t xml:space="preserve">Kanghu Kim</t>
  </si>
  <si>
    <t xml:space="preserve">Kangsu verbally agreed to funding Research project</t>
  </si>
  <si>
    <t xml:space="preserve">Marsha Manning</t>
  </si>
  <si>
    <t xml:space="preserve">Marsha cannot attend Board meeting in March</t>
  </si>
  <si>
    <t xml:space="preserve">Linda Johnson</t>
  </si>
  <si>
    <t xml:space="preserve">Linda is a long time Bronco Family member who has played a big part of awareness with student programs. Linda is interested and viable as a connector to other reunion volunteers.</t>
  </si>
  <si>
    <t xml:space="preserve">Morgan Miller</t>
  </si>
  <si>
    <t xml:space="preserve">Morgan decided she is no longer interested in supporting the Center to focus on other priorities</t>
  </si>
  <si>
    <t xml:space="preserve">Amy Peters</t>
  </si>
  <si>
    <t xml:space="preserve">Amy Peters could not attend parlor meeting</t>
  </si>
  <si>
    <t xml:space="preserve">David Charles</t>
  </si>
  <si>
    <t xml:space="preserve">David Charles cannot attend</t>
  </si>
  <si>
    <t xml:space="preserve">7/12/17</t>
  </si>
  <si>
    <t xml:space="preserve">Margaret Charles</t>
  </si>
  <si>
    <t xml:space="preserve">Margaret Charles cannot attend</t>
  </si>
  <si>
    <t xml:space="preserve">7/11/17</t>
  </si>
  <si>
    <t xml:space="preserve">Felix Feathers</t>
  </si>
  <si>
    <t xml:space="preserve">Felix declined invitation to support student program</t>
  </si>
  <si>
    <t xml:space="preserve">Mithra Jones</t>
  </si>
  <si>
    <t xml:space="preserve">Julia left a message for Mithra asking him to speak on behalf of Board at Feb meeting in Floria</t>
  </si>
  <si>
    <t xml:space="preserve">Demi Moore</t>
  </si>
  <si>
    <t xml:space="preserve">Demi asked for report and expressed concern of event date</t>
  </si>
  <si>
    <t xml:space="preserve">7/10/17</t>
  </si>
  <si>
    <t xml:space="preserve">Robert Miller</t>
  </si>
  <si>
    <t xml:space="preserve">Outreach to inquire if Bob would be willing to host admitted students reception, but he declined</t>
  </si>
  <si>
    <t xml:space="preserve">Mithra not able to attend breakfast with Center council</t>
  </si>
  <si>
    <t xml:space="preserve">Troy Rigamonti interested in educational portfolio, but has serious doubt and negative feelings about the Center</t>
  </si>
  <si>
    <t xml:space="preserve">7/9/17</t>
  </si>
  <si>
    <t xml:space="preserve">John Adams</t>
  </si>
  <si>
    <t xml:space="preserve">Rick decided to not participate in student mission trip.</t>
  </si>
  <si>
    <t xml:space="preserve">Rick Adams</t>
  </si>
  <si>
    <t xml:space="preserve">Ongoing contact with John in his role as the Student Innovation liaison. He also served on his reunion committee last year. Current outreach regarding campaign support.</t>
  </si>
  <si>
    <t xml:space="preserve">7/8/17</t>
  </si>
  <si>
    <t xml:space="preserve">Dante Devani</t>
  </si>
  <si>
    <t xml:space="preserve">Offered to host Devani family for scholarship reception. Dante responded with additional gift to the University First Generation Students Project.</t>
  </si>
  <si>
    <t xml:space="preserve">Kali Pomona</t>
  </si>
  <si>
    <t xml:space="preserve">Lunch meeting. Not interested in University projects.</t>
  </si>
  <si>
    <t xml:space="preserve">Mary Motto</t>
  </si>
  <si>
    <t xml:space="preserve">I sent Mary information about the upcoming trip to California. She is interested.</t>
  </si>
  <si>
    <t xml:space="preserve">7/7/17</t>
  </si>
  <si>
    <t xml:space="preserve">Bob Jones</t>
  </si>
  <si>
    <t xml:space="preserve">I invited Bob to be the keynote speaker for Science Forum.</t>
  </si>
  <si>
    <t xml:space="preserve">Elisa Nardy</t>
  </si>
  <si>
    <t xml:space="preserve">Elisa agreed to join the Volunteer Council.</t>
  </si>
  <si>
    <t xml:space="preserve">Robert Downy</t>
  </si>
  <si>
    <t xml:space="preserve">Meeting with Program Director. The purpose of visit was to explore ways to engage both University undergraduate students and postdoc researchers</t>
  </si>
  <si>
    <t xml:space="preserve">Donna Vera</t>
  </si>
  <si>
    <t xml:space="preserve">Spoke with Donna for 45 min. Not doing well and must decline event.</t>
  </si>
  <si>
    <t xml:space="preserve">Bill Kenmore</t>
  </si>
  <si>
    <t xml:space="preserve">Ken Ballmers met Dr. Pendal for the presentation at Center. Ken has a great interest in the Center and we toured after the event.</t>
  </si>
  <si>
    <t xml:space="preserve">Julie Ballens</t>
  </si>
  <si>
    <t xml:space="preserve">Ben Benaldi</t>
  </si>
  <si>
    <t xml:space="preserve">Josh Zink</t>
  </si>
  <si>
    <t xml:space="preserve">Kenji Margarita</t>
  </si>
  <si>
    <t xml:space="preserve">Beatrice Horowitz</t>
  </si>
  <si>
    <t xml:space="preserve">Xochi Del Carmen</t>
  </si>
  <si>
    <t xml:space="preserve">Doug E. Frosh</t>
  </si>
  <si>
    <t xml:space="preserve">8/1/17</t>
  </si>
  <si>
    <t xml:space="preserve">Hally Palmer</t>
  </si>
  <si>
    <t xml:space="preserve">Andros Skinner</t>
  </si>
  <si>
    <t xml:space="preserve">Elucian Spencer</t>
  </si>
  <si>
    <t xml:space="preserve">Mark Billows</t>
  </si>
  <si>
    <t xml:space="preserve">Ani Yantos</t>
  </si>
  <si>
    <t xml:space="preserve">Kevin Napp</t>
  </si>
  <si>
    <t xml:space="preserve">Bob Crinker</t>
  </si>
  <si>
    <t xml:space="preserve">Monte Michaels</t>
  </si>
  <si>
    <t xml:space="preserve">Luz Garty</t>
  </si>
  <si>
    <t xml:space="preserve">Lezlie Satchi</t>
  </si>
  <si>
    <t xml:space="preserve">Steve Pinchas</t>
  </si>
  <si>
    <t xml:space="preserve">Bill Mendez</t>
  </si>
  <si>
    <t xml:space="preserve">Ben Johnson</t>
  </si>
  <si>
    <t xml:space="preserve">Adam Panda</t>
  </si>
  <si>
    <t xml:space="preserve">Billy Gross</t>
  </si>
  <si>
    <t xml:space="preserve">Carrie Booker</t>
  </si>
  <si>
    <t xml:space="preserve">Dori Keller</t>
  </si>
  <si>
    <t xml:space="preserve">Yani verbally agreed to support the Center</t>
  </si>
  <si>
    <t xml:space="preserve">8/2/17</t>
  </si>
  <si>
    <t xml:space="preserve">Grayson Garty</t>
  </si>
  <si>
    <t xml:space="preserve">No longer interested in attending events</t>
  </si>
  <si>
    <t xml:space="preserve">8/27/17</t>
  </si>
  <si>
    <t xml:space="preserve">Duplicate Flag</t>
  </si>
  <si>
    <t xml:space="preserve">Donor Category (Clean)</t>
  </si>
  <si>
    <t xml:space="preserve">Preferred Contact Type (Clean)</t>
  </si>
  <si>
    <t xml:space="preserve">Lapsed Donor Flag</t>
  </si>
  <si>
    <t xml:space="preserve">Giving Rank (helper)</t>
  </si>
  <si>
    <t xml:space="preserve">Lapsed Rank (helper)</t>
  </si>
  <si>
    <t xml:space="preserve">Linked DonorID</t>
  </si>
  <si>
    <t xml:space="preserve">Also a Donor?</t>
  </si>
  <si>
    <t xml:space="preserve">Role (Clean)</t>
  </si>
  <si>
    <t xml:space="preserve">Hours (Clean)</t>
  </si>
  <si>
    <t xml:space="preserve">Donor Summary</t>
  </si>
  <si>
    <t xml:space="preserve">By Donor Category</t>
  </si>
  <si>
    <t xml:space="preserve">Count</t>
  </si>
  <si>
    <t xml:space="preserve">% of Total</t>
  </si>
  <si>
    <t xml:space="preserve">Avg Lifetime Giving</t>
  </si>
  <si>
    <t xml:space="preserve">Total</t>
  </si>
  <si>
    <t xml:space="preserve">By Wealth Rating</t>
  </si>
  <si>
    <t xml:space="preserve">Donor Count</t>
  </si>
  <si>
    <t xml:space="preserve">Not Rated</t>
  </si>
  <si>
    <t xml:space="preserve">Giving Trend by Fiscal Year</t>
  </si>
  <si>
    <t xml:space="preserve">Fiscal Year</t>
  </si>
  <si>
    <t xml:space="preserve">Total Given</t>
  </si>
  <si>
    <t xml:space="preserve">Number of Gifts (&gt;$0)</t>
  </si>
  <si>
    <t xml:space="preserve">FY2021</t>
  </si>
  <si>
    <t xml:space="preserve">FY2022</t>
  </si>
  <si>
    <t xml:space="preserve">FY2023</t>
  </si>
  <si>
    <t xml:space="preserve">FY2024</t>
  </si>
  <si>
    <t xml:space="preserve">FY2025</t>
  </si>
  <si>
    <t xml:space="preserve">Data Quality Notes</t>
  </si>
  <si>
    <t xml:space="preserve">Metric</t>
  </si>
  <si>
    <t xml:space="preserve">Value</t>
  </si>
  <si>
    <t xml:space="preserve">Duplicate DonorIDs flagged</t>
  </si>
  <si>
    <t xml:space="preserve">Donors missing Wealth Rating</t>
  </si>
  <si>
    <t xml:space="preserve">Donors with no Birth Date on file</t>
  </si>
  <si>
    <t xml:space="preserve">Lapsed donors flagged for follow-up</t>
  </si>
  <si>
    <t xml:space="preserve">Donor &amp; Volunteer Engagement Dashboard</t>
  </si>
  <si>
    <t xml:space="preserve">Total Donors</t>
  </si>
  <si>
    <t xml:space="preserve">Active Donors (FY2025)</t>
  </si>
  <si>
    <t xml:space="preserve">Unique Volunteers</t>
  </si>
  <si>
    <t xml:space="preserve">Donors Who Also Volunteer</t>
  </si>
  <si>
    <t xml:space="preserve">Lapsed Donors (Need Follow-up)</t>
  </si>
  <si>
    <t xml:space="preserve">Total Volunteer Hours</t>
  </si>
  <si>
    <t xml:space="preserve">Top 15 Donors by Lifetime Giving</t>
  </si>
  <si>
    <t xml:space="preserve">Rank</t>
  </si>
  <si>
    <t xml:space="preserve">Also Volunteers?</t>
  </si>
  <si>
    <t xml:space="preserve">Lapsed Donors — Priority Follow-Up List (sample of flagged donors)</t>
  </si>
  <si>
    <t xml:space="preserve">FY2023 Gift</t>
  </si>
  <si>
    <t xml:space="preserve">FY2024 Gift</t>
  </si>
  <si>
    <t xml:space="preserve">FY2025 Gift</t>
  </si>
  <si>
    <t xml:space="preserve">Consecutive Years Giving (prior)</t>
  </si>
  <si>
    <t xml:space="preserve">Outreach Log Summary</t>
  </si>
  <si>
    <t xml:space="preserve">Number of Contacts</t>
  </si>
  <si>
    <t xml:space="preserve">Positive Outcomes</t>
  </si>
  <si>
    <t xml:space="preserve">Positive Rate</t>
  </si>
</sst>
</file>

<file path=xl/styles.xml><?xml version="1.0" encoding="utf-8"?>
<styleSheet xmlns="http://schemas.openxmlformats.org/spreadsheetml/2006/main">
  <numFmts count="5">
    <numFmt numFmtId="164" formatCode="General"/>
    <numFmt numFmtId="165" formatCode="\$#,##0"/>
    <numFmt numFmtId="166" formatCode="0.0%"/>
    <numFmt numFmtId="167" formatCode="General"/>
    <numFmt numFmtId="168" formatCode="#,##0"/>
  </numFmts>
  <fonts count="18">
    <font>
      <sz val="11"/>
      <color theme="1"/>
      <name val="Calibri"/>
      <family val="2"/>
      <charset val="1"/>
    </font>
    <font>
      <sz val="10"/>
      <name val="Arial"/>
      <family val="0"/>
    </font>
    <font>
      <sz val="10"/>
      <name val="Arial"/>
      <family val="0"/>
    </font>
    <font>
      <sz val="10"/>
      <name val="Arial"/>
      <family val="0"/>
    </font>
    <font>
      <b val="true"/>
      <sz val="16"/>
      <color rgb="FF1F4E3D"/>
      <name val="Calibri"/>
      <family val="0"/>
      <charset val="1"/>
    </font>
    <font>
      <i val="true"/>
      <sz val="11"/>
      <color rgb="FF595959"/>
      <name val="Calibri"/>
      <family val="0"/>
      <charset val="1"/>
    </font>
    <font>
      <i val="true"/>
      <sz val="10"/>
      <color rgb="FF1F4E3D"/>
      <name val="Calibri"/>
      <family val="0"/>
      <charset val="1"/>
    </font>
    <font>
      <b val="true"/>
      <sz val="12"/>
      <color rgb="FF1F4E3D"/>
      <name val="Calibri"/>
      <family val="0"/>
      <charset val="1"/>
    </font>
    <font>
      <sz val="10"/>
      <name val="Calibri"/>
      <family val="0"/>
      <charset val="1"/>
    </font>
    <font>
      <b val="true"/>
      <sz val="11"/>
      <color rgb="FF1F4E3D"/>
      <name val="Calibri"/>
      <family val="0"/>
      <charset val="1"/>
    </font>
    <font>
      <b val="true"/>
      <sz val="11"/>
      <color rgb="FFFFFFFF"/>
      <name val="Calibri"/>
      <family val="0"/>
      <charset val="1"/>
    </font>
    <font>
      <b val="true"/>
      <sz val="14"/>
      <color rgb="FF1F4E3D"/>
      <name val="Calibri"/>
      <family val="0"/>
      <charset val="1"/>
    </font>
    <font>
      <b val="true"/>
      <sz val="10"/>
      <name val="Calibri"/>
      <family val="0"/>
      <charset val="1"/>
    </font>
    <font>
      <b val="true"/>
      <sz val="18"/>
      <color rgb="FF000000"/>
      <name val="Calibri"/>
      <family val="2"/>
    </font>
    <font>
      <sz val="10"/>
      <color rgb="FF000000"/>
      <name val="Calibri"/>
      <family val="2"/>
    </font>
    <font>
      <b val="true"/>
      <sz val="10"/>
      <color rgb="FF000000"/>
      <name val="Calibri"/>
      <family val="2"/>
    </font>
    <font>
      <b val="true"/>
      <sz val="20"/>
      <color rgb="FFFFFFFF"/>
      <name val="Calibri"/>
      <family val="0"/>
      <charset val="1"/>
    </font>
    <font>
      <sz val="10"/>
      <color rgb="FFFFFFFF"/>
      <name val="Calibri"/>
      <family val="0"/>
      <charset val="1"/>
    </font>
  </fonts>
  <fills count="4">
    <fill>
      <patternFill patternType="none"/>
    </fill>
    <fill>
      <patternFill patternType="gray125"/>
    </fill>
    <fill>
      <patternFill patternType="solid">
        <fgColor rgb="FF1F4E3D"/>
        <bgColor rgb="FF003366"/>
      </patternFill>
    </fill>
    <fill>
      <patternFill patternType="solid">
        <fgColor rgb="FFE8EFE9"/>
        <bgColor rgb="FFF9F9F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general" vertical="bottom" textRotation="0" wrapText="false" indent="0" shrinkToFit="false"/>
      <protection locked="true" hidden="false"/>
    </xf>
    <xf numFmtId="166" fontId="12" fillId="3" borderId="1" xfId="0" applyFont="true" applyBorder="true" applyAlignment="true" applyProtection="false">
      <alignment horizontal="general" vertical="bottom" textRotation="0" wrapText="false" indent="0" shrinkToFit="false"/>
      <protection locked="true" hidden="false"/>
    </xf>
    <xf numFmtId="165" fontId="12" fillId="3" borderId="1" xfId="0" applyFont="true" applyBorder="true" applyAlignment="true" applyProtection="false">
      <alignment horizontal="general" vertical="bottom" textRotation="0" wrapText="false" indent="0" shrinkToFit="false"/>
      <protection locked="true" hidden="false"/>
    </xf>
    <xf numFmtId="167" fontId="16" fillId="2" borderId="0" xfId="0" applyFont="true" applyBorder="true" applyAlignment="true" applyProtection="false">
      <alignment horizontal="center" vertical="center" textRotation="0" wrapText="false" indent="0" shrinkToFit="false"/>
      <protection locked="true" hidden="false"/>
    </xf>
    <xf numFmtId="168" fontId="16" fillId="2" borderId="0" xfId="0" applyFont="true" applyBorder="true" applyAlignment="true" applyProtection="false">
      <alignment horizontal="center"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3D"/>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78787"/>
      <rgbColor rgb="FF9999FF"/>
      <rgbColor rgb="FFC0504D"/>
      <rgbColor rgb="FFFFF2CC"/>
      <rgbColor rgb="FFE8EFE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9F9F9"/>
      <rgbColor rgb="FFCCFFCC"/>
      <rgbColor rgb="FFFFFF99"/>
      <rgbColor rgb="FF99CCFF"/>
      <rgbColor rgb="FFFF99CC"/>
      <rgbColor rgb="FFCC99FF"/>
      <rgbColor rgb="FFFFCC99"/>
      <rgbColor rgb="FF4F81BD"/>
      <rgbColor rgb="FF33CCCC"/>
      <rgbColor rgb="FF9BBB59"/>
      <rgbColor rgb="FFFFCC00"/>
      <rgbColor rgb="FFFF9900"/>
      <rgbColor rgb="FFFF6600"/>
      <rgbColor rgb="FF8064A2"/>
      <rgbColor rgb="FF969696"/>
      <rgbColor rgb="FF003366"/>
      <rgbColor rgb="FF339966"/>
      <rgbColor rgb="FF003300"/>
      <rgbColor rgb="FF333300"/>
      <rgbColor rgb="FF993300"/>
      <rgbColor rgb="FF993366"/>
      <rgbColor rgb="FF595959"/>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Donors by Category</a:t>
            </a:r>
          </a:p>
        </c:rich>
      </c:tx>
      <c:overlay val="0"/>
      <c:spPr>
        <a:noFill/>
        <a:ln w="0">
          <a:noFill/>
        </a:ln>
      </c:spPr>
    </c:title>
    <c:autoTitleDeleted val="0"/>
    <c:plotArea>
      <c:barChart>
        <c:barDir val="col"/>
        <c:grouping val="clustered"/>
        <c:varyColors val="0"/>
        <c:ser>
          <c:idx val="0"/>
          <c:order val="0"/>
          <c:tx>
            <c:strRef>
              <c:f>Donor_Summary!C5</c:f>
              <c:strCache>
                <c:ptCount val="1"/>
                <c:pt idx="0">
                  <c:v>Count</c:v>
                </c:pt>
              </c:strCache>
            </c:strRef>
          </c:tx>
          <c:spPr>
            <a:solidFill>
              <a:srgbClr val="4f81bd"/>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Donor_Summary!$B$6:$B$8</c:f>
              <c:strCache>
                <c:ptCount val="3"/>
                <c:pt idx="0">
                  <c:v>Individual Donor</c:v>
                </c:pt>
                <c:pt idx="1">
                  <c:v>Family Donor</c:v>
                </c:pt>
                <c:pt idx="2">
                  <c:v>Community Partner</c:v>
                </c:pt>
              </c:strCache>
            </c:strRef>
          </c:cat>
          <c:val>
            <c:numRef>
              <c:f>Donor_Summary!$C$6:$C$8</c:f>
              <c:numCache>
                <c:formatCode>General</c:formatCode>
                <c:ptCount val="3"/>
                <c:pt idx="0">
                  <c:v>509</c:v>
                </c:pt>
                <c:pt idx="1">
                  <c:v>58</c:v>
                </c:pt>
                <c:pt idx="2">
                  <c:v>191</c:v>
                </c:pt>
              </c:numCache>
            </c:numRef>
          </c:val>
        </c:ser>
        <c:gapWidth val="150"/>
        <c:overlap val="0"/>
        <c:axId val="42814618"/>
        <c:axId val="13576954"/>
      </c:barChart>
      <c:catAx>
        <c:axId val="42814618"/>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576954"/>
        <c:crosses val="autoZero"/>
        <c:auto val="1"/>
        <c:lblAlgn val="ctr"/>
        <c:lblOffset val="100"/>
        <c:noMultiLvlLbl val="0"/>
      </c:catAx>
      <c:valAx>
        <c:axId val="1357695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Count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81461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Giving by Fiscal Year</a:t>
            </a:r>
          </a:p>
        </c:rich>
      </c:tx>
      <c:overlay val="0"/>
      <c:spPr>
        <a:noFill/>
        <a:ln w="0">
          <a:noFill/>
        </a:ln>
      </c:spPr>
    </c:title>
    <c:autoTitleDeleted val="0"/>
    <c:plotArea>
      <c:barChart>
        <c:barDir val="col"/>
        <c:grouping val="clustered"/>
        <c:varyColors val="0"/>
        <c:ser>
          <c:idx val="0"/>
          <c:order val="0"/>
          <c:tx>
            <c:strRef>
              <c:f>Donor_Summary!C24</c:f>
              <c:strCache>
                <c:ptCount val="1"/>
                <c:pt idx="0">
                  <c:v>Total Given</c:v>
                </c:pt>
              </c:strCache>
            </c:strRef>
          </c:tx>
          <c:spPr>
            <a:solidFill>
              <a:srgbClr val="4f81bd"/>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Donor_Summary!$B$25:$B$29</c:f>
              <c:strCache>
                <c:ptCount val="5"/>
                <c:pt idx="0">
                  <c:v>FY2021</c:v>
                </c:pt>
                <c:pt idx="1">
                  <c:v>FY2022</c:v>
                </c:pt>
                <c:pt idx="2">
                  <c:v>FY2023</c:v>
                </c:pt>
                <c:pt idx="3">
                  <c:v>FY2024</c:v>
                </c:pt>
                <c:pt idx="4">
                  <c:v>FY2025</c:v>
                </c:pt>
              </c:strCache>
            </c:strRef>
          </c:cat>
          <c:val>
            <c:numRef>
              <c:f>Donor_Summary!$C$25:$C$29</c:f>
              <c:numCache>
                <c:formatCode>\$#,##0</c:formatCode>
                <c:ptCount val="5"/>
                <c:pt idx="0">
                  <c:v>12001</c:v>
                </c:pt>
                <c:pt idx="1">
                  <c:v>188140</c:v>
                </c:pt>
                <c:pt idx="2">
                  <c:v>114344</c:v>
                </c:pt>
                <c:pt idx="3">
                  <c:v>82754</c:v>
                </c:pt>
                <c:pt idx="4">
                  <c:v>123424</c:v>
                </c:pt>
              </c:numCache>
            </c:numRef>
          </c:val>
        </c:ser>
        <c:gapWidth val="150"/>
        <c:overlap val="0"/>
        <c:axId val="14744140"/>
        <c:axId val="11815969"/>
      </c:barChart>
      <c:catAx>
        <c:axId val="1474414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815969"/>
        <c:crosses val="autoZero"/>
        <c:auto val="1"/>
        <c:lblAlgn val="ctr"/>
        <c:lblOffset val="100"/>
        <c:noMultiLvlLbl val="0"/>
      </c:catAx>
      <c:valAx>
        <c:axId val="1181596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Total Given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74414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15 Donors — Lifetime Giving</a:t>
            </a:r>
          </a:p>
        </c:rich>
      </c:tx>
      <c:overlay val="0"/>
      <c:spPr>
        <a:noFill/>
        <a:ln w="0">
          <a:noFill/>
        </a:ln>
      </c:spPr>
    </c:title>
    <c:autoTitleDeleted val="0"/>
    <c:plotArea>
      <c:barChart>
        <c:barDir val="col"/>
        <c:grouping val="clustered"/>
        <c:varyColors val="0"/>
        <c:ser>
          <c:idx val="0"/>
          <c:order val="0"/>
          <c:tx>
            <c:strRef>
              <c:f>Engagement_Dashboard!E10</c:f>
              <c:strCache>
                <c:ptCount val="1"/>
                <c:pt idx="0">
                  <c:v>Total Lifetime Giving</c:v>
                </c:pt>
              </c:strCache>
            </c:strRef>
          </c:tx>
          <c:spPr>
            <a:solidFill>
              <a:srgbClr val="4f81bd"/>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Engagement_Dashboard!$C$11:$C$25</c:f>
              <c:strCache>
                <c:ptCount val="15"/>
                <c:pt idx="0">
                  <c:v>D1087</c:v>
                </c:pt>
                <c:pt idx="1">
                  <c:v>D1437</c:v>
                </c:pt>
                <c:pt idx="2">
                  <c:v>D1593</c:v>
                </c:pt>
                <c:pt idx="3">
                  <c:v>D1589</c:v>
                </c:pt>
                <c:pt idx="4">
                  <c:v>D1585</c:v>
                </c:pt>
                <c:pt idx="5">
                  <c:v>D1107</c:v>
                </c:pt>
                <c:pt idx="6">
                  <c:v>D1091</c:v>
                </c:pt>
                <c:pt idx="7">
                  <c:v>D1689</c:v>
                </c:pt>
                <c:pt idx="8">
                  <c:v>D1046</c:v>
                </c:pt>
                <c:pt idx="9">
                  <c:v>D1552</c:v>
                </c:pt>
                <c:pt idx="10">
                  <c:v>D1284</c:v>
                </c:pt>
                <c:pt idx="11">
                  <c:v>D1723</c:v>
                </c:pt>
                <c:pt idx="12">
                  <c:v>D1208</c:v>
                </c:pt>
                <c:pt idx="13">
                  <c:v>D1225</c:v>
                </c:pt>
                <c:pt idx="14">
                  <c:v>D1236</c:v>
                </c:pt>
              </c:strCache>
            </c:strRef>
          </c:cat>
          <c:val>
            <c:numRef>
              <c:f>Engagement_Dashboard!$E$11:$E$25</c:f>
              <c:numCache>
                <c:formatCode>\$#,##0</c:formatCode>
                <c:ptCount val="15"/>
                <c:pt idx="0">
                  <c:v>585400</c:v>
                </c:pt>
                <c:pt idx="1">
                  <c:v>213200</c:v>
                </c:pt>
                <c:pt idx="2">
                  <c:v>126500</c:v>
                </c:pt>
                <c:pt idx="3">
                  <c:v>100000</c:v>
                </c:pt>
                <c:pt idx="4">
                  <c:v>76500</c:v>
                </c:pt>
                <c:pt idx="5">
                  <c:v>25500</c:v>
                </c:pt>
                <c:pt idx="6">
                  <c:v>11704</c:v>
                </c:pt>
                <c:pt idx="7">
                  <c:v>11077</c:v>
                </c:pt>
                <c:pt idx="8">
                  <c:v>10000</c:v>
                </c:pt>
                <c:pt idx="9">
                  <c:v>9155</c:v>
                </c:pt>
                <c:pt idx="10">
                  <c:v>8772</c:v>
                </c:pt>
                <c:pt idx="11">
                  <c:v>5255</c:v>
                </c:pt>
                <c:pt idx="12">
                  <c:v>5000</c:v>
                </c:pt>
                <c:pt idx="13">
                  <c:v>5000</c:v>
                </c:pt>
                <c:pt idx="14">
                  <c:v>4270</c:v>
                </c:pt>
              </c:numCache>
            </c:numRef>
          </c:val>
        </c:ser>
        <c:gapWidth val="150"/>
        <c:overlap val="0"/>
        <c:axId val="76352691"/>
        <c:axId val="6900569"/>
      </c:barChart>
      <c:catAx>
        <c:axId val="7635269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900569"/>
        <c:crosses val="autoZero"/>
        <c:auto val="1"/>
        <c:lblAlgn val="ctr"/>
        <c:lblOffset val="100"/>
        <c:noMultiLvlLbl val="0"/>
      </c:catAx>
      <c:valAx>
        <c:axId val="6900569"/>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Total Lifetime Giving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635269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Outreach Contacts by Method</a:t>
            </a:r>
          </a:p>
        </c:rich>
      </c:tx>
      <c:overlay val="0"/>
      <c:spPr>
        <a:noFill/>
        <a:ln w="0">
          <a:noFill/>
        </a:ln>
      </c:spPr>
    </c:title>
    <c:autoTitleDeleted val="0"/>
    <c:plotArea>
      <c:pieChart>
        <c:varyColors val="1"/>
        <c:ser>
          <c:idx val="0"/>
          <c:order val="0"/>
          <c:tx>
            <c:strRef>
              <c:f>Engagement_Dashboard!C45</c:f>
              <c:strCache>
                <c:ptCount val="1"/>
                <c:pt idx="0">
                  <c:v>Number of Contacts</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dLbl>
              <c:idx val="0"/>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1"/>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2"/>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3"/>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showLeaderLines val="1"/>
          </c:dLbls>
          <c:cat>
            <c:strRef>
              <c:f>Engagement_Dashboard!$B$46:$B$49</c:f>
              <c:strCache>
                <c:ptCount val="4"/>
                <c:pt idx="0">
                  <c:v>Email</c:v>
                </c:pt>
                <c:pt idx="1">
                  <c:v>Phone</c:v>
                </c:pt>
                <c:pt idx="2">
                  <c:v>Visit</c:v>
                </c:pt>
                <c:pt idx="3">
                  <c:v>Letter</c:v>
                </c:pt>
              </c:strCache>
            </c:strRef>
          </c:cat>
          <c:val>
            <c:numRef>
              <c:f>Engagement_Dashboard!$C$46:$C$49</c:f>
              <c:numCache>
                <c:formatCode>General</c:formatCode>
                <c:ptCount val="4"/>
                <c:pt idx="0">
                  <c:v>72</c:v>
                </c:pt>
                <c:pt idx="1">
                  <c:v>36</c:v>
                </c:pt>
                <c:pt idx="2">
                  <c:v>82</c:v>
                </c:pt>
                <c:pt idx="3">
                  <c:v>6</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160920</xdr:rowOff>
    </xdr:from>
    <xdr:to>
      <xdr:col>15</xdr:col>
      <xdr:colOff>145440</xdr:colOff>
      <xdr:row>17</xdr:row>
      <xdr:rowOff>180720</xdr:rowOff>
    </xdr:to>
    <xdr:graphicFrame>
      <xdr:nvGraphicFramePr>
        <xdr:cNvPr id="0" name="Chart 1"/>
        <xdr:cNvGraphicFramePr/>
      </xdr:nvGraphicFramePr>
      <xdr:xfrm>
        <a:off x="7095960" y="570600"/>
        <a:ext cx="5037480" cy="2877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20</xdr:row>
      <xdr:rowOff>160920</xdr:rowOff>
    </xdr:from>
    <xdr:to>
      <xdr:col>15</xdr:col>
      <xdr:colOff>145440</xdr:colOff>
      <xdr:row>35</xdr:row>
      <xdr:rowOff>180720</xdr:rowOff>
    </xdr:to>
    <xdr:graphicFrame>
      <xdr:nvGraphicFramePr>
        <xdr:cNvPr id="1" name="Chart 2"/>
        <xdr:cNvGraphicFramePr/>
      </xdr:nvGraphicFramePr>
      <xdr:xfrm>
        <a:off x="7095960" y="3999600"/>
        <a:ext cx="5037480" cy="2877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160920</xdr:rowOff>
    </xdr:from>
    <xdr:to>
      <xdr:col>17</xdr:col>
      <xdr:colOff>155160</xdr:colOff>
      <xdr:row>18</xdr:row>
      <xdr:rowOff>160200</xdr:rowOff>
    </xdr:to>
    <xdr:graphicFrame>
      <xdr:nvGraphicFramePr>
        <xdr:cNvPr id="2" name="Chart 1"/>
        <xdr:cNvGraphicFramePr/>
      </xdr:nvGraphicFramePr>
      <xdr:xfrm>
        <a:off x="9163080" y="570600"/>
        <a:ext cx="6477840" cy="3237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24</xdr:row>
      <xdr:rowOff>160560</xdr:rowOff>
    </xdr:from>
    <xdr:to>
      <xdr:col>12</xdr:col>
      <xdr:colOff>496440</xdr:colOff>
      <xdr:row>39</xdr:row>
      <xdr:rowOff>180720</xdr:rowOff>
    </xdr:to>
    <xdr:graphicFrame>
      <xdr:nvGraphicFramePr>
        <xdr:cNvPr id="3" name="Chart 2"/>
        <xdr:cNvGraphicFramePr/>
      </xdr:nvGraphicFramePr>
      <xdr:xfrm>
        <a:off x="9163080" y="4951800"/>
        <a:ext cx="3597840" cy="28774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CleanDonors" displayName="CleanDonors" ref="A1:W759" headerRowCount="1" totalsRowCount="0" totalsRowShown="0">
  <autoFilter ref="A1:W759"/>
  <tableColumns count="23">
    <tableColumn id="1" name="DonorID"/>
    <tableColumn id="2" name="Duplicate Flag"/>
    <tableColumn id="3" name="ZIP Code"/>
    <tableColumn id="4" name="Age"/>
    <tableColumn id="5" name="Marital Status"/>
    <tableColumn id="6" name="Gender"/>
    <tableColumn id="7" name="Donor Category (Clean)"/>
    <tableColumn id="8" name="Volunteer Engaged"/>
    <tableColumn id="9" name="Wealth Rating"/>
    <tableColumn id="10" name="Preferred Contact Type (Clean)"/>
    <tableColumn id="11" name="Email on File"/>
    <tableColumn id="12" name="Consecutive Years Giving"/>
    <tableColumn id="13" name="Giving FY2021"/>
    <tableColumn id="14" name="Giving FY2022"/>
    <tableColumn id="15" name="Giving FY2023"/>
    <tableColumn id="16" name="Giving FY2024"/>
    <tableColumn id="17" name="Giving FY2025"/>
    <tableColumn id="18" name="Total Lifetime Giving"/>
    <tableColumn id="19" name="Is Donor"/>
    <tableColumn id="20" name="Birth Date"/>
    <tableColumn id="21" name="Lapsed Donor Flag"/>
    <tableColumn id="22" name="Giving Rank (helper)"/>
    <tableColumn id="23" name="Lapsed Rank (helper)"/>
  </tableColumns>
</table>
</file>

<file path=xl/tables/table2.xml><?xml version="1.0" encoding="utf-8"?>
<table xmlns="http://schemas.openxmlformats.org/spreadsheetml/2006/main" id="2" name="CleanVolunteers" displayName="CleanVolunteers" ref="A1:I926" headerRowCount="1" totalsRowCount="0" totalsRowShown="0">
  <autoFilter ref="A1:I926"/>
  <tableColumns count="9">
    <tableColumn id="1" name="VolunteerID"/>
    <tableColumn id="2" name="Duplicate Flag"/>
    <tableColumn id="3" name="Linked DonorID"/>
    <tableColumn id="4" name="Also a Donor?"/>
    <tableColumn id="5" name="Volunteer Name"/>
    <tableColumn id="6" name="Shift Date"/>
    <tableColumn id="7" name="Role (Clean)"/>
    <tableColumn id="8" name="Location"/>
    <tableColumn id="9" name="Hours (Clean)"/>
  </tableColumns>
</table>
</file>

<file path=xl/tables/table3.xml><?xml version="1.0" encoding="utf-8"?>
<table xmlns="http://schemas.openxmlformats.org/spreadsheetml/2006/main" id="3" name="RawDonors" displayName="RawDonors" ref="A1:S759" headerRowCount="1" totalsRowCount="0" totalsRowShown="0">
  <autoFilter ref="A1:S759"/>
  <tableColumns count="19">
    <tableColumn id="1" name="DonorID"/>
    <tableColumn id="2" name="ZIP Code"/>
    <tableColumn id="3" name="Age"/>
    <tableColumn id="4" name="Marital Status"/>
    <tableColumn id="5" name="Gender"/>
    <tableColumn id="6" name="Donor Category"/>
    <tableColumn id="7" name="Volunteer Engaged"/>
    <tableColumn id="8" name="Wealth Rating"/>
    <tableColumn id="9" name="Preferred Contact Type"/>
    <tableColumn id="10" name="Email on File"/>
    <tableColumn id="11" name="Consecutive Years Giving"/>
    <tableColumn id="12" name="Giving FY2021"/>
    <tableColumn id="13" name="Giving FY2022"/>
    <tableColumn id="14" name="Giving FY2023"/>
    <tableColumn id="15" name="Giving FY2024"/>
    <tableColumn id="16" name="Giving FY2025"/>
    <tableColumn id="17" name="Total Lifetime Giving"/>
    <tableColumn id="18" name="Is Donor"/>
    <tableColumn id="19" name="Birth Date"/>
  </tableColumns>
</table>
</file>

<file path=xl/tables/table4.xml><?xml version="1.0" encoding="utf-8"?>
<table xmlns="http://schemas.openxmlformats.org/spreadsheetml/2006/main" id="4" name="RawOutreach" displayName="RawOutreach" ref="A1:G197" headerRowCount="1" totalsRowCount="0" totalsRowShown="0">
  <autoFilter ref="A1:G197"/>
  <tableColumns count="7">
    <tableColumn id="1" name="Staff Member"/>
    <tableColumn id="2" name="Contact Method"/>
    <tableColumn id="3" name="Date"/>
    <tableColumn id="4" name="Donor/Volunteer Name"/>
    <tableColumn id="5" name="Notes"/>
    <tableColumn id="6" name="Substantive Contact"/>
    <tableColumn id="7" name="Outcome"/>
  </tableColumns>
</table>
</file>

<file path=xl/tables/table5.xml><?xml version="1.0" encoding="utf-8"?>
<table xmlns="http://schemas.openxmlformats.org/spreadsheetml/2006/main" id="5" name="RawVolunteers" displayName="RawVolunteers" ref="A1:G926" headerRowCount="1" totalsRowCount="0" totalsRowShown="0">
  <autoFilter ref="A1:G926"/>
  <tableColumns count="7">
    <tableColumn id="1" name="VolunteerID"/>
    <tableColumn id="2" name="LinkedDonorID"/>
    <tableColumn id="3" name="Volunteer Name"/>
    <tableColumn id="4" name="Shift Date"/>
    <tableColumn id="5" name="Role"/>
    <tableColumn id="6" name="Location"/>
    <tableColumn id="7" name="Hour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table" Target="../tables/table5.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00"/>
  </cols>
  <sheetData>
    <row r="2" customFormat="false" ht="19.5" hidden="false" customHeight="true" outlineLevel="0" collapsed="false">
      <c r="B2" s="2" t="s">
        <v>0</v>
      </c>
    </row>
    <row r="3" customFormat="false" ht="15" hidden="false" customHeight="true" outlineLevel="0" collapsed="false">
      <c r="B3" s="3" t="s">
        <v>1</v>
      </c>
    </row>
    <row r="4" customFormat="false" ht="18" hidden="false" customHeight="true" outlineLevel="0" collapsed="false">
      <c r="B4" s="4" t="s">
        <v>2</v>
      </c>
    </row>
    <row r="6" customFormat="false" ht="15" hidden="false" customHeight="true" outlineLevel="0" collapsed="false">
      <c r="B6" s="5" t="s">
        <v>3</v>
      </c>
    </row>
    <row r="7" customFormat="false" ht="45" hidden="false" customHeight="true" outlineLevel="0" collapsed="false">
      <c r="B7" s="6" t="s">
        <v>4</v>
      </c>
    </row>
    <row r="8" customFormat="false" ht="15" hidden="false" customHeight="true" outlineLevel="0" collapsed="false">
      <c r="B8" s="5" t="s">
        <v>5</v>
      </c>
    </row>
    <row r="9" customFormat="false" ht="60" hidden="false" customHeight="true" outlineLevel="0" collapsed="false">
      <c r="B9" s="6" t="s">
        <v>6</v>
      </c>
    </row>
    <row r="10" customFormat="false" ht="15" hidden="false" customHeight="true" outlineLevel="0" collapsed="false">
      <c r="B10" s="5" t="s">
        <v>7</v>
      </c>
    </row>
    <row r="11" customFormat="false" ht="15" hidden="false" customHeight="true" outlineLevel="0" collapsed="false">
      <c r="B11" s="7" t="s">
        <v>8</v>
      </c>
    </row>
    <row r="12" customFormat="false" ht="45" hidden="false" customHeight="true" outlineLevel="0" collapsed="false">
      <c r="B12" s="6" t="s">
        <v>9</v>
      </c>
    </row>
    <row r="13" customFormat="false" ht="15" hidden="false" customHeight="true" outlineLevel="0" collapsed="false">
      <c r="B13" s="7" t="s">
        <v>10</v>
      </c>
    </row>
    <row r="14" customFormat="false" ht="45" hidden="false" customHeight="true" outlineLevel="0" collapsed="false">
      <c r="B14" s="6" t="s">
        <v>11</v>
      </c>
    </row>
    <row r="15" customFormat="false" ht="15" hidden="false" customHeight="true" outlineLevel="0" collapsed="false">
      <c r="B15" s="7" t="s">
        <v>12</v>
      </c>
    </row>
    <row r="16" customFormat="false" ht="45" hidden="false" customHeight="true" outlineLevel="0" collapsed="false">
      <c r="B16" s="6" t="s">
        <v>13</v>
      </c>
    </row>
    <row r="17" customFormat="false" ht="15" hidden="false" customHeight="true" outlineLevel="0" collapsed="false">
      <c r="B17" s="7" t="s">
        <v>14</v>
      </c>
    </row>
    <row r="18" customFormat="false" ht="45" hidden="false" customHeight="true" outlineLevel="0" collapsed="false">
      <c r="B18" s="6" t="s">
        <v>15</v>
      </c>
    </row>
    <row r="20" customFormat="false" ht="15" hidden="false" customHeight="true" outlineLevel="0" collapsed="false">
      <c r="B20" s="5" t="s">
        <v>16</v>
      </c>
    </row>
    <row r="21" customFormat="false" ht="31.5" hidden="false" customHeight="true" outlineLevel="0" collapsed="false">
      <c r="B21" s="6" t="s">
        <v>17</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7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3" min="2" style="1" width="12"/>
    <col collapsed="false" customWidth="true" hidden="false" outlineLevel="0" max="4" min="4" style="1" width="16"/>
    <col collapsed="false" customWidth="true" hidden="false" outlineLevel="0" max="5" min="5" style="1" width="12"/>
    <col collapsed="false" customWidth="true" hidden="false" outlineLevel="0" max="7" min="6" style="1" width="19"/>
    <col collapsed="false" customWidth="true" hidden="false" outlineLevel="0" max="8" min="8" style="1" width="15"/>
    <col collapsed="false" customWidth="true" hidden="false" outlineLevel="0" max="9" min="9" style="1" width="24"/>
    <col collapsed="false" customWidth="true" hidden="false" outlineLevel="0" max="10" min="10" style="1" width="15"/>
    <col collapsed="false" customWidth="true" hidden="false" outlineLevel="0" max="11" min="11" style="1" width="26"/>
    <col collapsed="false" customWidth="true" hidden="false" outlineLevel="0" max="16" min="12" style="1" width="15"/>
    <col collapsed="false" customWidth="true" hidden="false" outlineLevel="0" max="17" min="17" style="1" width="23"/>
    <col collapsed="false" customWidth="true" hidden="false" outlineLevel="0" max="18" min="18" style="1" width="10"/>
    <col collapsed="false" customWidth="true" hidden="false" outlineLevel="0" max="19" min="19" style="1" width="12"/>
  </cols>
  <sheetData>
    <row r="1" customFormat="false" ht="15" hidden="false" customHeight="true" outlineLevel="0" collapsed="false">
      <c r="A1" s="8" t="s">
        <v>18</v>
      </c>
      <c r="B1" s="8" t="s">
        <v>19</v>
      </c>
      <c r="C1" s="8" t="s">
        <v>20</v>
      </c>
      <c r="D1" s="8" t="s">
        <v>21</v>
      </c>
      <c r="E1" s="8" t="s">
        <v>22</v>
      </c>
      <c r="F1" s="8" t="s">
        <v>23</v>
      </c>
      <c r="G1" s="8" t="s">
        <v>24</v>
      </c>
      <c r="H1" s="8" t="s">
        <v>25</v>
      </c>
      <c r="I1" s="8" t="s">
        <v>26</v>
      </c>
      <c r="J1" s="8" t="s">
        <v>27</v>
      </c>
      <c r="K1" s="8" t="s">
        <v>28</v>
      </c>
      <c r="L1" s="8" t="s">
        <v>29</v>
      </c>
      <c r="M1" s="8" t="s">
        <v>30</v>
      </c>
      <c r="N1" s="8" t="s">
        <v>31</v>
      </c>
      <c r="O1" s="8" t="s">
        <v>32</v>
      </c>
      <c r="P1" s="8" t="s">
        <v>33</v>
      </c>
      <c r="Q1" s="8" t="s">
        <v>34</v>
      </c>
      <c r="R1" s="8" t="s">
        <v>35</v>
      </c>
      <c r="S1" s="8" t="s">
        <v>36</v>
      </c>
    </row>
    <row r="2" customFormat="false" ht="15" hidden="false" customHeight="true" outlineLevel="0" collapsed="false">
      <c r="A2" s="9" t="s">
        <v>37</v>
      </c>
      <c r="B2" s="9" t="n">
        <v>46743</v>
      </c>
      <c r="C2" s="9"/>
      <c r="D2" s="9"/>
      <c r="E2" s="9" t="s">
        <v>38</v>
      </c>
      <c r="F2" s="9" t="s">
        <v>39</v>
      </c>
      <c r="G2" s="9" t="s">
        <v>40</v>
      </c>
      <c r="H2" s="9"/>
      <c r="I2" s="9" t="s">
        <v>41</v>
      </c>
      <c r="J2" s="9" t="s">
        <v>40</v>
      </c>
      <c r="K2" s="9" t="n">
        <v>1</v>
      </c>
      <c r="L2" s="9" t="s">
        <v>42</v>
      </c>
      <c r="M2" s="9" t="s">
        <v>42</v>
      </c>
      <c r="N2" s="9" t="s">
        <v>42</v>
      </c>
      <c r="O2" s="9" t="s">
        <v>42</v>
      </c>
      <c r="P2" s="9" t="s">
        <v>42</v>
      </c>
      <c r="Q2" s="9" t="n">
        <v>0</v>
      </c>
      <c r="R2" s="9" t="s">
        <v>40</v>
      </c>
      <c r="S2" s="9"/>
    </row>
    <row r="3" customFormat="false" ht="15" hidden="false" customHeight="true" outlineLevel="0" collapsed="false">
      <c r="A3" s="9" t="s">
        <v>43</v>
      </c>
      <c r="B3" s="9" t="n">
        <v>27054</v>
      </c>
      <c r="C3" s="9"/>
      <c r="D3" s="9"/>
      <c r="E3" s="9" t="s">
        <v>44</v>
      </c>
      <c r="F3" s="9" t="s">
        <v>45</v>
      </c>
      <c r="G3" s="9" t="s">
        <v>40</v>
      </c>
      <c r="H3" s="9"/>
      <c r="I3" s="9" t="s">
        <v>46</v>
      </c>
      <c r="J3" s="9" t="s">
        <v>47</v>
      </c>
      <c r="K3" s="9" t="n">
        <v>0</v>
      </c>
      <c r="L3" s="9" t="s">
        <v>42</v>
      </c>
      <c r="M3" s="9" t="s">
        <v>42</v>
      </c>
      <c r="N3" s="9" t="s">
        <v>42</v>
      </c>
      <c r="O3" s="9" t="s">
        <v>42</v>
      </c>
      <c r="P3" s="9" t="s">
        <v>42</v>
      </c>
      <c r="Q3" s="9" t="n">
        <v>334</v>
      </c>
      <c r="R3" s="9" t="s">
        <v>47</v>
      </c>
      <c r="S3" s="9"/>
    </row>
    <row r="4" customFormat="false" ht="15" hidden="false" customHeight="true" outlineLevel="0" collapsed="false">
      <c r="A4" s="9" t="s">
        <v>48</v>
      </c>
      <c r="B4" s="9" t="n">
        <v>45843</v>
      </c>
      <c r="C4" s="9"/>
      <c r="D4" s="9"/>
      <c r="E4" s="9" t="s">
        <v>44</v>
      </c>
      <c r="F4" s="9" t="s">
        <v>39</v>
      </c>
      <c r="G4" s="9" t="s">
        <v>40</v>
      </c>
      <c r="H4" s="9"/>
      <c r="I4" s="9" t="s">
        <v>41</v>
      </c>
      <c r="J4" s="9" t="s">
        <v>40</v>
      </c>
      <c r="K4" s="9" t="n">
        <v>1</v>
      </c>
      <c r="L4" s="9" t="s">
        <v>42</v>
      </c>
      <c r="M4" s="9" t="s">
        <v>42</v>
      </c>
      <c r="N4" s="9" t="s">
        <v>42</v>
      </c>
      <c r="O4" s="9" t="s">
        <v>42</v>
      </c>
      <c r="P4" s="9" t="s">
        <v>42</v>
      </c>
      <c r="Q4" s="9" t="n">
        <v>870</v>
      </c>
      <c r="R4" s="9" t="s">
        <v>47</v>
      </c>
      <c r="S4" s="9"/>
    </row>
    <row r="5" customFormat="false" ht="15" hidden="false" customHeight="true" outlineLevel="0" collapsed="false">
      <c r="A5" s="9" t="s">
        <v>49</v>
      </c>
      <c r="B5" s="9" t="n">
        <v>33953</v>
      </c>
      <c r="C5" s="9"/>
      <c r="D5" s="9"/>
      <c r="E5" s="9" t="s">
        <v>50</v>
      </c>
      <c r="F5" s="9" t="s">
        <v>39</v>
      </c>
      <c r="G5" s="9" t="s">
        <v>40</v>
      </c>
      <c r="H5" s="9"/>
      <c r="I5" s="9" t="s">
        <v>41</v>
      </c>
      <c r="J5" s="9" t="s">
        <v>40</v>
      </c>
      <c r="K5" s="9" t="n">
        <v>0</v>
      </c>
      <c r="L5" s="9" t="s">
        <v>42</v>
      </c>
      <c r="M5" s="9" t="s">
        <v>42</v>
      </c>
      <c r="N5" s="9" t="s">
        <v>42</v>
      </c>
      <c r="O5" s="9" t="s">
        <v>42</v>
      </c>
      <c r="P5" s="9" t="s">
        <v>42</v>
      </c>
      <c r="Q5" s="9" t="n">
        <v>0</v>
      </c>
      <c r="R5" s="9" t="s">
        <v>40</v>
      </c>
      <c r="S5" s="9"/>
    </row>
    <row r="6" customFormat="false" ht="15" hidden="false" customHeight="true" outlineLevel="0" collapsed="false">
      <c r="A6" s="9" t="s">
        <v>51</v>
      </c>
      <c r="B6" s="9" t="n">
        <v>63013</v>
      </c>
      <c r="C6" s="9" t="n">
        <v>39</v>
      </c>
      <c r="D6" s="9"/>
      <c r="E6" s="9" t="s">
        <v>38</v>
      </c>
      <c r="F6" s="9" t="s">
        <v>39</v>
      </c>
      <c r="G6" s="9" t="s">
        <v>40</v>
      </c>
      <c r="H6" s="9"/>
      <c r="I6" s="9" t="s">
        <v>41</v>
      </c>
      <c r="J6" s="9" t="s">
        <v>40</v>
      </c>
      <c r="K6" s="9" t="n">
        <v>0</v>
      </c>
      <c r="L6" s="9" t="s">
        <v>42</v>
      </c>
      <c r="M6" s="9" t="s">
        <v>42</v>
      </c>
      <c r="N6" s="9" t="s">
        <v>42</v>
      </c>
      <c r="O6" s="9" t="s">
        <v>42</v>
      </c>
      <c r="P6" s="9" t="s">
        <v>42</v>
      </c>
      <c r="Q6" s="9" t="n">
        <v>490</v>
      </c>
      <c r="R6" s="9" t="s">
        <v>47</v>
      </c>
      <c r="S6" s="9" t="s">
        <v>52</v>
      </c>
    </row>
    <row r="7" customFormat="false" ht="15" hidden="false" customHeight="true" outlineLevel="0" collapsed="false">
      <c r="A7" s="9" t="s">
        <v>53</v>
      </c>
      <c r="B7" s="9" t="n">
        <v>41832</v>
      </c>
      <c r="C7" s="9" t="n">
        <v>55</v>
      </c>
      <c r="D7" s="9"/>
      <c r="E7" s="9" t="s">
        <v>44</v>
      </c>
      <c r="F7" s="9" t="s">
        <v>54</v>
      </c>
      <c r="G7" s="9" t="s">
        <v>40</v>
      </c>
      <c r="H7" s="9"/>
      <c r="I7" s="9" t="s">
        <v>41</v>
      </c>
      <c r="J7" s="9" t="s">
        <v>40</v>
      </c>
      <c r="K7" s="9" t="n">
        <v>1</v>
      </c>
      <c r="L7" s="9" t="s">
        <v>42</v>
      </c>
      <c r="M7" s="9" t="s">
        <v>42</v>
      </c>
      <c r="N7" s="9" t="s">
        <v>42</v>
      </c>
      <c r="O7" s="9" t="s">
        <v>42</v>
      </c>
      <c r="P7" s="9" t="s">
        <v>42</v>
      </c>
      <c r="Q7" s="9" t="n">
        <v>0</v>
      </c>
      <c r="R7" s="9" t="s">
        <v>40</v>
      </c>
      <c r="S7" s="9" t="s">
        <v>55</v>
      </c>
    </row>
    <row r="8" customFormat="false" ht="15" hidden="false" customHeight="true" outlineLevel="0" collapsed="false">
      <c r="A8" s="9" t="s">
        <v>56</v>
      </c>
      <c r="B8" s="9" t="n">
        <v>35402</v>
      </c>
      <c r="C8" s="9"/>
      <c r="D8" s="9"/>
      <c r="E8" s="9" t="s">
        <v>44</v>
      </c>
      <c r="F8" s="9" t="s">
        <v>39</v>
      </c>
      <c r="G8" s="9" t="s">
        <v>47</v>
      </c>
      <c r="H8" s="9"/>
      <c r="I8" s="9" t="s">
        <v>41</v>
      </c>
      <c r="J8" s="9" t="s">
        <v>40</v>
      </c>
      <c r="K8" s="9" t="n">
        <v>0</v>
      </c>
      <c r="L8" s="9" t="s">
        <v>42</v>
      </c>
      <c r="M8" s="9" t="s">
        <v>42</v>
      </c>
      <c r="N8" s="9" t="s">
        <v>42</v>
      </c>
      <c r="O8" s="9" t="s">
        <v>42</v>
      </c>
      <c r="P8" s="9" t="s">
        <v>57</v>
      </c>
      <c r="Q8" s="9" t="n">
        <v>50</v>
      </c>
      <c r="R8" s="9" t="s">
        <v>47</v>
      </c>
      <c r="S8" s="9"/>
    </row>
    <row r="9" customFormat="false" ht="15" hidden="false" customHeight="true" outlineLevel="0" collapsed="false">
      <c r="A9" s="9" t="s">
        <v>58</v>
      </c>
      <c r="B9" s="9" t="n">
        <v>25714</v>
      </c>
      <c r="C9" s="9" t="n">
        <v>23</v>
      </c>
      <c r="D9" s="9"/>
      <c r="E9" s="9" t="s">
        <v>38</v>
      </c>
      <c r="F9" s="9" t="s">
        <v>39</v>
      </c>
      <c r="G9" s="9" t="s">
        <v>40</v>
      </c>
      <c r="H9" s="9"/>
      <c r="I9" s="9" t="s">
        <v>41</v>
      </c>
      <c r="J9" s="9" t="s">
        <v>40</v>
      </c>
      <c r="K9" s="9" t="n">
        <v>0</v>
      </c>
      <c r="L9" s="9" t="s">
        <v>42</v>
      </c>
      <c r="M9" s="9" t="s">
        <v>42</v>
      </c>
      <c r="N9" s="9" t="s">
        <v>42</v>
      </c>
      <c r="O9" s="9" t="s">
        <v>42</v>
      </c>
      <c r="P9" s="9" t="s">
        <v>42</v>
      </c>
      <c r="Q9" s="9" t="n">
        <v>1000</v>
      </c>
      <c r="R9" s="9" t="s">
        <v>47</v>
      </c>
      <c r="S9" s="9" t="s">
        <v>59</v>
      </c>
    </row>
    <row r="10" customFormat="false" ht="15" hidden="false" customHeight="true" outlineLevel="0" collapsed="false">
      <c r="A10" s="9" t="s">
        <v>60</v>
      </c>
      <c r="B10" s="9" t="n">
        <v>71635</v>
      </c>
      <c r="C10" s="9"/>
      <c r="D10" s="9"/>
      <c r="E10" s="9" t="s">
        <v>44</v>
      </c>
      <c r="F10" s="9" t="s">
        <v>39</v>
      </c>
      <c r="G10" s="9" t="s">
        <v>40</v>
      </c>
      <c r="H10" s="9"/>
      <c r="I10" s="9" t="s">
        <v>41</v>
      </c>
      <c r="J10" s="9" t="s">
        <v>40</v>
      </c>
      <c r="K10" s="9" t="n">
        <v>1</v>
      </c>
      <c r="L10" s="9" t="s">
        <v>42</v>
      </c>
      <c r="M10" s="9" t="s">
        <v>42</v>
      </c>
      <c r="N10" s="9" t="s">
        <v>42</v>
      </c>
      <c r="O10" s="9" t="s">
        <v>42</v>
      </c>
      <c r="P10" s="9" t="s">
        <v>42</v>
      </c>
      <c r="Q10" s="9" t="n">
        <v>0</v>
      </c>
      <c r="R10" s="9" t="s">
        <v>40</v>
      </c>
      <c r="S10" s="9"/>
    </row>
    <row r="11" customFormat="false" ht="15" hidden="false" customHeight="true" outlineLevel="0" collapsed="false">
      <c r="A11" s="9" t="s">
        <v>61</v>
      </c>
      <c r="B11" s="9" t="n">
        <v>29062</v>
      </c>
      <c r="C11" s="9"/>
      <c r="D11" s="9" t="s">
        <v>62</v>
      </c>
      <c r="E11" s="9" t="s">
        <v>44</v>
      </c>
      <c r="F11" s="9" t="s">
        <v>39</v>
      </c>
      <c r="G11" s="9" t="s">
        <v>40</v>
      </c>
      <c r="H11" s="9"/>
      <c r="I11" s="9" t="s">
        <v>41</v>
      </c>
      <c r="J11" s="9" t="s">
        <v>47</v>
      </c>
      <c r="K11" s="9" t="n">
        <v>1</v>
      </c>
      <c r="L11" s="9" t="s">
        <v>42</v>
      </c>
      <c r="M11" s="9" t="s">
        <v>42</v>
      </c>
      <c r="N11" s="9" t="s">
        <v>42</v>
      </c>
      <c r="O11" s="9" t="s">
        <v>42</v>
      </c>
      <c r="P11" s="9" t="s">
        <v>63</v>
      </c>
      <c r="Q11" s="9" t="n">
        <v>100</v>
      </c>
      <c r="R11" s="9" t="s">
        <v>47</v>
      </c>
      <c r="S11" s="9"/>
    </row>
    <row r="12" customFormat="false" ht="15" hidden="false" customHeight="true" outlineLevel="0" collapsed="false">
      <c r="A12" s="9" t="s">
        <v>64</v>
      </c>
      <c r="B12" s="9" t="n">
        <v>40224</v>
      </c>
      <c r="C12" s="9"/>
      <c r="D12" s="9"/>
      <c r="E12" s="9" t="s">
        <v>44</v>
      </c>
      <c r="F12" s="9" t="s">
        <v>39</v>
      </c>
      <c r="G12" s="9" t="s">
        <v>40</v>
      </c>
      <c r="H12" s="9"/>
      <c r="I12" s="9" t="s">
        <v>41</v>
      </c>
      <c r="J12" s="9" t="s">
        <v>40</v>
      </c>
      <c r="K12" s="9" t="n">
        <v>1</v>
      </c>
      <c r="L12" s="9" t="s">
        <v>42</v>
      </c>
      <c r="M12" s="9" t="s">
        <v>42</v>
      </c>
      <c r="N12" s="9" t="s">
        <v>42</v>
      </c>
      <c r="O12" s="9" t="s">
        <v>42</v>
      </c>
      <c r="P12" s="9" t="s">
        <v>42</v>
      </c>
      <c r="Q12" s="9" t="n">
        <v>0</v>
      </c>
      <c r="R12" s="9" t="s">
        <v>40</v>
      </c>
      <c r="S12" s="9"/>
    </row>
    <row r="13" customFormat="false" ht="15" hidden="false" customHeight="true" outlineLevel="0" collapsed="false">
      <c r="A13" s="9" t="s">
        <v>65</v>
      </c>
      <c r="B13" s="9" t="n">
        <v>5481</v>
      </c>
      <c r="C13" s="9"/>
      <c r="D13" s="9"/>
      <c r="E13" s="9" t="s">
        <v>44</v>
      </c>
      <c r="F13" s="9" t="s">
        <v>54</v>
      </c>
      <c r="G13" s="9" t="s">
        <v>47</v>
      </c>
      <c r="H13" s="9"/>
      <c r="I13" s="9" t="s">
        <v>66</v>
      </c>
      <c r="J13" s="9" t="s">
        <v>47</v>
      </c>
      <c r="K13" s="9" t="n">
        <v>3</v>
      </c>
      <c r="L13" s="9" t="s">
        <v>42</v>
      </c>
      <c r="M13" s="9" t="s">
        <v>42</v>
      </c>
      <c r="N13" s="9" t="s">
        <v>42</v>
      </c>
      <c r="O13" s="9" t="s">
        <v>42</v>
      </c>
      <c r="P13" s="9" t="s">
        <v>42</v>
      </c>
      <c r="Q13" s="9" t="n">
        <v>0</v>
      </c>
      <c r="R13" s="9" t="s">
        <v>40</v>
      </c>
      <c r="S13" s="9"/>
    </row>
    <row r="14" customFormat="false" ht="15" hidden="false" customHeight="true" outlineLevel="0" collapsed="false">
      <c r="A14" s="9" t="s">
        <v>67</v>
      </c>
      <c r="B14" s="9" t="n">
        <v>11366</v>
      </c>
      <c r="C14" s="9" t="n">
        <v>74</v>
      </c>
      <c r="D14" s="9"/>
      <c r="E14" s="9" t="s">
        <v>44</v>
      </c>
      <c r="F14" s="9" t="s">
        <v>39</v>
      </c>
      <c r="G14" s="9" t="s">
        <v>40</v>
      </c>
      <c r="H14" s="9"/>
      <c r="I14" s="9" t="s">
        <v>41</v>
      </c>
      <c r="J14" s="9" t="s">
        <v>40</v>
      </c>
      <c r="K14" s="9" t="n">
        <v>0</v>
      </c>
      <c r="L14" s="9" t="s">
        <v>42</v>
      </c>
      <c r="M14" s="9" t="s">
        <v>42</v>
      </c>
      <c r="N14" s="9" t="s">
        <v>42</v>
      </c>
      <c r="O14" s="9" t="s">
        <v>42</v>
      </c>
      <c r="P14" s="9" t="s">
        <v>57</v>
      </c>
      <c r="Q14" s="9" t="n">
        <v>81</v>
      </c>
      <c r="R14" s="9" t="s">
        <v>47</v>
      </c>
      <c r="S14" s="9" t="s">
        <v>68</v>
      </c>
    </row>
    <row r="15" customFormat="false" ht="15" hidden="false" customHeight="true" outlineLevel="0" collapsed="false">
      <c r="A15" s="9" t="s">
        <v>69</v>
      </c>
      <c r="B15" s="9" t="n">
        <v>1106</v>
      </c>
      <c r="C15" s="9" t="n">
        <v>26</v>
      </c>
      <c r="D15" s="9"/>
      <c r="E15" s="9" t="s">
        <v>38</v>
      </c>
      <c r="F15" s="9" t="s">
        <v>39</v>
      </c>
      <c r="G15" s="9" t="s">
        <v>40</v>
      </c>
      <c r="H15" s="9"/>
      <c r="I15" s="9" t="s">
        <v>41</v>
      </c>
      <c r="J15" s="9" t="s">
        <v>40</v>
      </c>
      <c r="K15" s="9" t="n">
        <v>0</v>
      </c>
      <c r="L15" s="9" t="s">
        <v>42</v>
      </c>
      <c r="M15" s="9" t="s">
        <v>42</v>
      </c>
      <c r="N15" s="9" t="s">
        <v>42</v>
      </c>
      <c r="O15" s="9" t="s">
        <v>42</v>
      </c>
      <c r="P15" s="9" t="s">
        <v>42</v>
      </c>
      <c r="Q15" s="9" t="n">
        <v>40</v>
      </c>
      <c r="R15" s="9" t="s">
        <v>47</v>
      </c>
      <c r="S15" s="9" t="s">
        <v>70</v>
      </c>
    </row>
    <row r="16" customFormat="false" ht="15" hidden="false" customHeight="true" outlineLevel="0" collapsed="false">
      <c r="A16" s="9" t="s">
        <v>71</v>
      </c>
      <c r="B16" s="9" t="n">
        <v>7720</v>
      </c>
      <c r="C16" s="9" t="n">
        <v>50</v>
      </c>
      <c r="D16" s="9"/>
      <c r="E16" s="9" t="s">
        <v>38</v>
      </c>
      <c r="F16" s="9" t="s">
        <v>54</v>
      </c>
      <c r="G16" s="9" t="s">
        <v>47</v>
      </c>
      <c r="H16" s="9"/>
      <c r="I16" s="9" t="s">
        <v>41</v>
      </c>
      <c r="J16" s="9" t="s">
        <v>47</v>
      </c>
      <c r="K16" s="9" t="n">
        <v>1</v>
      </c>
      <c r="L16" s="9" t="s">
        <v>42</v>
      </c>
      <c r="M16" s="9" t="s">
        <v>42</v>
      </c>
      <c r="N16" s="9" t="s">
        <v>42</v>
      </c>
      <c r="O16" s="9" t="s">
        <v>72</v>
      </c>
      <c r="P16" s="9" t="s">
        <v>42</v>
      </c>
      <c r="Q16" s="9" t="n">
        <v>25</v>
      </c>
      <c r="R16" s="9" t="s">
        <v>47</v>
      </c>
      <c r="S16" s="9" t="s">
        <v>73</v>
      </c>
    </row>
    <row r="17" customFormat="false" ht="15" hidden="false" customHeight="true" outlineLevel="0" collapsed="false">
      <c r="A17" s="9" t="s">
        <v>74</v>
      </c>
      <c r="B17" s="9" t="n">
        <v>17864</v>
      </c>
      <c r="C17" s="9"/>
      <c r="D17" s="9" t="s">
        <v>62</v>
      </c>
      <c r="E17" s="9" t="s">
        <v>44</v>
      </c>
      <c r="F17" s="9" t="s">
        <v>39</v>
      </c>
      <c r="G17" s="9" t="s">
        <v>40</v>
      </c>
      <c r="H17" s="9"/>
      <c r="I17" s="9" t="s">
        <v>41</v>
      </c>
      <c r="J17" s="9" t="s">
        <v>47</v>
      </c>
      <c r="K17" s="9" t="n">
        <v>0</v>
      </c>
      <c r="L17" s="9" t="s">
        <v>42</v>
      </c>
      <c r="M17" s="9" t="s">
        <v>42</v>
      </c>
      <c r="N17" s="9" t="s">
        <v>42</v>
      </c>
      <c r="O17" s="9" t="s">
        <v>42</v>
      </c>
      <c r="P17" s="9" t="s">
        <v>42</v>
      </c>
      <c r="Q17" s="9" t="n">
        <v>300</v>
      </c>
      <c r="R17" s="9" t="s">
        <v>47</v>
      </c>
      <c r="S17" s="9"/>
    </row>
    <row r="18" customFormat="false" ht="15" hidden="false" customHeight="true" outlineLevel="0" collapsed="false">
      <c r="A18" s="9" t="s">
        <v>75</v>
      </c>
      <c r="B18" s="9" t="n">
        <v>96809</v>
      </c>
      <c r="C18" s="9" t="n">
        <v>26</v>
      </c>
      <c r="D18" s="9"/>
      <c r="E18" s="9" t="s">
        <v>38</v>
      </c>
      <c r="F18" s="9" t="s">
        <v>54</v>
      </c>
      <c r="G18" s="9" t="s">
        <v>47</v>
      </c>
      <c r="H18" s="9"/>
      <c r="I18" s="9" t="s">
        <v>41</v>
      </c>
      <c r="J18" s="9" t="s">
        <v>47</v>
      </c>
      <c r="K18" s="9" t="n">
        <v>2</v>
      </c>
      <c r="L18" s="9" t="s">
        <v>42</v>
      </c>
      <c r="M18" s="9" t="s">
        <v>42</v>
      </c>
      <c r="N18" s="9" t="s">
        <v>42</v>
      </c>
      <c r="O18" s="9" t="s">
        <v>42</v>
      </c>
      <c r="P18" s="9" t="s">
        <v>42</v>
      </c>
      <c r="Q18" s="9" t="n">
        <v>3000</v>
      </c>
      <c r="R18" s="9" t="s">
        <v>47</v>
      </c>
      <c r="S18" s="9" t="s">
        <v>76</v>
      </c>
    </row>
    <row r="19" customFormat="false" ht="15" hidden="false" customHeight="true" outlineLevel="0" collapsed="false">
      <c r="A19" s="9" t="s">
        <v>77</v>
      </c>
      <c r="B19" s="9" t="n">
        <v>40355</v>
      </c>
      <c r="C19" s="9"/>
      <c r="D19" s="9" t="s">
        <v>62</v>
      </c>
      <c r="E19" s="9" t="s">
        <v>38</v>
      </c>
      <c r="F19" s="9" t="s">
        <v>39</v>
      </c>
      <c r="G19" s="9" t="s">
        <v>47</v>
      </c>
      <c r="H19" s="9"/>
      <c r="I19" s="9" t="s">
        <v>41</v>
      </c>
      <c r="J19" s="9" t="s">
        <v>47</v>
      </c>
      <c r="K19" s="9" t="n">
        <v>4</v>
      </c>
      <c r="L19" s="9" t="s">
        <v>78</v>
      </c>
      <c r="M19" s="9" t="s">
        <v>42</v>
      </c>
      <c r="N19" s="9" t="s">
        <v>42</v>
      </c>
      <c r="O19" s="9" t="s">
        <v>42</v>
      </c>
      <c r="P19" s="9" t="s">
        <v>42</v>
      </c>
      <c r="Q19" s="9" t="n">
        <v>400</v>
      </c>
      <c r="R19" s="9" t="s">
        <v>47</v>
      </c>
      <c r="S19" s="9"/>
    </row>
    <row r="20" customFormat="false" ht="15" hidden="false" customHeight="true" outlineLevel="0" collapsed="false">
      <c r="A20" s="9" t="s">
        <v>79</v>
      </c>
      <c r="B20" s="9" t="n">
        <v>36275</v>
      </c>
      <c r="C20" s="9"/>
      <c r="D20" s="9" t="s">
        <v>80</v>
      </c>
      <c r="E20" s="9" t="s">
        <v>44</v>
      </c>
      <c r="F20" s="9" t="s">
        <v>45</v>
      </c>
      <c r="G20" s="9" t="s">
        <v>40</v>
      </c>
      <c r="H20" s="9" t="s">
        <v>81</v>
      </c>
      <c r="I20" s="9" t="s">
        <v>41</v>
      </c>
      <c r="J20" s="9" t="s">
        <v>47</v>
      </c>
      <c r="K20" s="9" t="n">
        <v>0</v>
      </c>
      <c r="L20" s="9" t="s">
        <v>42</v>
      </c>
      <c r="M20" s="9" t="s">
        <v>42</v>
      </c>
      <c r="N20" s="9" t="s">
        <v>42</v>
      </c>
      <c r="O20" s="9" t="s">
        <v>42</v>
      </c>
      <c r="P20" s="9" t="s">
        <v>42</v>
      </c>
      <c r="Q20" s="9" t="n">
        <v>120</v>
      </c>
      <c r="R20" s="9" t="s">
        <v>47</v>
      </c>
      <c r="S20" s="9"/>
    </row>
    <row r="21" customFormat="false" ht="15" hidden="false" customHeight="true" outlineLevel="0" collapsed="false">
      <c r="A21" s="9" t="s">
        <v>82</v>
      </c>
      <c r="B21" s="9" t="n">
        <v>90302</v>
      </c>
      <c r="C21" s="9"/>
      <c r="D21" s="9" t="s">
        <v>83</v>
      </c>
      <c r="E21" s="9" t="s">
        <v>44</v>
      </c>
      <c r="F21" s="9" t="s">
        <v>39</v>
      </c>
      <c r="G21" s="9" t="s">
        <v>40</v>
      </c>
      <c r="H21" s="9"/>
      <c r="I21" s="9"/>
      <c r="J21" s="9" t="s">
        <v>47</v>
      </c>
      <c r="K21" s="9" t="n">
        <v>0</v>
      </c>
      <c r="L21" s="9" t="s">
        <v>42</v>
      </c>
      <c r="M21" s="9" t="s">
        <v>42</v>
      </c>
      <c r="N21" s="9" t="s">
        <v>42</v>
      </c>
      <c r="O21" s="9" t="s">
        <v>42</v>
      </c>
      <c r="P21" s="9" t="s">
        <v>42</v>
      </c>
      <c r="Q21" s="9" t="n">
        <v>0</v>
      </c>
      <c r="R21" s="9" t="s">
        <v>40</v>
      </c>
      <c r="S21" s="9"/>
    </row>
    <row r="22" customFormat="false" ht="15" hidden="false" customHeight="true" outlineLevel="0" collapsed="false">
      <c r="A22" s="9" t="s">
        <v>84</v>
      </c>
      <c r="B22" s="9" t="n">
        <v>32420</v>
      </c>
      <c r="C22" s="9"/>
      <c r="D22" s="9"/>
      <c r="E22" s="9" t="s">
        <v>38</v>
      </c>
      <c r="F22" s="9" t="s">
        <v>54</v>
      </c>
      <c r="G22" s="9" t="s">
        <v>40</v>
      </c>
      <c r="H22" s="9"/>
      <c r="I22" s="9" t="s">
        <v>41</v>
      </c>
      <c r="J22" s="9" t="s">
        <v>47</v>
      </c>
      <c r="K22" s="9" t="n">
        <v>0</v>
      </c>
      <c r="L22" s="9" t="s">
        <v>42</v>
      </c>
      <c r="M22" s="9" t="s">
        <v>42</v>
      </c>
      <c r="N22" s="9" t="s">
        <v>42</v>
      </c>
      <c r="O22" s="9" t="s">
        <v>42</v>
      </c>
      <c r="P22" s="9" t="s">
        <v>42</v>
      </c>
      <c r="Q22" s="9" t="n">
        <v>0</v>
      </c>
      <c r="R22" s="9" t="s">
        <v>40</v>
      </c>
      <c r="S22" s="9"/>
    </row>
    <row r="23" customFormat="false" ht="15" hidden="false" customHeight="true" outlineLevel="0" collapsed="false">
      <c r="A23" s="9" t="s">
        <v>85</v>
      </c>
      <c r="B23" s="9" t="n">
        <v>90265</v>
      </c>
      <c r="C23" s="9"/>
      <c r="D23" s="9"/>
      <c r="E23" s="9" t="s">
        <v>44</v>
      </c>
      <c r="F23" s="9" t="s">
        <v>39</v>
      </c>
      <c r="G23" s="9" t="s">
        <v>40</v>
      </c>
      <c r="H23" s="9"/>
      <c r="I23" s="9"/>
      <c r="J23" s="9" t="s">
        <v>40</v>
      </c>
      <c r="K23" s="9" t="n">
        <v>1</v>
      </c>
      <c r="L23" s="9" t="s">
        <v>42</v>
      </c>
      <c r="M23" s="9" t="s">
        <v>42</v>
      </c>
      <c r="N23" s="9" t="s">
        <v>86</v>
      </c>
      <c r="O23" s="9" t="s">
        <v>87</v>
      </c>
      <c r="P23" s="9" t="s">
        <v>42</v>
      </c>
      <c r="Q23" s="9" t="n">
        <v>2375</v>
      </c>
      <c r="R23" s="9" t="s">
        <v>47</v>
      </c>
      <c r="S23" s="9"/>
    </row>
    <row r="24" customFormat="false" ht="15" hidden="false" customHeight="true" outlineLevel="0" collapsed="false">
      <c r="A24" s="9" t="s">
        <v>88</v>
      </c>
      <c r="B24" s="9"/>
      <c r="C24" s="9"/>
      <c r="D24" s="9"/>
      <c r="E24" s="9" t="s">
        <v>44</v>
      </c>
      <c r="F24" s="9" t="s">
        <v>39</v>
      </c>
      <c r="G24" s="9" t="s">
        <v>40</v>
      </c>
      <c r="H24" s="9"/>
      <c r="I24" s="9"/>
      <c r="J24" s="9" t="s">
        <v>40</v>
      </c>
      <c r="K24" s="9" t="n">
        <v>1</v>
      </c>
      <c r="L24" s="9" t="s">
        <v>42</v>
      </c>
      <c r="M24" s="9" t="s">
        <v>89</v>
      </c>
      <c r="N24" s="9" t="s">
        <v>57</v>
      </c>
      <c r="O24" s="9" t="s">
        <v>90</v>
      </c>
      <c r="P24" s="9" t="s">
        <v>42</v>
      </c>
      <c r="Q24" s="9" t="n">
        <v>870</v>
      </c>
      <c r="R24" s="9" t="s">
        <v>47</v>
      </c>
      <c r="S24" s="9"/>
    </row>
    <row r="25" customFormat="false" ht="15" hidden="false" customHeight="true" outlineLevel="0" collapsed="false">
      <c r="A25" s="9" t="s">
        <v>91</v>
      </c>
      <c r="B25" s="9" t="n">
        <v>47987</v>
      </c>
      <c r="C25" s="9"/>
      <c r="D25" s="9"/>
      <c r="E25" s="9" t="s">
        <v>44</v>
      </c>
      <c r="F25" s="9" t="s">
        <v>39</v>
      </c>
      <c r="G25" s="9" t="s">
        <v>40</v>
      </c>
      <c r="H25" s="9"/>
      <c r="I25" s="9" t="s">
        <v>66</v>
      </c>
      <c r="J25" s="9" t="s">
        <v>47</v>
      </c>
      <c r="K25" s="9" t="n">
        <v>1</v>
      </c>
      <c r="L25" s="9" t="s">
        <v>42</v>
      </c>
      <c r="M25" s="9" t="s">
        <v>42</v>
      </c>
      <c r="N25" s="9" t="s">
        <v>57</v>
      </c>
      <c r="O25" s="9" t="s">
        <v>42</v>
      </c>
      <c r="P25" s="9" t="s">
        <v>42</v>
      </c>
      <c r="Q25" s="9" t="n">
        <v>1</v>
      </c>
      <c r="R25" s="9" t="s">
        <v>47</v>
      </c>
      <c r="S25" s="9"/>
    </row>
    <row r="26" customFormat="false" ht="15" hidden="false" customHeight="true" outlineLevel="0" collapsed="false">
      <c r="A26" s="9" t="s">
        <v>92</v>
      </c>
      <c r="B26" s="9" t="n">
        <v>28472</v>
      </c>
      <c r="C26" s="9" t="n">
        <v>63</v>
      </c>
      <c r="D26" s="9" t="s">
        <v>62</v>
      </c>
      <c r="E26" s="9" t="s">
        <v>44</v>
      </c>
      <c r="F26" s="9" t="s">
        <v>54</v>
      </c>
      <c r="G26" s="9" t="s">
        <v>47</v>
      </c>
      <c r="H26" s="9"/>
      <c r="I26" s="9"/>
      <c r="J26" s="9" t="s">
        <v>47</v>
      </c>
      <c r="K26" s="9" t="n">
        <v>1</v>
      </c>
      <c r="L26" s="9" t="s">
        <v>42</v>
      </c>
      <c r="M26" s="9" t="s">
        <v>42</v>
      </c>
      <c r="N26" s="9" t="s">
        <v>42</v>
      </c>
      <c r="O26" s="9" t="s">
        <v>42</v>
      </c>
      <c r="P26" s="9" t="s">
        <v>42</v>
      </c>
      <c r="Q26" s="9" t="n">
        <v>0</v>
      </c>
      <c r="R26" s="9" t="s">
        <v>40</v>
      </c>
      <c r="S26" s="9" t="s">
        <v>93</v>
      </c>
    </row>
    <row r="27" customFormat="false" ht="15" hidden="false" customHeight="true" outlineLevel="0" collapsed="false">
      <c r="A27" s="9" t="s">
        <v>94</v>
      </c>
      <c r="B27" s="9" t="n">
        <v>6411</v>
      </c>
      <c r="C27" s="9" t="n">
        <v>51</v>
      </c>
      <c r="D27" s="9"/>
      <c r="E27" s="9" t="s">
        <v>44</v>
      </c>
      <c r="F27" s="9" t="s">
        <v>54</v>
      </c>
      <c r="G27" s="9" t="s">
        <v>40</v>
      </c>
      <c r="H27" s="9"/>
      <c r="I27" s="9"/>
      <c r="J27" s="9" t="s">
        <v>40</v>
      </c>
      <c r="K27" s="9" t="n">
        <v>0</v>
      </c>
      <c r="L27" s="9" t="s">
        <v>42</v>
      </c>
      <c r="M27" s="9" t="s">
        <v>42</v>
      </c>
      <c r="N27" s="9" t="s">
        <v>42</v>
      </c>
      <c r="O27" s="9" t="s">
        <v>42</v>
      </c>
      <c r="P27" s="9" t="s">
        <v>42</v>
      </c>
      <c r="Q27" s="9" t="n">
        <v>169</v>
      </c>
      <c r="R27" s="9" t="s">
        <v>47</v>
      </c>
      <c r="S27" s="9" t="s">
        <v>95</v>
      </c>
    </row>
    <row r="28" customFormat="false" ht="15" hidden="false" customHeight="true" outlineLevel="0" collapsed="false">
      <c r="A28" s="9" t="s">
        <v>96</v>
      </c>
      <c r="B28" s="9" t="n">
        <v>41540</v>
      </c>
      <c r="C28" s="9" t="n">
        <v>30</v>
      </c>
      <c r="D28" s="9"/>
      <c r="E28" s="9" t="s">
        <v>44</v>
      </c>
      <c r="F28" s="9" t="s">
        <v>54</v>
      </c>
      <c r="G28" s="9" t="s">
        <v>47</v>
      </c>
      <c r="H28" s="9"/>
      <c r="I28" s="9" t="s">
        <v>41</v>
      </c>
      <c r="J28" s="9" t="s">
        <v>47</v>
      </c>
      <c r="K28" s="9" t="n">
        <v>1</v>
      </c>
      <c r="L28" s="9" t="s">
        <v>42</v>
      </c>
      <c r="M28" s="9" t="s">
        <v>42</v>
      </c>
      <c r="N28" s="9" t="s">
        <v>42</v>
      </c>
      <c r="O28" s="9" t="s">
        <v>42</v>
      </c>
      <c r="P28" s="9" t="s">
        <v>42</v>
      </c>
      <c r="Q28" s="9" t="n">
        <v>100</v>
      </c>
      <c r="R28" s="9" t="s">
        <v>47</v>
      </c>
      <c r="S28" s="9" t="s">
        <v>97</v>
      </c>
    </row>
    <row r="29" customFormat="false" ht="15" hidden="false" customHeight="true" outlineLevel="0" collapsed="false">
      <c r="A29" s="9" t="s">
        <v>98</v>
      </c>
      <c r="B29" s="9" t="n">
        <v>36353</v>
      </c>
      <c r="C29" s="9"/>
      <c r="D29" s="9"/>
      <c r="E29" s="9" t="s">
        <v>44</v>
      </c>
      <c r="F29" s="9" t="s">
        <v>39</v>
      </c>
      <c r="G29" s="9" t="s">
        <v>40</v>
      </c>
      <c r="H29" s="9"/>
      <c r="I29" s="9" t="s">
        <v>41</v>
      </c>
      <c r="J29" s="9" t="s">
        <v>47</v>
      </c>
      <c r="K29" s="9" t="n">
        <v>1</v>
      </c>
      <c r="L29" s="9" t="s">
        <v>42</v>
      </c>
      <c r="M29" s="9" t="s">
        <v>99</v>
      </c>
      <c r="N29" s="9" t="s">
        <v>100</v>
      </c>
      <c r="O29" s="9" t="s">
        <v>42</v>
      </c>
      <c r="P29" s="9" t="s">
        <v>42</v>
      </c>
      <c r="Q29" s="9" t="n">
        <v>710</v>
      </c>
      <c r="R29" s="9" t="s">
        <v>47</v>
      </c>
      <c r="S29" s="9"/>
    </row>
    <row r="30" customFormat="false" ht="15" hidden="false" customHeight="true" outlineLevel="0" collapsed="false">
      <c r="A30" s="9" t="s">
        <v>101</v>
      </c>
      <c r="B30" s="9" t="n">
        <v>42408</v>
      </c>
      <c r="C30" s="9"/>
      <c r="D30" s="9"/>
      <c r="E30" s="9" t="s">
        <v>38</v>
      </c>
      <c r="F30" s="9" t="s">
        <v>39</v>
      </c>
      <c r="G30" s="9" t="s">
        <v>40</v>
      </c>
      <c r="H30" s="9"/>
      <c r="I30" s="9" t="s">
        <v>41</v>
      </c>
      <c r="J30" s="9" t="s">
        <v>40</v>
      </c>
      <c r="K30" s="9" t="n">
        <v>1</v>
      </c>
      <c r="L30" s="9" t="s">
        <v>42</v>
      </c>
      <c r="M30" s="9" t="s">
        <v>42</v>
      </c>
      <c r="N30" s="9" t="s">
        <v>42</v>
      </c>
      <c r="O30" s="9" t="s">
        <v>42</v>
      </c>
      <c r="P30" s="9" t="s">
        <v>42</v>
      </c>
      <c r="Q30" s="9" t="n">
        <v>325</v>
      </c>
      <c r="R30" s="9" t="s">
        <v>47</v>
      </c>
      <c r="S30" s="9"/>
    </row>
    <row r="31" customFormat="false" ht="15" hidden="false" customHeight="true" outlineLevel="0" collapsed="false">
      <c r="A31" s="9" t="s">
        <v>102</v>
      </c>
      <c r="B31" s="9"/>
      <c r="C31" s="9" t="n">
        <v>43</v>
      </c>
      <c r="D31" s="9"/>
      <c r="E31" s="9" t="s">
        <v>44</v>
      </c>
      <c r="F31" s="9" t="s">
        <v>54</v>
      </c>
      <c r="G31" s="9" t="s">
        <v>47</v>
      </c>
      <c r="H31" s="9"/>
      <c r="I31" s="9" t="s">
        <v>41</v>
      </c>
      <c r="J31" s="9" t="s">
        <v>40</v>
      </c>
      <c r="K31" s="9" t="n">
        <v>1</v>
      </c>
      <c r="L31" s="9" t="s">
        <v>42</v>
      </c>
      <c r="M31" s="9" t="s">
        <v>42</v>
      </c>
      <c r="N31" s="9" t="s">
        <v>42</v>
      </c>
      <c r="O31" s="9" t="s">
        <v>42</v>
      </c>
      <c r="P31" s="9" t="s">
        <v>42</v>
      </c>
      <c r="Q31" s="9" t="n">
        <v>0</v>
      </c>
      <c r="R31" s="9" t="s">
        <v>40</v>
      </c>
      <c r="S31" s="9" t="s">
        <v>103</v>
      </c>
    </row>
    <row r="32" customFormat="false" ht="15" hidden="false" customHeight="true" outlineLevel="0" collapsed="false">
      <c r="A32" s="9" t="s">
        <v>104</v>
      </c>
      <c r="B32" s="9" t="n">
        <v>90265</v>
      </c>
      <c r="C32" s="9"/>
      <c r="D32" s="9"/>
      <c r="E32" s="9" t="s">
        <v>44</v>
      </c>
      <c r="F32" s="9" t="s">
        <v>39</v>
      </c>
      <c r="G32" s="9" t="s">
        <v>40</v>
      </c>
      <c r="H32" s="9"/>
      <c r="I32" s="9" t="s">
        <v>41</v>
      </c>
      <c r="J32" s="9" t="s">
        <v>40</v>
      </c>
      <c r="K32" s="9" t="n">
        <v>1</v>
      </c>
      <c r="L32" s="9" t="s">
        <v>42</v>
      </c>
      <c r="M32" s="9" t="s">
        <v>42</v>
      </c>
      <c r="N32" s="9" t="s">
        <v>42</v>
      </c>
      <c r="O32" s="9" t="s">
        <v>42</v>
      </c>
      <c r="P32" s="9" t="s">
        <v>42</v>
      </c>
      <c r="Q32" s="9" t="n">
        <v>0</v>
      </c>
      <c r="R32" s="9" t="s">
        <v>40</v>
      </c>
      <c r="S32" s="9"/>
    </row>
    <row r="33" customFormat="false" ht="15" hidden="false" customHeight="true" outlineLevel="0" collapsed="false">
      <c r="A33" s="9" t="s">
        <v>105</v>
      </c>
      <c r="B33" s="9" t="n">
        <v>33811</v>
      </c>
      <c r="C33" s="9"/>
      <c r="D33" s="9"/>
      <c r="E33" s="9" t="s">
        <v>44</v>
      </c>
      <c r="F33" s="9" t="s">
        <v>54</v>
      </c>
      <c r="G33" s="9" t="s">
        <v>40</v>
      </c>
      <c r="H33" s="9"/>
      <c r="I33" s="9" t="s">
        <v>41</v>
      </c>
      <c r="J33" s="9" t="s">
        <v>40</v>
      </c>
      <c r="K33" s="9" t="n">
        <v>1</v>
      </c>
      <c r="L33" s="9" t="s">
        <v>42</v>
      </c>
      <c r="M33" s="9" t="s">
        <v>42</v>
      </c>
      <c r="N33" s="9" t="s">
        <v>42</v>
      </c>
      <c r="O33" s="9" t="s">
        <v>42</v>
      </c>
      <c r="P33" s="9" t="s">
        <v>106</v>
      </c>
      <c r="Q33" s="9" t="n">
        <v>122</v>
      </c>
      <c r="R33" s="9" t="s">
        <v>47</v>
      </c>
      <c r="S33" s="9"/>
    </row>
    <row r="34" customFormat="false" ht="15" hidden="false" customHeight="true" outlineLevel="0" collapsed="false">
      <c r="A34" s="9" t="s">
        <v>107</v>
      </c>
      <c r="B34" s="9" t="n">
        <v>90265</v>
      </c>
      <c r="C34" s="9" t="n">
        <v>36</v>
      </c>
      <c r="D34" s="9"/>
      <c r="E34" s="9" t="s">
        <v>38</v>
      </c>
      <c r="F34" s="9" t="s">
        <v>39</v>
      </c>
      <c r="G34" s="9" t="s">
        <v>40</v>
      </c>
      <c r="H34" s="9"/>
      <c r="I34" s="9" t="s">
        <v>41</v>
      </c>
      <c r="J34" s="9" t="s">
        <v>40</v>
      </c>
      <c r="K34" s="9" t="n">
        <v>0</v>
      </c>
      <c r="L34" s="9" t="s">
        <v>42</v>
      </c>
      <c r="M34" s="9" t="s">
        <v>42</v>
      </c>
      <c r="N34" s="9" t="s">
        <v>42</v>
      </c>
      <c r="O34" s="9" t="s">
        <v>42</v>
      </c>
      <c r="P34" s="9" t="s">
        <v>42</v>
      </c>
      <c r="Q34" s="9" t="n">
        <v>1</v>
      </c>
      <c r="R34" s="9" t="s">
        <v>47</v>
      </c>
      <c r="S34" s="9" t="s">
        <v>108</v>
      </c>
    </row>
    <row r="35" customFormat="false" ht="15" hidden="false" customHeight="true" outlineLevel="0" collapsed="false">
      <c r="A35" s="9" t="s">
        <v>109</v>
      </c>
      <c r="B35" s="9" t="n">
        <v>9499</v>
      </c>
      <c r="C35" s="9"/>
      <c r="D35" s="9"/>
      <c r="E35" s="9" t="s">
        <v>38</v>
      </c>
      <c r="F35" s="9" t="s">
        <v>39</v>
      </c>
      <c r="G35" s="9" t="s">
        <v>40</v>
      </c>
      <c r="H35" s="9" t="s">
        <v>110</v>
      </c>
      <c r="I35" s="9" t="s">
        <v>41</v>
      </c>
      <c r="J35" s="9" t="s">
        <v>40</v>
      </c>
      <c r="K35" s="9" t="n">
        <v>1</v>
      </c>
      <c r="L35" s="9" t="s">
        <v>42</v>
      </c>
      <c r="M35" s="9" t="s">
        <v>42</v>
      </c>
      <c r="N35" s="9" t="s">
        <v>42</v>
      </c>
      <c r="O35" s="9" t="s">
        <v>42</v>
      </c>
      <c r="P35" s="9" t="s">
        <v>42</v>
      </c>
      <c r="Q35" s="9" t="n">
        <v>8</v>
      </c>
      <c r="R35" s="9" t="s">
        <v>47</v>
      </c>
      <c r="S35" s="9"/>
    </row>
    <row r="36" customFormat="false" ht="15" hidden="false" customHeight="true" outlineLevel="0" collapsed="false">
      <c r="A36" s="9" t="s">
        <v>111</v>
      </c>
      <c r="B36" s="9" t="n">
        <v>14127</v>
      </c>
      <c r="C36" s="9"/>
      <c r="D36" s="9"/>
      <c r="E36" s="9" t="s">
        <v>44</v>
      </c>
      <c r="F36" s="9" t="s">
        <v>39</v>
      </c>
      <c r="G36" s="9" t="s">
        <v>40</v>
      </c>
      <c r="H36" s="9"/>
      <c r="I36" s="9" t="s">
        <v>41</v>
      </c>
      <c r="J36" s="9" t="s">
        <v>40</v>
      </c>
      <c r="K36" s="9" t="n">
        <v>2</v>
      </c>
      <c r="L36" s="9" t="s">
        <v>42</v>
      </c>
      <c r="M36" s="9" t="s">
        <v>42</v>
      </c>
      <c r="N36" s="9" t="s">
        <v>42</v>
      </c>
      <c r="O36" s="9" t="s">
        <v>42</v>
      </c>
      <c r="P36" s="9" t="s">
        <v>42</v>
      </c>
      <c r="Q36" s="9" t="n">
        <v>0</v>
      </c>
      <c r="R36" s="9" t="s">
        <v>40</v>
      </c>
      <c r="S36" s="9"/>
    </row>
    <row r="37" customFormat="false" ht="15" hidden="false" customHeight="true" outlineLevel="0" collapsed="false">
      <c r="A37" s="9" t="s">
        <v>112</v>
      </c>
      <c r="B37" s="9" t="n">
        <v>17509</v>
      </c>
      <c r="C37" s="9"/>
      <c r="D37" s="9"/>
      <c r="E37" s="9" t="s">
        <v>44</v>
      </c>
      <c r="F37" s="9" t="s">
        <v>39</v>
      </c>
      <c r="G37" s="9" t="s">
        <v>40</v>
      </c>
      <c r="H37" s="9"/>
      <c r="I37" s="9" t="s">
        <v>41</v>
      </c>
      <c r="J37" s="9" t="s">
        <v>40</v>
      </c>
      <c r="K37" s="9" t="n">
        <v>1</v>
      </c>
      <c r="L37" s="9" t="s">
        <v>42</v>
      </c>
      <c r="M37" s="9" t="s">
        <v>42</v>
      </c>
      <c r="N37" s="9" t="s">
        <v>42</v>
      </c>
      <c r="O37" s="9" t="s">
        <v>57</v>
      </c>
      <c r="P37" s="9" t="s">
        <v>42</v>
      </c>
      <c r="Q37" s="9" t="n">
        <v>2529</v>
      </c>
      <c r="R37" s="9" t="s">
        <v>47</v>
      </c>
      <c r="S37" s="9"/>
    </row>
    <row r="38" customFormat="false" ht="15" hidden="false" customHeight="true" outlineLevel="0" collapsed="false">
      <c r="A38" s="9" t="s">
        <v>113</v>
      </c>
      <c r="B38" s="9" t="n">
        <v>32655</v>
      </c>
      <c r="C38" s="9"/>
      <c r="D38" s="9" t="s">
        <v>62</v>
      </c>
      <c r="E38" s="9" t="s">
        <v>38</v>
      </c>
      <c r="F38" s="9" t="s">
        <v>45</v>
      </c>
      <c r="G38" s="9" t="s">
        <v>40</v>
      </c>
      <c r="H38" s="9"/>
      <c r="I38" s="9" t="s">
        <v>41</v>
      </c>
      <c r="J38" s="9" t="s">
        <v>40</v>
      </c>
      <c r="K38" s="9" t="n">
        <v>1</v>
      </c>
      <c r="L38" s="9" t="s">
        <v>42</v>
      </c>
      <c r="M38" s="9" t="s">
        <v>42</v>
      </c>
      <c r="N38" s="9" t="s">
        <v>42</v>
      </c>
      <c r="O38" s="9" t="s">
        <v>42</v>
      </c>
      <c r="P38" s="9" t="s">
        <v>42</v>
      </c>
      <c r="Q38" s="9" t="n">
        <v>250</v>
      </c>
      <c r="R38" s="9" t="s">
        <v>47</v>
      </c>
      <c r="S38" s="9"/>
    </row>
    <row r="39" customFormat="false" ht="15" hidden="false" customHeight="true" outlineLevel="0" collapsed="false">
      <c r="A39" s="9" t="s">
        <v>114</v>
      </c>
      <c r="B39" s="9" t="n">
        <v>59845</v>
      </c>
      <c r="C39" s="9"/>
      <c r="D39" s="9" t="s">
        <v>83</v>
      </c>
      <c r="E39" s="9" t="s">
        <v>44</v>
      </c>
      <c r="F39" s="9" t="s">
        <v>39</v>
      </c>
      <c r="G39" s="9" t="s">
        <v>40</v>
      </c>
      <c r="H39" s="9"/>
      <c r="I39" s="9" t="s">
        <v>41</v>
      </c>
      <c r="J39" s="9" t="s">
        <v>47</v>
      </c>
      <c r="K39" s="9" t="n">
        <v>0</v>
      </c>
      <c r="L39" s="9" t="s">
        <v>42</v>
      </c>
      <c r="M39" s="9" t="s">
        <v>42</v>
      </c>
      <c r="N39" s="9" t="s">
        <v>42</v>
      </c>
      <c r="O39" s="9" t="s">
        <v>42</v>
      </c>
      <c r="P39" s="9" t="s">
        <v>42</v>
      </c>
      <c r="Q39" s="9" t="n">
        <v>0</v>
      </c>
      <c r="R39" s="9" t="s">
        <v>40</v>
      </c>
      <c r="S39" s="9"/>
    </row>
    <row r="40" customFormat="false" ht="15" hidden="false" customHeight="true" outlineLevel="0" collapsed="false">
      <c r="A40" s="9" t="s">
        <v>115</v>
      </c>
      <c r="B40" s="9" t="n">
        <v>68317</v>
      </c>
      <c r="C40" s="9" t="n">
        <v>46</v>
      </c>
      <c r="D40" s="9" t="s">
        <v>83</v>
      </c>
      <c r="E40" s="9" t="s">
        <v>44</v>
      </c>
      <c r="F40" s="9" t="s">
        <v>54</v>
      </c>
      <c r="G40" s="9" t="s">
        <v>47</v>
      </c>
      <c r="H40" s="9"/>
      <c r="I40" s="9" t="s">
        <v>41</v>
      </c>
      <c r="J40" s="9" t="s">
        <v>47</v>
      </c>
      <c r="K40" s="9" t="n">
        <v>1</v>
      </c>
      <c r="L40" s="9" t="s">
        <v>42</v>
      </c>
      <c r="M40" s="9" t="s">
        <v>42</v>
      </c>
      <c r="N40" s="9" t="s">
        <v>42</v>
      </c>
      <c r="O40" s="9" t="s">
        <v>42</v>
      </c>
      <c r="P40" s="9" t="s">
        <v>42</v>
      </c>
      <c r="Q40" s="9" t="n">
        <v>25</v>
      </c>
      <c r="R40" s="9" t="s">
        <v>47</v>
      </c>
      <c r="S40" s="9" t="s">
        <v>116</v>
      </c>
    </row>
    <row r="41" customFormat="false" ht="15" hidden="false" customHeight="true" outlineLevel="0" collapsed="false">
      <c r="A41" s="9" t="s">
        <v>117</v>
      </c>
      <c r="B41" s="9" t="n">
        <v>90265</v>
      </c>
      <c r="C41" s="9" t="n">
        <v>53</v>
      </c>
      <c r="D41" s="9"/>
      <c r="E41" s="9" t="s">
        <v>38</v>
      </c>
      <c r="F41" s="9" t="s">
        <v>39</v>
      </c>
      <c r="G41" s="9" t="s">
        <v>40</v>
      </c>
      <c r="H41" s="9"/>
      <c r="I41" s="9" t="s">
        <v>41</v>
      </c>
      <c r="J41" s="9" t="s">
        <v>40</v>
      </c>
      <c r="K41" s="9" t="n">
        <v>0</v>
      </c>
      <c r="L41" s="9" t="s">
        <v>42</v>
      </c>
      <c r="M41" s="9" t="s">
        <v>42</v>
      </c>
      <c r="N41" s="9" t="s">
        <v>42</v>
      </c>
      <c r="O41" s="9" t="s">
        <v>57</v>
      </c>
      <c r="P41" s="9" t="s">
        <v>42</v>
      </c>
      <c r="Q41" s="9" t="n">
        <v>1</v>
      </c>
      <c r="R41" s="9" t="s">
        <v>47</v>
      </c>
      <c r="S41" s="9" t="s">
        <v>118</v>
      </c>
    </row>
    <row r="42" customFormat="false" ht="15" hidden="false" customHeight="true" outlineLevel="0" collapsed="false">
      <c r="A42" s="9" t="s">
        <v>119</v>
      </c>
      <c r="B42" s="9" t="n">
        <v>72847</v>
      </c>
      <c r="C42" s="9"/>
      <c r="D42" s="9"/>
      <c r="E42" s="9" t="s">
        <v>44</v>
      </c>
      <c r="F42" s="9" t="s">
        <v>39</v>
      </c>
      <c r="G42" s="9" t="s">
        <v>40</v>
      </c>
      <c r="H42" s="9"/>
      <c r="I42" s="9" t="s">
        <v>41</v>
      </c>
      <c r="J42" s="9" t="s">
        <v>40</v>
      </c>
      <c r="K42" s="9" t="n">
        <v>2</v>
      </c>
      <c r="L42" s="9" t="s">
        <v>42</v>
      </c>
      <c r="M42" s="9" t="s">
        <v>42</v>
      </c>
      <c r="N42" s="9" t="s">
        <v>42</v>
      </c>
      <c r="O42" s="9" t="s">
        <v>42</v>
      </c>
      <c r="P42" s="9" t="s">
        <v>42</v>
      </c>
      <c r="Q42" s="9" t="n">
        <v>51</v>
      </c>
      <c r="R42" s="9" t="s">
        <v>47</v>
      </c>
      <c r="S42" s="9"/>
    </row>
    <row r="43" customFormat="false" ht="15" hidden="false" customHeight="true" outlineLevel="0" collapsed="false">
      <c r="A43" s="9" t="s">
        <v>120</v>
      </c>
      <c r="B43" s="9" t="n">
        <v>17835</v>
      </c>
      <c r="C43" s="9" t="n">
        <v>34</v>
      </c>
      <c r="D43" s="9"/>
      <c r="E43" s="9" t="s">
        <v>38</v>
      </c>
      <c r="F43" s="9" t="s">
        <v>39</v>
      </c>
      <c r="G43" s="9" t="s">
        <v>40</v>
      </c>
      <c r="H43" s="9"/>
      <c r="I43" s="9" t="s">
        <v>41</v>
      </c>
      <c r="J43" s="9" t="s">
        <v>40</v>
      </c>
      <c r="K43" s="9" t="n">
        <v>0</v>
      </c>
      <c r="L43" s="9" t="s">
        <v>42</v>
      </c>
      <c r="M43" s="9" t="s">
        <v>42</v>
      </c>
      <c r="N43" s="9" t="s">
        <v>42</v>
      </c>
      <c r="O43" s="9" t="s">
        <v>42</v>
      </c>
      <c r="P43" s="9" t="s">
        <v>42</v>
      </c>
      <c r="Q43" s="9" t="n">
        <v>0</v>
      </c>
      <c r="R43" s="9" t="s">
        <v>40</v>
      </c>
      <c r="S43" s="9" t="s">
        <v>121</v>
      </c>
    </row>
    <row r="44" customFormat="false" ht="15" hidden="false" customHeight="true" outlineLevel="0" collapsed="false">
      <c r="A44" s="9" t="s">
        <v>122</v>
      </c>
      <c r="B44" s="9" t="n">
        <v>46968</v>
      </c>
      <c r="C44" s="9" t="n">
        <v>43</v>
      </c>
      <c r="D44" s="9"/>
      <c r="E44" s="9" t="s">
        <v>44</v>
      </c>
      <c r="F44" s="9" t="s">
        <v>54</v>
      </c>
      <c r="G44" s="9" t="s">
        <v>47</v>
      </c>
      <c r="H44" s="9"/>
      <c r="I44" s="9" t="s">
        <v>41</v>
      </c>
      <c r="J44" s="9" t="s">
        <v>47</v>
      </c>
      <c r="K44" s="9" t="n">
        <v>1</v>
      </c>
      <c r="L44" s="9" t="s">
        <v>42</v>
      </c>
      <c r="M44" s="9" t="s">
        <v>42</v>
      </c>
      <c r="N44" s="9" t="s">
        <v>42</v>
      </c>
      <c r="O44" s="9" t="s">
        <v>42</v>
      </c>
      <c r="P44" s="9" t="s">
        <v>42</v>
      </c>
      <c r="Q44" s="9" t="n">
        <v>5</v>
      </c>
      <c r="R44" s="9" t="s">
        <v>47</v>
      </c>
      <c r="S44" s="9" t="s">
        <v>123</v>
      </c>
    </row>
    <row r="45" customFormat="false" ht="15" hidden="false" customHeight="true" outlineLevel="0" collapsed="false">
      <c r="A45" s="9" t="s">
        <v>124</v>
      </c>
      <c r="B45" s="9" t="n">
        <v>6439</v>
      </c>
      <c r="C45" s="9"/>
      <c r="D45" s="9" t="s">
        <v>83</v>
      </c>
      <c r="E45" s="9" t="s">
        <v>38</v>
      </c>
      <c r="F45" s="9" t="s">
        <v>39</v>
      </c>
      <c r="G45" s="9" t="s">
        <v>40</v>
      </c>
      <c r="H45" s="9"/>
      <c r="I45" s="9" t="s">
        <v>41</v>
      </c>
      <c r="J45" s="9" t="s">
        <v>40</v>
      </c>
      <c r="K45" s="9" t="n">
        <v>1</v>
      </c>
      <c r="L45" s="9" t="s">
        <v>125</v>
      </c>
      <c r="M45" s="9" t="s">
        <v>42</v>
      </c>
      <c r="N45" s="9" t="s">
        <v>42</v>
      </c>
      <c r="O45" s="9" t="s">
        <v>42</v>
      </c>
      <c r="P45" s="9" t="s">
        <v>42</v>
      </c>
      <c r="Q45" s="9" t="n">
        <v>845</v>
      </c>
      <c r="R45" s="9" t="s">
        <v>47</v>
      </c>
      <c r="S45" s="9"/>
    </row>
    <row r="46" customFormat="false" ht="15" hidden="false" customHeight="true" outlineLevel="0" collapsed="false">
      <c r="A46" s="9" t="s">
        <v>126</v>
      </c>
      <c r="B46" s="9" t="n">
        <v>94246</v>
      </c>
      <c r="C46" s="9"/>
      <c r="D46" s="9"/>
      <c r="E46" s="9" t="s">
        <v>38</v>
      </c>
      <c r="F46" s="9" t="s">
        <v>54</v>
      </c>
      <c r="G46" s="9" t="s">
        <v>47</v>
      </c>
      <c r="H46" s="9"/>
      <c r="I46" s="9" t="s">
        <v>41</v>
      </c>
      <c r="J46" s="9" t="s">
        <v>47</v>
      </c>
      <c r="K46" s="9" t="n">
        <v>0</v>
      </c>
      <c r="L46" s="9" t="s">
        <v>42</v>
      </c>
      <c r="M46" s="9" t="s">
        <v>42</v>
      </c>
      <c r="N46" s="9" t="s">
        <v>42</v>
      </c>
      <c r="O46" s="9" t="s">
        <v>127</v>
      </c>
      <c r="P46" s="9" t="s">
        <v>42</v>
      </c>
      <c r="Q46" s="9" t="n">
        <v>180</v>
      </c>
      <c r="R46" s="9" t="s">
        <v>47</v>
      </c>
      <c r="S46" s="9"/>
    </row>
    <row r="47" customFormat="false" ht="15" hidden="false" customHeight="true" outlineLevel="0" collapsed="false">
      <c r="A47" s="9" t="s">
        <v>128</v>
      </c>
      <c r="B47" s="9" t="n">
        <v>19961</v>
      </c>
      <c r="C47" s="9"/>
      <c r="D47" s="9" t="s">
        <v>62</v>
      </c>
      <c r="E47" s="9" t="s">
        <v>44</v>
      </c>
      <c r="F47" s="9" t="s">
        <v>39</v>
      </c>
      <c r="G47" s="9" t="s">
        <v>40</v>
      </c>
      <c r="H47" s="9"/>
      <c r="I47" s="9" t="s">
        <v>41</v>
      </c>
      <c r="J47" s="9" t="s">
        <v>40</v>
      </c>
      <c r="K47" s="9" t="n">
        <v>10</v>
      </c>
      <c r="L47" s="9" t="s">
        <v>129</v>
      </c>
      <c r="M47" s="9" t="s">
        <v>42</v>
      </c>
      <c r="N47" s="9" t="s">
        <v>42</v>
      </c>
      <c r="O47" s="9" t="s">
        <v>42</v>
      </c>
      <c r="P47" s="9" t="s">
        <v>42</v>
      </c>
      <c r="Q47" s="9" t="n">
        <v>2400</v>
      </c>
      <c r="R47" s="9" t="s">
        <v>47</v>
      </c>
      <c r="S47" s="9"/>
    </row>
    <row r="48" customFormat="false" ht="15" hidden="false" customHeight="true" outlineLevel="0" collapsed="false">
      <c r="A48" s="9" t="s">
        <v>130</v>
      </c>
      <c r="B48" s="9" t="n">
        <v>90265</v>
      </c>
      <c r="C48" s="9"/>
      <c r="D48" s="9" t="s">
        <v>62</v>
      </c>
      <c r="E48" s="9" t="s">
        <v>38</v>
      </c>
      <c r="F48" s="9" t="s">
        <v>45</v>
      </c>
      <c r="G48" s="9" t="s">
        <v>40</v>
      </c>
      <c r="H48" s="9"/>
      <c r="I48" s="9" t="s">
        <v>41</v>
      </c>
      <c r="J48" s="9" t="s">
        <v>47</v>
      </c>
      <c r="K48" s="9" t="n">
        <v>1</v>
      </c>
      <c r="L48" s="9" t="s">
        <v>42</v>
      </c>
      <c r="M48" s="9" t="s">
        <v>42</v>
      </c>
      <c r="N48" s="9" t="s">
        <v>131</v>
      </c>
      <c r="O48" s="9" t="s">
        <v>42</v>
      </c>
      <c r="P48" s="9" t="s">
        <v>42</v>
      </c>
      <c r="Q48" s="9" t="n">
        <v>10000</v>
      </c>
      <c r="R48" s="9" t="s">
        <v>47</v>
      </c>
      <c r="S48" s="9"/>
    </row>
    <row r="49" customFormat="false" ht="15" hidden="false" customHeight="true" outlineLevel="0" collapsed="false">
      <c r="A49" s="9" t="s">
        <v>132</v>
      </c>
      <c r="B49" s="9" t="n">
        <v>24829</v>
      </c>
      <c r="C49" s="9"/>
      <c r="D49" s="9"/>
      <c r="E49" s="9" t="s">
        <v>44</v>
      </c>
      <c r="F49" s="9" t="s">
        <v>39</v>
      </c>
      <c r="G49" s="9" t="s">
        <v>40</v>
      </c>
      <c r="H49" s="9"/>
      <c r="I49" s="9" t="s">
        <v>41</v>
      </c>
      <c r="J49" s="9" t="s">
        <v>40</v>
      </c>
      <c r="K49" s="9" t="n">
        <v>3</v>
      </c>
      <c r="L49" s="9" t="s">
        <v>42</v>
      </c>
      <c r="M49" s="9" t="s">
        <v>87</v>
      </c>
      <c r="N49" s="9" t="s">
        <v>42</v>
      </c>
      <c r="O49" s="9" t="s">
        <v>129</v>
      </c>
      <c r="P49" s="9" t="s">
        <v>42</v>
      </c>
      <c r="Q49" s="9" t="n">
        <v>1200</v>
      </c>
      <c r="R49" s="9" t="s">
        <v>47</v>
      </c>
      <c r="S49" s="9"/>
    </row>
    <row r="50" customFormat="false" ht="15" hidden="false" customHeight="true" outlineLevel="0" collapsed="false">
      <c r="A50" s="9" t="s">
        <v>133</v>
      </c>
      <c r="B50" s="9" t="n">
        <v>80270</v>
      </c>
      <c r="C50" s="9" t="n">
        <v>33</v>
      </c>
      <c r="D50" s="9"/>
      <c r="E50" s="9" t="s">
        <v>38</v>
      </c>
      <c r="F50" s="9" t="s">
        <v>54</v>
      </c>
      <c r="G50" s="9" t="s">
        <v>47</v>
      </c>
      <c r="H50" s="9"/>
      <c r="I50" s="9" t="s">
        <v>41</v>
      </c>
      <c r="J50" s="9" t="s">
        <v>47</v>
      </c>
      <c r="K50" s="9" t="n">
        <v>1</v>
      </c>
      <c r="L50" s="9" t="s">
        <v>42</v>
      </c>
      <c r="M50" s="9" t="s">
        <v>42</v>
      </c>
      <c r="N50" s="9" t="s">
        <v>42</v>
      </c>
      <c r="O50" s="9" t="s">
        <v>42</v>
      </c>
      <c r="P50" s="9" t="s">
        <v>42</v>
      </c>
      <c r="Q50" s="9" t="n">
        <v>25</v>
      </c>
      <c r="R50" s="9" t="s">
        <v>47</v>
      </c>
      <c r="S50" s="9" t="s">
        <v>134</v>
      </c>
    </row>
    <row r="51" customFormat="false" ht="15" hidden="false" customHeight="true" outlineLevel="0" collapsed="false">
      <c r="A51" s="9" t="s">
        <v>135</v>
      </c>
      <c r="B51" s="9" t="n">
        <v>85920</v>
      </c>
      <c r="C51" s="9" t="n">
        <v>30</v>
      </c>
      <c r="D51" s="9"/>
      <c r="E51" s="9" t="s">
        <v>44</v>
      </c>
      <c r="F51" s="9" t="s">
        <v>54</v>
      </c>
      <c r="G51" s="9" t="s">
        <v>47</v>
      </c>
      <c r="H51" s="9"/>
      <c r="I51" s="9" t="s">
        <v>41</v>
      </c>
      <c r="J51" s="9" t="s">
        <v>47</v>
      </c>
      <c r="K51" s="9" t="n">
        <v>1</v>
      </c>
      <c r="L51" s="9" t="s">
        <v>42</v>
      </c>
      <c r="M51" s="9" t="s">
        <v>42</v>
      </c>
      <c r="N51" s="9" t="s">
        <v>42</v>
      </c>
      <c r="O51" s="9" t="s">
        <v>42</v>
      </c>
      <c r="P51" s="9" t="s">
        <v>42</v>
      </c>
      <c r="Q51" s="9" t="n">
        <v>580</v>
      </c>
      <c r="R51" s="9" t="s">
        <v>47</v>
      </c>
      <c r="S51" s="9" t="s">
        <v>136</v>
      </c>
    </row>
    <row r="52" customFormat="false" ht="15" hidden="false" customHeight="true" outlineLevel="0" collapsed="false">
      <c r="A52" s="9" t="s">
        <v>137</v>
      </c>
      <c r="B52" s="9" t="n">
        <v>5673</v>
      </c>
      <c r="C52" s="9"/>
      <c r="D52" s="9"/>
      <c r="E52" s="9" t="s">
        <v>38</v>
      </c>
      <c r="F52" s="9" t="s">
        <v>54</v>
      </c>
      <c r="G52" s="9" t="s">
        <v>40</v>
      </c>
      <c r="H52" s="9"/>
      <c r="I52" s="9" t="s">
        <v>41</v>
      </c>
      <c r="J52" s="9" t="s">
        <v>47</v>
      </c>
      <c r="K52" s="9" t="n">
        <v>2</v>
      </c>
      <c r="L52" s="9" t="s">
        <v>42</v>
      </c>
      <c r="M52" s="9" t="s">
        <v>42</v>
      </c>
      <c r="N52" s="9" t="s">
        <v>42</v>
      </c>
      <c r="O52" s="9" t="s">
        <v>42</v>
      </c>
      <c r="P52" s="9" t="s">
        <v>42</v>
      </c>
      <c r="Q52" s="9" t="n">
        <v>325</v>
      </c>
      <c r="R52" s="9" t="s">
        <v>47</v>
      </c>
      <c r="S52" s="9"/>
    </row>
    <row r="53" customFormat="false" ht="15" hidden="false" customHeight="true" outlineLevel="0" collapsed="false">
      <c r="A53" s="9" t="s">
        <v>138</v>
      </c>
      <c r="B53" s="9" t="n">
        <v>59856</v>
      </c>
      <c r="C53" s="9"/>
      <c r="D53" s="9"/>
      <c r="E53" s="9" t="s">
        <v>44</v>
      </c>
      <c r="F53" s="9" t="s">
        <v>54</v>
      </c>
      <c r="G53" s="9" t="s">
        <v>40</v>
      </c>
      <c r="H53" s="9"/>
      <c r="I53" s="9"/>
      <c r="J53" s="9" t="s">
        <v>40</v>
      </c>
      <c r="K53" s="9" t="n">
        <v>0</v>
      </c>
      <c r="L53" s="9" t="s">
        <v>42</v>
      </c>
      <c r="M53" s="9" t="s">
        <v>42</v>
      </c>
      <c r="N53" s="9" t="s">
        <v>42</v>
      </c>
      <c r="O53" s="9" t="s">
        <v>42</v>
      </c>
      <c r="P53" s="9" t="s">
        <v>42</v>
      </c>
      <c r="Q53" s="9" t="n">
        <v>759</v>
      </c>
      <c r="R53" s="9" t="s">
        <v>47</v>
      </c>
      <c r="S53" s="9"/>
    </row>
    <row r="54" customFormat="false" ht="15" hidden="false" customHeight="true" outlineLevel="0" collapsed="false">
      <c r="A54" s="9" t="s">
        <v>139</v>
      </c>
      <c r="B54" s="9" t="n">
        <v>77240</v>
      </c>
      <c r="C54" s="9"/>
      <c r="D54" s="9"/>
      <c r="E54" s="9" t="s">
        <v>44</v>
      </c>
      <c r="F54" s="9" t="s">
        <v>54</v>
      </c>
      <c r="G54" s="9" t="s">
        <v>40</v>
      </c>
      <c r="H54" s="9"/>
      <c r="I54" s="9" t="s">
        <v>41</v>
      </c>
      <c r="J54" s="9" t="s">
        <v>40</v>
      </c>
      <c r="K54" s="9" t="n">
        <v>1</v>
      </c>
      <c r="L54" s="9" t="s">
        <v>42</v>
      </c>
      <c r="M54" s="9" t="s">
        <v>42</v>
      </c>
      <c r="N54" s="9" t="s">
        <v>140</v>
      </c>
      <c r="O54" s="9" t="s">
        <v>140</v>
      </c>
      <c r="P54" s="9" t="s">
        <v>42</v>
      </c>
      <c r="Q54" s="9" t="n">
        <v>180</v>
      </c>
      <c r="R54" s="9" t="s">
        <v>47</v>
      </c>
      <c r="S54" s="9"/>
    </row>
    <row r="55" customFormat="false" ht="15" hidden="false" customHeight="true" outlineLevel="0" collapsed="false">
      <c r="A55" s="9" t="s">
        <v>141</v>
      </c>
      <c r="B55" s="9" t="n">
        <v>50146</v>
      </c>
      <c r="C55" s="9"/>
      <c r="D55" s="9"/>
      <c r="E55" s="9" t="s">
        <v>44</v>
      </c>
      <c r="F55" s="9" t="s">
        <v>39</v>
      </c>
      <c r="G55" s="9" t="s">
        <v>40</v>
      </c>
      <c r="H55" s="9" t="s">
        <v>110</v>
      </c>
      <c r="I55" s="9" t="s">
        <v>41</v>
      </c>
      <c r="J55" s="9" t="s">
        <v>40</v>
      </c>
      <c r="K55" s="9" t="n">
        <v>1</v>
      </c>
      <c r="L55" s="9" t="s">
        <v>42</v>
      </c>
      <c r="M55" s="9" t="s">
        <v>42</v>
      </c>
      <c r="N55" s="9" t="s">
        <v>57</v>
      </c>
      <c r="O55" s="9" t="s">
        <v>42</v>
      </c>
      <c r="P55" s="9" t="s">
        <v>42</v>
      </c>
      <c r="Q55" s="9" t="n">
        <v>1</v>
      </c>
      <c r="R55" s="9" t="s">
        <v>47</v>
      </c>
      <c r="S55" s="9"/>
    </row>
    <row r="56" customFormat="false" ht="15" hidden="false" customHeight="true" outlineLevel="0" collapsed="false">
      <c r="A56" s="9" t="s">
        <v>142</v>
      </c>
      <c r="B56" s="9" t="n">
        <v>70722</v>
      </c>
      <c r="C56" s="9"/>
      <c r="D56" s="9"/>
      <c r="E56" s="9" t="s">
        <v>38</v>
      </c>
      <c r="F56" s="9" t="s">
        <v>39</v>
      </c>
      <c r="G56" s="9" t="s">
        <v>40</v>
      </c>
      <c r="H56" s="9"/>
      <c r="I56" s="9" t="s">
        <v>41</v>
      </c>
      <c r="J56" s="9" t="s">
        <v>40</v>
      </c>
      <c r="K56" s="9" t="n">
        <v>1</v>
      </c>
      <c r="L56" s="9" t="s">
        <v>42</v>
      </c>
      <c r="M56" s="9" t="s">
        <v>42</v>
      </c>
      <c r="N56" s="9" t="s">
        <v>42</v>
      </c>
      <c r="O56" s="9" t="s">
        <v>42</v>
      </c>
      <c r="P56" s="9" t="s">
        <v>42</v>
      </c>
      <c r="Q56" s="9" t="n">
        <v>0</v>
      </c>
      <c r="R56" s="9" t="s">
        <v>40</v>
      </c>
      <c r="S56" s="9"/>
    </row>
    <row r="57" customFormat="false" ht="15" hidden="false" customHeight="true" outlineLevel="0" collapsed="false">
      <c r="A57" s="9" t="s">
        <v>143</v>
      </c>
      <c r="B57" s="9" t="n">
        <v>47536</v>
      </c>
      <c r="C57" s="9" t="n">
        <v>46</v>
      </c>
      <c r="D57" s="9"/>
      <c r="E57" s="9" t="s">
        <v>38</v>
      </c>
      <c r="F57" s="9" t="s">
        <v>39</v>
      </c>
      <c r="G57" s="9" t="s">
        <v>40</v>
      </c>
      <c r="H57" s="9"/>
      <c r="I57" s="9" t="s">
        <v>41</v>
      </c>
      <c r="J57" s="9" t="s">
        <v>47</v>
      </c>
      <c r="K57" s="9" t="n">
        <v>0</v>
      </c>
      <c r="L57" s="9" t="s">
        <v>42</v>
      </c>
      <c r="M57" s="9" t="s">
        <v>125</v>
      </c>
      <c r="N57" s="9" t="s">
        <v>63</v>
      </c>
      <c r="O57" s="9" t="s">
        <v>144</v>
      </c>
      <c r="P57" s="9" t="s">
        <v>42</v>
      </c>
      <c r="Q57" s="9" t="n">
        <v>350</v>
      </c>
      <c r="R57" s="9" t="s">
        <v>47</v>
      </c>
      <c r="S57" s="9" t="s">
        <v>145</v>
      </c>
    </row>
    <row r="58" customFormat="false" ht="15" hidden="false" customHeight="true" outlineLevel="0" collapsed="false">
      <c r="A58" s="9" t="s">
        <v>146</v>
      </c>
      <c r="B58" s="9" t="n">
        <v>8518</v>
      </c>
      <c r="C58" s="9" t="n">
        <v>76</v>
      </c>
      <c r="D58" s="9"/>
      <c r="E58" s="9" t="s">
        <v>38</v>
      </c>
      <c r="F58" s="9" t="s">
        <v>39</v>
      </c>
      <c r="G58" s="9" t="s">
        <v>40</v>
      </c>
      <c r="H58" s="9"/>
      <c r="I58" s="9" t="s">
        <v>41</v>
      </c>
      <c r="J58" s="9" t="s">
        <v>40</v>
      </c>
      <c r="K58" s="9" t="n">
        <v>0</v>
      </c>
      <c r="L58" s="9" t="s">
        <v>42</v>
      </c>
      <c r="M58" s="9" t="s">
        <v>42</v>
      </c>
      <c r="N58" s="9" t="s">
        <v>42</v>
      </c>
      <c r="O58" s="9" t="s">
        <v>42</v>
      </c>
      <c r="P58" s="9" t="s">
        <v>42</v>
      </c>
      <c r="Q58" s="9" t="n">
        <v>10</v>
      </c>
      <c r="R58" s="9" t="s">
        <v>47</v>
      </c>
      <c r="S58" s="9" t="s">
        <v>147</v>
      </c>
    </row>
    <row r="59" customFormat="false" ht="15" hidden="false" customHeight="true" outlineLevel="0" collapsed="false">
      <c r="A59" s="9" t="s">
        <v>148</v>
      </c>
      <c r="B59" s="9" t="n">
        <v>90265</v>
      </c>
      <c r="C59" s="9"/>
      <c r="D59" s="9" t="s">
        <v>83</v>
      </c>
      <c r="E59" s="9" t="s">
        <v>38</v>
      </c>
      <c r="F59" s="9" t="s">
        <v>39</v>
      </c>
      <c r="G59" s="9" t="s">
        <v>40</v>
      </c>
      <c r="H59" s="9"/>
      <c r="I59" s="9" t="s">
        <v>41</v>
      </c>
      <c r="J59" s="9" t="s">
        <v>40</v>
      </c>
      <c r="K59" s="9" t="n">
        <v>1</v>
      </c>
      <c r="L59" s="9" t="s">
        <v>57</v>
      </c>
      <c r="M59" s="9" t="s">
        <v>42</v>
      </c>
      <c r="N59" s="9" t="s">
        <v>42</v>
      </c>
      <c r="O59" s="9" t="s">
        <v>42</v>
      </c>
      <c r="P59" s="9" t="s">
        <v>42</v>
      </c>
      <c r="Q59" s="9" t="n">
        <v>1154</v>
      </c>
      <c r="R59" s="9" t="s">
        <v>47</v>
      </c>
      <c r="S59" s="9"/>
    </row>
    <row r="60" customFormat="false" ht="15" hidden="false" customHeight="true" outlineLevel="0" collapsed="false">
      <c r="A60" s="9" t="s">
        <v>149</v>
      </c>
      <c r="B60" s="9" t="n">
        <v>70359</v>
      </c>
      <c r="C60" s="9"/>
      <c r="D60" s="9"/>
      <c r="E60" s="9" t="s">
        <v>44</v>
      </c>
      <c r="F60" s="9" t="s">
        <v>39</v>
      </c>
      <c r="G60" s="9" t="s">
        <v>40</v>
      </c>
      <c r="H60" s="9"/>
      <c r="I60" s="9" t="s">
        <v>41</v>
      </c>
      <c r="J60" s="9" t="s">
        <v>47</v>
      </c>
      <c r="K60" s="9" t="n">
        <v>0</v>
      </c>
      <c r="L60" s="9" t="s">
        <v>42</v>
      </c>
      <c r="M60" s="9" t="s">
        <v>42</v>
      </c>
      <c r="N60" s="9" t="s">
        <v>42</v>
      </c>
      <c r="O60" s="9" t="s">
        <v>42</v>
      </c>
      <c r="P60" s="9" t="s">
        <v>42</v>
      </c>
      <c r="Q60" s="9" t="n">
        <v>165</v>
      </c>
      <c r="R60" s="9" t="s">
        <v>47</v>
      </c>
      <c r="S60" s="9"/>
    </row>
    <row r="61" customFormat="false" ht="15" hidden="false" customHeight="true" outlineLevel="0" collapsed="false">
      <c r="A61" s="9" t="s">
        <v>150</v>
      </c>
      <c r="B61" s="9" t="n">
        <v>90265</v>
      </c>
      <c r="C61" s="9"/>
      <c r="D61" s="9"/>
      <c r="E61" s="9" t="s">
        <v>38</v>
      </c>
      <c r="F61" s="9" t="s">
        <v>39</v>
      </c>
      <c r="G61" s="9" t="s">
        <v>40</v>
      </c>
      <c r="H61" s="9"/>
      <c r="I61" s="9" t="s">
        <v>41</v>
      </c>
      <c r="J61" s="9" t="s">
        <v>40</v>
      </c>
      <c r="K61" s="9" t="n">
        <v>1</v>
      </c>
      <c r="L61" s="9" t="s">
        <v>42</v>
      </c>
      <c r="M61" s="9" t="s">
        <v>42</v>
      </c>
      <c r="N61" s="9" t="s">
        <v>125</v>
      </c>
      <c r="O61" s="9" t="s">
        <v>42</v>
      </c>
      <c r="P61" s="9" t="s">
        <v>42</v>
      </c>
      <c r="Q61" s="9" t="n">
        <v>20</v>
      </c>
      <c r="R61" s="9" t="s">
        <v>47</v>
      </c>
      <c r="S61" s="9"/>
    </row>
    <row r="62" customFormat="false" ht="15" hidden="false" customHeight="true" outlineLevel="0" collapsed="false">
      <c r="A62" s="9" t="s">
        <v>151</v>
      </c>
      <c r="B62" s="9" t="n">
        <v>7418</v>
      </c>
      <c r="C62" s="9"/>
      <c r="D62" s="9" t="s">
        <v>62</v>
      </c>
      <c r="E62" s="9" t="s">
        <v>38</v>
      </c>
      <c r="F62" s="9" t="s">
        <v>45</v>
      </c>
      <c r="G62" s="9" t="s">
        <v>40</v>
      </c>
      <c r="H62" s="9"/>
      <c r="I62" s="9" t="s">
        <v>41</v>
      </c>
      <c r="J62" s="9" t="s">
        <v>47</v>
      </c>
      <c r="K62" s="9" t="n">
        <v>0</v>
      </c>
      <c r="L62" s="9" t="s">
        <v>42</v>
      </c>
      <c r="M62" s="9" t="s">
        <v>42</v>
      </c>
      <c r="N62" s="9" t="s">
        <v>42</v>
      </c>
      <c r="O62" s="9" t="s">
        <v>42</v>
      </c>
      <c r="P62" s="9" t="s">
        <v>42</v>
      </c>
      <c r="Q62" s="9" t="n">
        <v>200</v>
      </c>
      <c r="R62" s="9" t="s">
        <v>47</v>
      </c>
      <c r="S62" s="9"/>
    </row>
    <row r="63" customFormat="false" ht="15" hidden="false" customHeight="true" outlineLevel="0" collapsed="false">
      <c r="A63" s="9" t="s">
        <v>152</v>
      </c>
      <c r="B63" s="9" t="n">
        <v>18917</v>
      </c>
      <c r="C63" s="9"/>
      <c r="D63" s="9"/>
      <c r="E63" s="9" t="s">
        <v>38</v>
      </c>
      <c r="F63" s="9" t="s">
        <v>39</v>
      </c>
      <c r="G63" s="9" t="s">
        <v>40</v>
      </c>
      <c r="H63" s="9"/>
      <c r="I63" s="9" t="s">
        <v>41</v>
      </c>
      <c r="J63" s="9" t="s">
        <v>40</v>
      </c>
      <c r="K63" s="9" t="n">
        <v>4</v>
      </c>
      <c r="L63" s="9" t="s">
        <v>42</v>
      </c>
      <c r="M63" s="9" t="s">
        <v>42</v>
      </c>
      <c r="N63" s="9" t="s">
        <v>42</v>
      </c>
      <c r="O63" s="9" t="s">
        <v>42</v>
      </c>
      <c r="P63" s="9" t="s">
        <v>42</v>
      </c>
      <c r="Q63" s="9" t="n">
        <v>600</v>
      </c>
      <c r="R63" s="9" t="s">
        <v>47</v>
      </c>
      <c r="S63" s="9"/>
    </row>
    <row r="64" customFormat="false" ht="15" hidden="false" customHeight="true" outlineLevel="0" collapsed="false">
      <c r="A64" s="9" t="s">
        <v>153</v>
      </c>
      <c r="B64" s="9" t="n">
        <v>36601</v>
      </c>
      <c r="C64" s="9"/>
      <c r="D64" s="9"/>
      <c r="E64" s="9" t="s">
        <v>50</v>
      </c>
      <c r="F64" s="9" t="s">
        <v>54</v>
      </c>
      <c r="G64" s="9" t="s">
        <v>47</v>
      </c>
      <c r="H64" s="9" t="s">
        <v>110</v>
      </c>
      <c r="I64" s="9" t="s">
        <v>41</v>
      </c>
      <c r="J64" s="9" t="s">
        <v>47</v>
      </c>
      <c r="K64" s="9" t="n">
        <v>1</v>
      </c>
      <c r="L64" s="9" t="s">
        <v>42</v>
      </c>
      <c r="M64" s="9" t="s">
        <v>42</v>
      </c>
      <c r="N64" s="9" t="s">
        <v>89</v>
      </c>
      <c r="O64" s="9" t="s">
        <v>42</v>
      </c>
      <c r="P64" s="9" t="s">
        <v>42</v>
      </c>
      <c r="Q64" s="9" t="n">
        <v>50</v>
      </c>
      <c r="R64" s="9" t="s">
        <v>47</v>
      </c>
      <c r="S64" s="9"/>
    </row>
    <row r="65" customFormat="false" ht="15" hidden="false" customHeight="true" outlineLevel="0" collapsed="false">
      <c r="A65" s="9" t="s">
        <v>154</v>
      </c>
      <c r="B65" s="9" t="n">
        <v>7777</v>
      </c>
      <c r="C65" s="9"/>
      <c r="D65" s="9" t="s">
        <v>83</v>
      </c>
      <c r="E65" s="9" t="s">
        <v>38</v>
      </c>
      <c r="F65" s="9" t="s">
        <v>39</v>
      </c>
      <c r="G65" s="9" t="s">
        <v>47</v>
      </c>
      <c r="H65" s="9"/>
      <c r="I65" s="9" t="s">
        <v>41</v>
      </c>
      <c r="J65" s="9" t="s">
        <v>40</v>
      </c>
      <c r="K65" s="9" t="n">
        <v>0</v>
      </c>
      <c r="L65" s="9" t="s">
        <v>42</v>
      </c>
      <c r="M65" s="9" t="s">
        <v>42</v>
      </c>
      <c r="N65" s="9" t="s">
        <v>42</v>
      </c>
      <c r="O65" s="9" t="s">
        <v>42</v>
      </c>
      <c r="P65" s="9" t="s">
        <v>42</v>
      </c>
      <c r="Q65" s="9" t="n">
        <v>1</v>
      </c>
      <c r="R65" s="9" t="s">
        <v>47</v>
      </c>
      <c r="S65" s="9"/>
    </row>
    <row r="66" customFormat="false" ht="15" hidden="false" customHeight="true" outlineLevel="0" collapsed="false">
      <c r="A66" s="9" t="s">
        <v>155</v>
      </c>
      <c r="B66" s="9" t="n">
        <v>90265</v>
      </c>
      <c r="C66" s="9"/>
      <c r="D66" s="9" t="s">
        <v>62</v>
      </c>
      <c r="E66" s="9" t="s">
        <v>38</v>
      </c>
      <c r="F66" s="9" t="s">
        <v>39</v>
      </c>
      <c r="G66" s="9" t="s">
        <v>47</v>
      </c>
      <c r="H66" s="9"/>
      <c r="I66" s="9" t="s">
        <v>41</v>
      </c>
      <c r="J66" s="9" t="s">
        <v>40</v>
      </c>
      <c r="K66" s="9" t="n">
        <v>2</v>
      </c>
      <c r="L66" s="9" t="s">
        <v>42</v>
      </c>
      <c r="M66" s="9" t="s">
        <v>42</v>
      </c>
      <c r="N66" s="9" t="s">
        <v>42</v>
      </c>
      <c r="O66" s="9" t="s">
        <v>42</v>
      </c>
      <c r="P66" s="9" t="s">
        <v>42</v>
      </c>
      <c r="Q66" s="9" t="n">
        <v>0</v>
      </c>
      <c r="R66" s="9" t="s">
        <v>40</v>
      </c>
      <c r="S66" s="9"/>
    </row>
    <row r="67" customFormat="false" ht="15" hidden="false" customHeight="true" outlineLevel="0" collapsed="false">
      <c r="A67" s="9" t="s">
        <v>156</v>
      </c>
      <c r="B67" s="9" t="n">
        <v>2826</v>
      </c>
      <c r="C67" s="9"/>
      <c r="D67" s="9" t="s">
        <v>62</v>
      </c>
      <c r="E67" s="9" t="s">
        <v>44</v>
      </c>
      <c r="F67" s="9" t="s">
        <v>39</v>
      </c>
      <c r="G67" s="9" t="s">
        <v>40</v>
      </c>
      <c r="H67" s="9"/>
      <c r="I67" s="9" t="s">
        <v>41</v>
      </c>
      <c r="J67" s="9" t="s">
        <v>40</v>
      </c>
      <c r="K67" s="9" t="n">
        <v>0</v>
      </c>
      <c r="L67" s="9" t="s">
        <v>42</v>
      </c>
      <c r="M67" s="9" t="s">
        <v>42</v>
      </c>
      <c r="N67" s="9" t="s">
        <v>42</v>
      </c>
      <c r="O67" s="9" t="s">
        <v>42</v>
      </c>
      <c r="P67" s="9" t="s">
        <v>42</v>
      </c>
      <c r="Q67" s="9" t="n">
        <v>1</v>
      </c>
      <c r="R67" s="9" t="s">
        <v>47</v>
      </c>
      <c r="S67" s="9"/>
    </row>
    <row r="68" customFormat="false" ht="15" hidden="false" customHeight="true" outlineLevel="0" collapsed="false">
      <c r="A68" s="9" t="s">
        <v>157</v>
      </c>
      <c r="B68" s="9" t="n">
        <v>80861</v>
      </c>
      <c r="C68" s="9"/>
      <c r="D68" s="9"/>
      <c r="E68" s="9" t="s">
        <v>38</v>
      </c>
      <c r="F68" s="9" t="s">
        <v>158</v>
      </c>
      <c r="G68" s="9" t="s">
        <v>47</v>
      </c>
      <c r="H68" s="9" t="s">
        <v>159</v>
      </c>
      <c r="I68" s="9" t="s">
        <v>41</v>
      </c>
      <c r="J68" s="9" t="s">
        <v>40</v>
      </c>
      <c r="K68" s="9" t="n">
        <v>1</v>
      </c>
      <c r="L68" s="9" t="s">
        <v>42</v>
      </c>
      <c r="M68" s="9" t="s">
        <v>42</v>
      </c>
      <c r="N68" s="9" t="s">
        <v>42</v>
      </c>
      <c r="O68" s="9" t="s">
        <v>42</v>
      </c>
      <c r="P68" s="9" t="s">
        <v>42</v>
      </c>
      <c r="Q68" s="9" t="n">
        <v>25</v>
      </c>
      <c r="R68" s="9" t="s">
        <v>47</v>
      </c>
      <c r="S68" s="9"/>
    </row>
    <row r="69" customFormat="false" ht="15" hidden="false" customHeight="true" outlineLevel="0" collapsed="false">
      <c r="A69" s="9" t="s">
        <v>160</v>
      </c>
      <c r="B69" s="9" t="n">
        <v>28533</v>
      </c>
      <c r="C69" s="9" t="n">
        <v>62</v>
      </c>
      <c r="D69" s="9"/>
      <c r="E69" s="9" t="s">
        <v>38</v>
      </c>
      <c r="F69" s="9" t="s">
        <v>39</v>
      </c>
      <c r="G69" s="9" t="s">
        <v>40</v>
      </c>
      <c r="H69" s="9"/>
      <c r="I69" s="9" t="s">
        <v>41</v>
      </c>
      <c r="J69" s="9" t="s">
        <v>40</v>
      </c>
      <c r="K69" s="9" t="n">
        <v>0</v>
      </c>
      <c r="L69" s="9" t="s">
        <v>42</v>
      </c>
      <c r="M69" s="9" t="s">
        <v>42</v>
      </c>
      <c r="N69" s="9" t="s">
        <v>42</v>
      </c>
      <c r="O69" s="9" t="s">
        <v>42</v>
      </c>
      <c r="P69" s="9" t="s">
        <v>42</v>
      </c>
      <c r="Q69" s="9" t="n">
        <v>400</v>
      </c>
      <c r="R69" s="9" t="s">
        <v>47</v>
      </c>
      <c r="S69" s="9" t="s">
        <v>161</v>
      </c>
    </row>
    <row r="70" customFormat="false" ht="15" hidden="false" customHeight="true" outlineLevel="0" collapsed="false">
      <c r="A70" s="9" t="s">
        <v>162</v>
      </c>
      <c r="B70" s="9" t="n">
        <v>8561</v>
      </c>
      <c r="C70" s="9"/>
      <c r="D70" s="9" t="s">
        <v>62</v>
      </c>
      <c r="E70" s="9" t="s">
        <v>38</v>
      </c>
      <c r="F70" s="9" t="s">
        <v>45</v>
      </c>
      <c r="G70" s="9" t="s">
        <v>40</v>
      </c>
      <c r="H70" s="9"/>
      <c r="I70" s="9" t="s">
        <v>41</v>
      </c>
      <c r="J70" s="9" t="s">
        <v>40</v>
      </c>
      <c r="K70" s="9" t="n">
        <v>0</v>
      </c>
      <c r="L70" s="9" t="s">
        <v>42</v>
      </c>
      <c r="M70" s="9" t="s">
        <v>42</v>
      </c>
      <c r="N70" s="9" t="s">
        <v>42</v>
      </c>
      <c r="O70" s="9" t="s">
        <v>42</v>
      </c>
      <c r="P70" s="9" t="s">
        <v>42</v>
      </c>
      <c r="Q70" s="9" t="n">
        <v>0</v>
      </c>
      <c r="R70" s="9" t="s">
        <v>40</v>
      </c>
      <c r="S70" s="9"/>
    </row>
    <row r="71" customFormat="false" ht="15" hidden="false" customHeight="true" outlineLevel="0" collapsed="false">
      <c r="A71" s="9" t="s">
        <v>163</v>
      </c>
      <c r="B71" s="9" t="n">
        <v>50013</v>
      </c>
      <c r="C71" s="9"/>
      <c r="D71" s="9"/>
      <c r="E71" s="9" t="s">
        <v>38</v>
      </c>
      <c r="F71" s="9" t="s">
        <v>39</v>
      </c>
      <c r="G71" s="9" t="s">
        <v>40</v>
      </c>
      <c r="H71" s="9"/>
      <c r="I71" s="9" t="s">
        <v>41</v>
      </c>
      <c r="J71" s="9" t="s">
        <v>40</v>
      </c>
      <c r="K71" s="9" t="n">
        <v>1</v>
      </c>
      <c r="L71" s="9" t="s">
        <v>42</v>
      </c>
      <c r="M71" s="9" t="s">
        <v>42</v>
      </c>
      <c r="N71" s="9" t="s">
        <v>42</v>
      </c>
      <c r="O71" s="9" t="s">
        <v>42</v>
      </c>
      <c r="P71" s="9" t="s">
        <v>42</v>
      </c>
      <c r="Q71" s="9" t="n">
        <v>0</v>
      </c>
      <c r="R71" s="9" t="s">
        <v>40</v>
      </c>
      <c r="S71" s="9"/>
    </row>
    <row r="72" customFormat="false" ht="15" hidden="false" customHeight="true" outlineLevel="0" collapsed="false">
      <c r="A72" s="9" t="s">
        <v>164</v>
      </c>
      <c r="B72" s="9" t="n">
        <v>29162</v>
      </c>
      <c r="C72" s="9" t="n">
        <v>71</v>
      </c>
      <c r="D72" s="9" t="s">
        <v>62</v>
      </c>
      <c r="E72" s="9" t="s">
        <v>44</v>
      </c>
      <c r="F72" s="9" t="s">
        <v>54</v>
      </c>
      <c r="G72" s="9" t="s">
        <v>47</v>
      </c>
      <c r="H72" s="9"/>
      <c r="I72" s="9" t="s">
        <v>41</v>
      </c>
      <c r="J72" s="9" t="s">
        <v>47</v>
      </c>
      <c r="K72" s="9" t="n">
        <v>2</v>
      </c>
      <c r="L72" s="9" t="s">
        <v>42</v>
      </c>
      <c r="M72" s="9" t="s">
        <v>42</v>
      </c>
      <c r="N72" s="9" t="s">
        <v>42</v>
      </c>
      <c r="O72" s="9" t="s">
        <v>42</v>
      </c>
      <c r="P72" s="9" t="s">
        <v>42</v>
      </c>
      <c r="Q72" s="9" t="n">
        <v>0</v>
      </c>
      <c r="R72" s="9" t="s">
        <v>40</v>
      </c>
      <c r="S72" s="9" t="s">
        <v>165</v>
      </c>
    </row>
    <row r="73" customFormat="false" ht="15" hidden="false" customHeight="true" outlineLevel="0" collapsed="false">
      <c r="A73" s="9" t="s">
        <v>166</v>
      </c>
      <c r="B73" s="9" t="n">
        <v>60173</v>
      </c>
      <c r="C73" s="9"/>
      <c r="D73" s="9" t="s">
        <v>62</v>
      </c>
      <c r="E73" s="9" t="s">
        <v>44</v>
      </c>
      <c r="F73" s="9" t="s">
        <v>39</v>
      </c>
      <c r="G73" s="9" t="s">
        <v>40</v>
      </c>
      <c r="H73" s="9"/>
      <c r="I73" s="9" t="s">
        <v>41</v>
      </c>
      <c r="J73" s="9" t="s">
        <v>40</v>
      </c>
      <c r="K73" s="9" t="n">
        <v>0</v>
      </c>
      <c r="L73" s="9" t="s">
        <v>42</v>
      </c>
      <c r="M73" s="9" t="s">
        <v>42</v>
      </c>
      <c r="N73" s="9" t="s">
        <v>42</v>
      </c>
      <c r="O73" s="9" t="s">
        <v>42</v>
      </c>
      <c r="P73" s="9" t="s">
        <v>42</v>
      </c>
      <c r="Q73" s="9" t="n">
        <v>0</v>
      </c>
      <c r="R73" s="9" t="s">
        <v>40</v>
      </c>
      <c r="S73" s="9"/>
    </row>
    <row r="74" customFormat="false" ht="15" hidden="false" customHeight="true" outlineLevel="0" collapsed="false">
      <c r="A74" s="9" t="s">
        <v>167</v>
      </c>
      <c r="B74" s="9" t="n">
        <v>90078</v>
      </c>
      <c r="C74" s="9"/>
      <c r="D74" s="9" t="s">
        <v>62</v>
      </c>
      <c r="E74" s="9" t="s">
        <v>44</v>
      </c>
      <c r="F74" s="9" t="s">
        <v>39</v>
      </c>
      <c r="G74" s="9" t="s">
        <v>47</v>
      </c>
      <c r="H74" s="9"/>
      <c r="I74" s="9" t="s">
        <v>41</v>
      </c>
      <c r="J74" s="9" t="s">
        <v>40</v>
      </c>
      <c r="K74" s="9" t="n">
        <v>3</v>
      </c>
      <c r="L74" s="9" t="s">
        <v>42</v>
      </c>
      <c r="M74" s="9" t="s">
        <v>42</v>
      </c>
      <c r="N74" s="9" t="s">
        <v>42</v>
      </c>
      <c r="O74" s="9" t="s">
        <v>42</v>
      </c>
      <c r="P74" s="9" t="s">
        <v>63</v>
      </c>
      <c r="Q74" s="9" t="n">
        <v>100</v>
      </c>
      <c r="R74" s="9" t="s">
        <v>47</v>
      </c>
      <c r="S74" s="9"/>
    </row>
    <row r="75" customFormat="false" ht="15" hidden="false" customHeight="true" outlineLevel="0" collapsed="false">
      <c r="A75" s="9" t="s">
        <v>168</v>
      </c>
      <c r="B75" s="9" t="n">
        <v>60448</v>
      </c>
      <c r="C75" s="9"/>
      <c r="D75" s="9"/>
      <c r="E75" s="9" t="s">
        <v>44</v>
      </c>
      <c r="F75" s="9" t="s">
        <v>54</v>
      </c>
      <c r="G75" s="9" t="s">
        <v>40</v>
      </c>
      <c r="H75" s="9"/>
      <c r="I75" s="9" t="s">
        <v>41</v>
      </c>
      <c r="J75" s="9" t="s">
        <v>40</v>
      </c>
      <c r="K75" s="9" t="n">
        <v>0</v>
      </c>
      <c r="L75" s="9" t="s">
        <v>42</v>
      </c>
      <c r="M75" s="9" t="s">
        <v>42</v>
      </c>
      <c r="N75" s="9" t="s">
        <v>42</v>
      </c>
      <c r="O75" s="9" t="s">
        <v>42</v>
      </c>
      <c r="P75" s="9" t="s">
        <v>42</v>
      </c>
      <c r="Q75" s="9" t="n">
        <v>0</v>
      </c>
      <c r="R75" s="9" t="s">
        <v>40</v>
      </c>
      <c r="S75" s="9"/>
    </row>
    <row r="76" customFormat="false" ht="15" hidden="false" customHeight="true" outlineLevel="0" collapsed="false">
      <c r="A76" s="9" t="s">
        <v>169</v>
      </c>
      <c r="B76" s="9" t="n">
        <v>90265</v>
      </c>
      <c r="C76" s="9"/>
      <c r="D76" s="9"/>
      <c r="E76" s="9" t="s">
        <v>38</v>
      </c>
      <c r="F76" s="9" t="s">
        <v>54</v>
      </c>
      <c r="G76" s="9" t="s">
        <v>40</v>
      </c>
      <c r="H76" s="9"/>
      <c r="I76" s="9"/>
      <c r="J76" s="9" t="s">
        <v>40</v>
      </c>
      <c r="K76" s="9" t="n">
        <v>1</v>
      </c>
      <c r="L76" s="9" t="s">
        <v>42</v>
      </c>
      <c r="M76" s="9" t="s">
        <v>42</v>
      </c>
      <c r="N76" s="9" t="s">
        <v>42</v>
      </c>
      <c r="O76" s="9" t="s">
        <v>42</v>
      </c>
      <c r="P76" s="9" t="s">
        <v>42</v>
      </c>
      <c r="Q76" s="9" t="n">
        <v>0</v>
      </c>
      <c r="R76" s="9" t="s">
        <v>40</v>
      </c>
      <c r="S76" s="9"/>
    </row>
    <row r="77" customFormat="false" ht="15" hidden="false" customHeight="true" outlineLevel="0" collapsed="false">
      <c r="A77" s="9" t="s">
        <v>170</v>
      </c>
      <c r="B77" s="9" t="n">
        <v>46403</v>
      </c>
      <c r="C77" s="9"/>
      <c r="D77" s="9" t="s">
        <v>62</v>
      </c>
      <c r="E77" s="9" t="s">
        <v>38</v>
      </c>
      <c r="F77" s="9" t="s">
        <v>45</v>
      </c>
      <c r="G77" s="9" t="s">
        <v>40</v>
      </c>
      <c r="H77" s="9" t="s">
        <v>159</v>
      </c>
      <c r="I77" s="9" t="s">
        <v>41</v>
      </c>
      <c r="J77" s="9" t="s">
        <v>47</v>
      </c>
      <c r="K77" s="9" t="n">
        <v>0</v>
      </c>
      <c r="L77" s="9" t="s">
        <v>42</v>
      </c>
      <c r="M77" s="9" t="s">
        <v>171</v>
      </c>
      <c r="N77" s="9" t="s">
        <v>42</v>
      </c>
      <c r="O77" s="9" t="s">
        <v>42</v>
      </c>
      <c r="P77" s="9" t="s">
        <v>42</v>
      </c>
      <c r="Q77" s="9" t="n">
        <v>60</v>
      </c>
      <c r="R77" s="9" t="s">
        <v>47</v>
      </c>
      <c r="S77" s="9"/>
    </row>
    <row r="78" customFormat="false" ht="15" hidden="false" customHeight="true" outlineLevel="0" collapsed="false">
      <c r="A78" s="9" t="s">
        <v>172</v>
      </c>
      <c r="B78" s="9" t="n">
        <v>75686</v>
      </c>
      <c r="C78" s="9"/>
      <c r="D78" s="9"/>
      <c r="E78" s="9" t="s">
        <v>38</v>
      </c>
      <c r="F78" s="9" t="s">
        <v>39</v>
      </c>
      <c r="G78" s="9" t="s">
        <v>40</v>
      </c>
      <c r="H78" s="9"/>
      <c r="I78" s="9" t="s">
        <v>41</v>
      </c>
      <c r="J78" s="9" t="s">
        <v>40</v>
      </c>
      <c r="K78" s="9" t="n">
        <v>5</v>
      </c>
      <c r="L78" s="9" t="s">
        <v>42</v>
      </c>
      <c r="M78" s="9" t="s">
        <v>42</v>
      </c>
      <c r="N78" s="9" t="s">
        <v>42</v>
      </c>
      <c r="O78" s="9" t="s">
        <v>42</v>
      </c>
      <c r="P78" s="9" t="s">
        <v>42</v>
      </c>
      <c r="Q78" s="9" t="n">
        <v>1110</v>
      </c>
      <c r="R78" s="9" t="s">
        <v>47</v>
      </c>
      <c r="S78" s="9"/>
    </row>
    <row r="79" customFormat="false" ht="15" hidden="false" customHeight="true" outlineLevel="0" collapsed="false">
      <c r="A79" s="9" t="s">
        <v>173</v>
      </c>
      <c r="B79" s="9" t="n">
        <v>95666</v>
      </c>
      <c r="C79" s="9" t="n">
        <v>70</v>
      </c>
      <c r="D79" s="9"/>
      <c r="E79" s="9" t="s">
        <v>38</v>
      </c>
      <c r="F79" s="9" t="s">
        <v>54</v>
      </c>
      <c r="G79" s="9" t="s">
        <v>47</v>
      </c>
      <c r="H79" s="9"/>
      <c r="I79" s="9" t="s">
        <v>41</v>
      </c>
      <c r="J79" s="9" t="s">
        <v>40</v>
      </c>
      <c r="K79" s="9" t="n">
        <v>5</v>
      </c>
      <c r="L79" s="9" t="s">
        <v>42</v>
      </c>
      <c r="M79" s="9" t="s">
        <v>42</v>
      </c>
      <c r="N79" s="9" t="s">
        <v>42</v>
      </c>
      <c r="O79" s="9" t="s">
        <v>42</v>
      </c>
      <c r="P79" s="9" t="s">
        <v>42</v>
      </c>
      <c r="Q79" s="9" t="n">
        <v>0</v>
      </c>
      <c r="R79" s="9" t="s">
        <v>40</v>
      </c>
      <c r="S79" s="9" t="s">
        <v>174</v>
      </c>
    </row>
    <row r="80" customFormat="false" ht="15" hidden="false" customHeight="true" outlineLevel="0" collapsed="false">
      <c r="A80" s="9" t="s">
        <v>175</v>
      </c>
      <c r="B80" s="9" t="n">
        <v>27528</v>
      </c>
      <c r="C80" s="9"/>
      <c r="D80" s="9"/>
      <c r="E80" s="9" t="s">
        <v>38</v>
      </c>
      <c r="F80" s="9" t="s">
        <v>39</v>
      </c>
      <c r="G80" s="9" t="s">
        <v>40</v>
      </c>
      <c r="H80" s="9" t="s">
        <v>110</v>
      </c>
      <c r="I80" s="9" t="s">
        <v>66</v>
      </c>
      <c r="J80" s="9" t="s">
        <v>40</v>
      </c>
      <c r="K80" s="9" t="n">
        <v>2</v>
      </c>
      <c r="L80" s="9" t="s">
        <v>42</v>
      </c>
      <c r="M80" s="9" t="s">
        <v>42</v>
      </c>
      <c r="N80" s="9" t="s">
        <v>42</v>
      </c>
      <c r="O80" s="9" t="s">
        <v>42</v>
      </c>
      <c r="P80" s="9" t="s">
        <v>42</v>
      </c>
      <c r="Q80" s="9" t="n">
        <v>0</v>
      </c>
      <c r="R80" s="9" t="s">
        <v>40</v>
      </c>
      <c r="S80" s="9"/>
    </row>
    <row r="81" customFormat="false" ht="15" hidden="false" customHeight="true" outlineLevel="0" collapsed="false">
      <c r="A81" s="9" t="s">
        <v>176</v>
      </c>
      <c r="B81" s="9" t="n">
        <v>90265</v>
      </c>
      <c r="C81" s="9"/>
      <c r="D81" s="9" t="s">
        <v>62</v>
      </c>
      <c r="E81" s="9" t="s">
        <v>38</v>
      </c>
      <c r="F81" s="9" t="s">
        <v>39</v>
      </c>
      <c r="G81" s="9" t="s">
        <v>40</v>
      </c>
      <c r="H81" s="9" t="s">
        <v>177</v>
      </c>
      <c r="I81" s="9" t="s">
        <v>66</v>
      </c>
      <c r="J81" s="9" t="s">
        <v>40</v>
      </c>
      <c r="K81" s="9" t="n">
        <v>2</v>
      </c>
      <c r="L81" s="9" t="s">
        <v>42</v>
      </c>
      <c r="M81" s="9" t="s">
        <v>42</v>
      </c>
      <c r="N81" s="9" t="s">
        <v>178</v>
      </c>
      <c r="O81" s="9" t="s">
        <v>42</v>
      </c>
      <c r="P81" s="9" t="s">
        <v>42</v>
      </c>
      <c r="Q81" s="9" t="n">
        <v>11</v>
      </c>
      <c r="R81" s="9" t="s">
        <v>47</v>
      </c>
      <c r="S81" s="9"/>
    </row>
    <row r="82" customFormat="false" ht="15" hidden="false" customHeight="true" outlineLevel="0" collapsed="false">
      <c r="A82" s="9" t="s">
        <v>179</v>
      </c>
      <c r="B82" s="9" t="n">
        <v>24457</v>
      </c>
      <c r="C82" s="9"/>
      <c r="D82" s="9" t="s">
        <v>62</v>
      </c>
      <c r="E82" s="9"/>
      <c r="F82" s="9" t="s">
        <v>45</v>
      </c>
      <c r="G82" s="9" t="s">
        <v>40</v>
      </c>
      <c r="H82" s="9"/>
      <c r="I82" s="9" t="s">
        <v>41</v>
      </c>
      <c r="J82" s="9" t="s">
        <v>47</v>
      </c>
      <c r="K82" s="9" t="n">
        <v>0</v>
      </c>
      <c r="L82" s="9" t="s">
        <v>42</v>
      </c>
      <c r="M82" s="9" t="s">
        <v>42</v>
      </c>
      <c r="N82" s="9" t="s">
        <v>42</v>
      </c>
      <c r="O82" s="9" t="s">
        <v>57</v>
      </c>
      <c r="P82" s="9" t="s">
        <v>42</v>
      </c>
      <c r="Q82" s="9" t="n">
        <v>18</v>
      </c>
      <c r="R82" s="9" t="s">
        <v>47</v>
      </c>
      <c r="S82" s="9"/>
    </row>
    <row r="83" customFormat="false" ht="15" hidden="false" customHeight="true" outlineLevel="0" collapsed="false">
      <c r="A83" s="9" t="s">
        <v>180</v>
      </c>
      <c r="B83" s="9" t="n">
        <v>90265</v>
      </c>
      <c r="C83" s="9" t="n">
        <v>26</v>
      </c>
      <c r="D83" s="9"/>
      <c r="E83" s="9" t="s">
        <v>38</v>
      </c>
      <c r="F83" s="9" t="s">
        <v>54</v>
      </c>
      <c r="G83" s="9" t="s">
        <v>47</v>
      </c>
      <c r="H83" s="9"/>
      <c r="I83" s="9" t="s">
        <v>41</v>
      </c>
      <c r="J83" s="9" t="s">
        <v>47</v>
      </c>
      <c r="K83" s="9" t="n">
        <v>1</v>
      </c>
      <c r="L83" s="9" t="s">
        <v>42</v>
      </c>
      <c r="M83" s="9" t="s">
        <v>42</v>
      </c>
      <c r="N83" s="9" t="s">
        <v>42</v>
      </c>
      <c r="O83" s="9" t="s">
        <v>42</v>
      </c>
      <c r="P83" s="9" t="s">
        <v>42</v>
      </c>
      <c r="Q83" s="9" t="n">
        <v>0</v>
      </c>
      <c r="R83" s="9" t="s">
        <v>40</v>
      </c>
      <c r="S83" s="9" t="s">
        <v>181</v>
      </c>
    </row>
    <row r="84" customFormat="false" ht="15" hidden="false" customHeight="true" outlineLevel="0" collapsed="false">
      <c r="A84" s="9" t="s">
        <v>182</v>
      </c>
      <c r="B84" s="9" t="n">
        <v>43027</v>
      </c>
      <c r="C84" s="9"/>
      <c r="D84" s="9"/>
      <c r="E84" s="9" t="s">
        <v>44</v>
      </c>
      <c r="F84" s="9" t="s">
        <v>39</v>
      </c>
      <c r="G84" s="9" t="s">
        <v>40</v>
      </c>
      <c r="H84" s="9"/>
      <c r="I84" s="9" t="s">
        <v>41</v>
      </c>
      <c r="J84" s="9" t="s">
        <v>40</v>
      </c>
      <c r="K84" s="9" t="n">
        <v>1</v>
      </c>
      <c r="L84" s="9" t="s">
        <v>42</v>
      </c>
      <c r="M84" s="9" t="s">
        <v>42</v>
      </c>
      <c r="N84" s="9" t="s">
        <v>42</v>
      </c>
      <c r="O84" s="9" t="s">
        <v>42</v>
      </c>
      <c r="P84" s="9" t="s">
        <v>42</v>
      </c>
      <c r="Q84" s="9" t="n">
        <v>354</v>
      </c>
      <c r="R84" s="9" t="s">
        <v>47</v>
      </c>
      <c r="S84" s="9"/>
    </row>
    <row r="85" customFormat="false" ht="15" hidden="false" customHeight="true" outlineLevel="0" collapsed="false">
      <c r="A85" s="9" t="s">
        <v>183</v>
      </c>
      <c r="B85" s="9" t="n">
        <v>60612</v>
      </c>
      <c r="C85" s="9"/>
      <c r="D85" s="9"/>
      <c r="E85" s="9" t="s">
        <v>44</v>
      </c>
      <c r="F85" s="9" t="s">
        <v>39</v>
      </c>
      <c r="G85" s="9" t="s">
        <v>40</v>
      </c>
      <c r="H85" s="9"/>
      <c r="I85" s="9" t="s">
        <v>41</v>
      </c>
      <c r="J85" s="9" t="s">
        <v>40</v>
      </c>
      <c r="K85" s="9" t="n">
        <v>0</v>
      </c>
      <c r="L85" s="9" t="s">
        <v>42</v>
      </c>
      <c r="M85" s="9" t="s">
        <v>42</v>
      </c>
      <c r="N85" s="9" t="s">
        <v>42</v>
      </c>
      <c r="O85" s="9" t="s">
        <v>42</v>
      </c>
      <c r="P85" s="9" t="s">
        <v>42</v>
      </c>
      <c r="Q85" s="9" t="n">
        <v>21</v>
      </c>
      <c r="R85" s="9" t="s">
        <v>47</v>
      </c>
      <c r="S85" s="9"/>
    </row>
    <row r="86" customFormat="false" ht="15" hidden="false" customHeight="true" outlineLevel="0" collapsed="false">
      <c r="A86" s="9" t="s">
        <v>184</v>
      </c>
      <c r="B86" s="9" t="n">
        <v>92591</v>
      </c>
      <c r="C86" s="9"/>
      <c r="D86" s="9"/>
      <c r="E86" s="9" t="s">
        <v>44</v>
      </c>
      <c r="F86" s="9" t="s">
        <v>39</v>
      </c>
      <c r="G86" s="9" t="s">
        <v>40</v>
      </c>
      <c r="H86" s="9" t="s">
        <v>177</v>
      </c>
      <c r="I86" s="9" t="s">
        <v>41</v>
      </c>
      <c r="J86" s="9" t="s">
        <v>40</v>
      </c>
      <c r="K86" s="9" t="n">
        <v>3</v>
      </c>
      <c r="L86" s="9" t="s">
        <v>185</v>
      </c>
      <c r="M86" s="9" t="s">
        <v>89</v>
      </c>
      <c r="N86" s="9" t="s">
        <v>42</v>
      </c>
      <c r="O86" s="9" t="s">
        <v>42</v>
      </c>
      <c r="P86" s="9" t="s">
        <v>42</v>
      </c>
      <c r="Q86" s="9" t="n">
        <v>158</v>
      </c>
      <c r="R86" s="9" t="s">
        <v>47</v>
      </c>
      <c r="S86" s="9"/>
    </row>
    <row r="87" customFormat="false" ht="15" hidden="false" customHeight="true" outlineLevel="0" collapsed="false">
      <c r="A87" s="9" t="s">
        <v>186</v>
      </c>
      <c r="B87" s="9" t="n">
        <v>26560</v>
      </c>
      <c r="C87" s="9"/>
      <c r="D87" s="9"/>
      <c r="E87" s="9" t="s">
        <v>44</v>
      </c>
      <c r="F87" s="9" t="s">
        <v>39</v>
      </c>
      <c r="G87" s="9" t="s">
        <v>40</v>
      </c>
      <c r="H87" s="9"/>
      <c r="I87" s="9" t="s">
        <v>41</v>
      </c>
      <c r="J87" s="9" t="s">
        <v>40</v>
      </c>
      <c r="K87" s="9" t="n">
        <v>1</v>
      </c>
      <c r="L87" s="9" t="s">
        <v>42</v>
      </c>
      <c r="M87" s="9" t="s">
        <v>42</v>
      </c>
      <c r="N87" s="9" t="s">
        <v>187</v>
      </c>
      <c r="O87" s="9" t="s">
        <v>42</v>
      </c>
      <c r="P87" s="9" t="s">
        <v>42</v>
      </c>
      <c r="Q87" s="9" t="n">
        <v>120</v>
      </c>
      <c r="R87" s="9" t="s">
        <v>47</v>
      </c>
      <c r="S87" s="9"/>
    </row>
    <row r="88" customFormat="false" ht="15" hidden="false" customHeight="true" outlineLevel="0" collapsed="false">
      <c r="A88" s="9" t="s">
        <v>188</v>
      </c>
      <c r="B88" s="9" t="n">
        <v>45274</v>
      </c>
      <c r="C88" s="9"/>
      <c r="D88" s="9" t="s">
        <v>83</v>
      </c>
      <c r="E88" s="9" t="s">
        <v>38</v>
      </c>
      <c r="F88" s="9" t="s">
        <v>39</v>
      </c>
      <c r="G88" s="9" t="s">
        <v>40</v>
      </c>
      <c r="H88" s="9"/>
      <c r="I88" s="9"/>
      <c r="J88" s="9" t="s">
        <v>40</v>
      </c>
      <c r="K88" s="9" t="n">
        <v>0</v>
      </c>
      <c r="L88" s="9" t="s">
        <v>42</v>
      </c>
      <c r="M88" s="9" t="s">
        <v>42</v>
      </c>
      <c r="N88" s="9" t="s">
        <v>42</v>
      </c>
      <c r="O88" s="9" t="s">
        <v>42</v>
      </c>
      <c r="P88" s="9" t="s">
        <v>42</v>
      </c>
      <c r="Q88" s="9" t="n">
        <v>0</v>
      </c>
      <c r="R88" s="9" t="s">
        <v>40</v>
      </c>
      <c r="S88" s="9"/>
    </row>
    <row r="89" customFormat="false" ht="15" hidden="false" customHeight="true" outlineLevel="0" collapsed="false">
      <c r="A89" s="9" t="s">
        <v>189</v>
      </c>
      <c r="B89" s="9" t="n">
        <v>90265</v>
      </c>
      <c r="C89" s="9" t="n">
        <v>48</v>
      </c>
      <c r="D89" s="9"/>
      <c r="E89" s="9" t="s">
        <v>38</v>
      </c>
      <c r="F89" s="9" t="s">
        <v>39</v>
      </c>
      <c r="G89" s="9" t="s">
        <v>40</v>
      </c>
      <c r="H89" s="9"/>
      <c r="I89" s="9" t="s">
        <v>41</v>
      </c>
      <c r="J89" s="9" t="s">
        <v>47</v>
      </c>
      <c r="K89" s="9" t="n">
        <v>0</v>
      </c>
      <c r="L89" s="9" t="s">
        <v>42</v>
      </c>
      <c r="M89" s="9" t="s">
        <v>42</v>
      </c>
      <c r="N89" s="9" t="s">
        <v>190</v>
      </c>
      <c r="O89" s="9" t="s">
        <v>131</v>
      </c>
      <c r="P89" s="9" t="s">
        <v>191</v>
      </c>
      <c r="Q89" s="9" t="n">
        <v>585400</v>
      </c>
      <c r="R89" s="9" t="s">
        <v>47</v>
      </c>
      <c r="S89" s="9" t="s">
        <v>192</v>
      </c>
    </row>
    <row r="90" customFormat="false" ht="15" hidden="false" customHeight="true" outlineLevel="0" collapsed="false">
      <c r="A90" s="9" t="s">
        <v>193</v>
      </c>
      <c r="B90" s="9" t="n">
        <v>67071</v>
      </c>
      <c r="C90" s="9"/>
      <c r="D90" s="9" t="s">
        <v>62</v>
      </c>
      <c r="E90" s="9" t="s">
        <v>38</v>
      </c>
      <c r="F90" s="9" t="s">
        <v>45</v>
      </c>
      <c r="G90" s="9" t="s">
        <v>40</v>
      </c>
      <c r="H90" s="9"/>
      <c r="I90" s="9" t="s">
        <v>41</v>
      </c>
      <c r="J90" s="9" t="s">
        <v>47</v>
      </c>
      <c r="K90" s="9" t="n">
        <v>1</v>
      </c>
      <c r="L90" s="9" t="s">
        <v>42</v>
      </c>
      <c r="M90" s="9" t="s">
        <v>42</v>
      </c>
      <c r="N90" s="9" t="s">
        <v>42</v>
      </c>
      <c r="O90" s="9" t="s">
        <v>42</v>
      </c>
      <c r="P90" s="9" t="s">
        <v>42</v>
      </c>
      <c r="Q90" s="9" t="n">
        <v>500</v>
      </c>
      <c r="R90" s="9" t="s">
        <v>47</v>
      </c>
      <c r="S90" s="9"/>
    </row>
    <row r="91" customFormat="false" ht="15" hidden="false" customHeight="true" outlineLevel="0" collapsed="false">
      <c r="A91" s="9" t="s">
        <v>194</v>
      </c>
      <c r="B91" s="9" t="n">
        <v>97217</v>
      </c>
      <c r="C91" s="9"/>
      <c r="D91" s="9" t="s">
        <v>195</v>
      </c>
      <c r="E91" s="9" t="s">
        <v>44</v>
      </c>
      <c r="F91" s="9" t="s">
        <v>39</v>
      </c>
      <c r="G91" s="9" t="s">
        <v>40</v>
      </c>
      <c r="H91" s="9"/>
      <c r="I91" s="9" t="s">
        <v>41</v>
      </c>
      <c r="J91" s="9" t="s">
        <v>40</v>
      </c>
      <c r="K91" s="9" t="n">
        <v>3</v>
      </c>
      <c r="L91" s="9" t="s">
        <v>42</v>
      </c>
      <c r="M91" s="9" t="s">
        <v>42</v>
      </c>
      <c r="N91" s="9" t="s">
        <v>42</v>
      </c>
      <c r="O91" s="9" t="s">
        <v>42</v>
      </c>
      <c r="P91" s="9" t="s">
        <v>42</v>
      </c>
      <c r="Q91" s="9" t="n">
        <v>100</v>
      </c>
      <c r="R91" s="9" t="s">
        <v>47</v>
      </c>
      <c r="S91" s="9"/>
    </row>
    <row r="92" customFormat="false" ht="15" hidden="false" customHeight="true" outlineLevel="0" collapsed="false">
      <c r="A92" s="9" t="s">
        <v>196</v>
      </c>
      <c r="B92" s="9" t="n">
        <v>70393</v>
      </c>
      <c r="C92" s="9"/>
      <c r="D92" s="9"/>
      <c r="E92" s="9" t="s">
        <v>44</v>
      </c>
      <c r="F92" s="9" t="s">
        <v>54</v>
      </c>
      <c r="G92" s="9" t="s">
        <v>40</v>
      </c>
      <c r="H92" s="9"/>
      <c r="I92" s="9" t="s">
        <v>41</v>
      </c>
      <c r="J92" s="9" t="s">
        <v>40</v>
      </c>
      <c r="K92" s="9" t="n">
        <v>0</v>
      </c>
      <c r="L92" s="9" t="s">
        <v>42</v>
      </c>
      <c r="M92" s="9" t="s">
        <v>197</v>
      </c>
      <c r="N92" s="9" t="s">
        <v>42</v>
      </c>
      <c r="O92" s="9" t="s">
        <v>42</v>
      </c>
      <c r="P92" s="9" t="s">
        <v>198</v>
      </c>
      <c r="Q92" s="9" t="n">
        <v>175</v>
      </c>
      <c r="R92" s="9" t="s">
        <v>47</v>
      </c>
      <c r="S92" s="9"/>
    </row>
    <row r="93" customFormat="false" ht="15" hidden="false" customHeight="true" outlineLevel="0" collapsed="false">
      <c r="A93" s="9" t="s">
        <v>199</v>
      </c>
      <c r="B93" s="9" t="n">
        <v>75386</v>
      </c>
      <c r="C93" s="9"/>
      <c r="D93" s="9"/>
      <c r="E93" s="9" t="s">
        <v>38</v>
      </c>
      <c r="F93" s="9" t="s">
        <v>39</v>
      </c>
      <c r="G93" s="9" t="s">
        <v>40</v>
      </c>
      <c r="H93" s="9"/>
      <c r="I93" s="9" t="s">
        <v>41</v>
      </c>
      <c r="J93" s="9" t="s">
        <v>47</v>
      </c>
      <c r="K93" s="9" t="n">
        <v>1</v>
      </c>
      <c r="L93" s="9" t="s">
        <v>42</v>
      </c>
      <c r="M93" s="9" t="s">
        <v>42</v>
      </c>
      <c r="N93" s="9" t="s">
        <v>42</v>
      </c>
      <c r="O93" s="9" t="s">
        <v>42</v>
      </c>
      <c r="P93" s="9" t="s">
        <v>42</v>
      </c>
      <c r="Q93" s="9" t="n">
        <v>11704</v>
      </c>
      <c r="R93" s="9" t="s">
        <v>47</v>
      </c>
      <c r="S93" s="9"/>
    </row>
    <row r="94" customFormat="false" ht="15" hidden="false" customHeight="true" outlineLevel="0" collapsed="false">
      <c r="A94" s="9" t="s">
        <v>200</v>
      </c>
      <c r="B94" s="9" t="n">
        <v>32635</v>
      </c>
      <c r="C94" s="9"/>
      <c r="D94" s="9"/>
      <c r="E94" s="9" t="s">
        <v>44</v>
      </c>
      <c r="F94" s="9" t="s">
        <v>201</v>
      </c>
      <c r="G94" s="9" t="s">
        <v>40</v>
      </c>
      <c r="H94" s="9"/>
      <c r="I94" s="9" t="s">
        <v>46</v>
      </c>
      <c r="J94" s="9" t="s">
        <v>47</v>
      </c>
      <c r="K94" s="9" t="n">
        <v>0</v>
      </c>
      <c r="L94" s="9" t="s">
        <v>42</v>
      </c>
      <c r="M94" s="9" t="s">
        <v>42</v>
      </c>
      <c r="N94" s="9" t="s">
        <v>42</v>
      </c>
      <c r="O94" s="9" t="s">
        <v>42</v>
      </c>
      <c r="P94" s="9" t="s">
        <v>42</v>
      </c>
      <c r="Q94" s="9" t="n">
        <v>150</v>
      </c>
      <c r="R94" s="9" t="s">
        <v>47</v>
      </c>
      <c r="S94" s="9"/>
    </row>
    <row r="95" customFormat="false" ht="15" hidden="false" customHeight="true" outlineLevel="0" collapsed="false">
      <c r="A95" s="9" t="s">
        <v>202</v>
      </c>
      <c r="B95" s="9" t="n">
        <v>95470</v>
      </c>
      <c r="C95" s="9" t="n">
        <v>25</v>
      </c>
      <c r="D95" s="9"/>
      <c r="E95" s="9" t="s">
        <v>38</v>
      </c>
      <c r="F95" s="9" t="s">
        <v>39</v>
      </c>
      <c r="G95" s="9" t="s">
        <v>40</v>
      </c>
      <c r="H95" s="9"/>
      <c r="I95" s="9" t="s">
        <v>203</v>
      </c>
      <c r="J95" s="9" t="s">
        <v>47</v>
      </c>
      <c r="K95" s="9" t="n">
        <v>0</v>
      </c>
      <c r="L95" s="9" t="s">
        <v>42</v>
      </c>
      <c r="M95" s="9" t="s">
        <v>42</v>
      </c>
      <c r="N95" s="9" t="s">
        <v>42</v>
      </c>
      <c r="O95" s="9" t="s">
        <v>42</v>
      </c>
      <c r="P95" s="9" t="s">
        <v>42</v>
      </c>
      <c r="Q95" s="9" t="n">
        <v>5</v>
      </c>
      <c r="R95" s="9" t="s">
        <v>47</v>
      </c>
      <c r="S95" s="9" t="s">
        <v>204</v>
      </c>
    </row>
    <row r="96" customFormat="false" ht="15" hidden="false" customHeight="true" outlineLevel="0" collapsed="false">
      <c r="A96" s="9" t="s">
        <v>205</v>
      </c>
      <c r="B96" s="9" t="n">
        <v>98029</v>
      </c>
      <c r="C96" s="9"/>
      <c r="D96" s="9" t="s">
        <v>62</v>
      </c>
      <c r="E96" s="9" t="s">
        <v>44</v>
      </c>
      <c r="F96" s="9" t="s">
        <v>54</v>
      </c>
      <c r="G96" s="9" t="s">
        <v>40</v>
      </c>
      <c r="H96" s="9"/>
      <c r="I96" s="9"/>
      <c r="J96" s="9" t="s">
        <v>40</v>
      </c>
      <c r="K96" s="9" t="n">
        <v>0</v>
      </c>
      <c r="L96" s="9" t="s">
        <v>42</v>
      </c>
      <c r="M96" s="9" t="s">
        <v>42</v>
      </c>
      <c r="N96" s="9" t="s">
        <v>42</v>
      </c>
      <c r="O96" s="9" t="s">
        <v>72</v>
      </c>
      <c r="P96" s="9" t="s">
        <v>42</v>
      </c>
      <c r="Q96" s="9" t="n">
        <v>25</v>
      </c>
      <c r="R96" s="9" t="s">
        <v>47</v>
      </c>
      <c r="S96" s="9"/>
    </row>
    <row r="97" customFormat="false" ht="15" hidden="false" customHeight="true" outlineLevel="0" collapsed="false">
      <c r="A97" s="9" t="s">
        <v>206</v>
      </c>
      <c r="B97" s="9" t="n">
        <v>70607</v>
      </c>
      <c r="C97" s="9"/>
      <c r="D97" s="9"/>
      <c r="E97" s="9" t="s">
        <v>38</v>
      </c>
      <c r="F97" s="9" t="s">
        <v>201</v>
      </c>
      <c r="G97" s="9" t="s">
        <v>40</v>
      </c>
      <c r="H97" s="9"/>
      <c r="I97" s="9"/>
      <c r="J97" s="9" t="s">
        <v>40</v>
      </c>
      <c r="K97" s="9" t="n">
        <v>2</v>
      </c>
      <c r="L97" s="9" t="s">
        <v>42</v>
      </c>
      <c r="M97" s="9" t="s">
        <v>42</v>
      </c>
      <c r="N97" s="9" t="s">
        <v>42</v>
      </c>
      <c r="O97" s="9" t="s">
        <v>42</v>
      </c>
      <c r="P97" s="9" t="s">
        <v>42</v>
      </c>
      <c r="Q97" s="9" t="n">
        <v>0</v>
      </c>
      <c r="R97" s="9" t="s">
        <v>40</v>
      </c>
      <c r="S97" s="9"/>
    </row>
    <row r="98" customFormat="false" ht="15" hidden="false" customHeight="true" outlineLevel="0" collapsed="false">
      <c r="A98" s="9" t="s">
        <v>207</v>
      </c>
      <c r="B98" s="9" t="n">
        <v>7080</v>
      </c>
      <c r="C98" s="9"/>
      <c r="D98" s="9" t="s">
        <v>62</v>
      </c>
      <c r="E98" s="9" t="s">
        <v>44</v>
      </c>
      <c r="F98" s="9" t="s">
        <v>45</v>
      </c>
      <c r="G98" s="9" t="s">
        <v>40</v>
      </c>
      <c r="H98" s="9"/>
      <c r="I98" s="9" t="s">
        <v>41</v>
      </c>
      <c r="J98" s="9" t="s">
        <v>40</v>
      </c>
      <c r="K98" s="9" t="n">
        <v>0</v>
      </c>
      <c r="L98" s="9" t="s">
        <v>42</v>
      </c>
      <c r="M98" s="9" t="s">
        <v>42</v>
      </c>
      <c r="N98" s="9" t="s">
        <v>42</v>
      </c>
      <c r="O98" s="9" t="s">
        <v>42</v>
      </c>
      <c r="P98" s="9" t="s">
        <v>42</v>
      </c>
      <c r="Q98" s="9" t="n">
        <v>61</v>
      </c>
      <c r="R98" s="9" t="s">
        <v>47</v>
      </c>
      <c r="S98" s="9"/>
    </row>
    <row r="99" customFormat="false" ht="15" hidden="false" customHeight="true" outlineLevel="0" collapsed="false">
      <c r="A99" s="9" t="s">
        <v>208</v>
      </c>
      <c r="B99" s="9" t="n">
        <v>90230</v>
      </c>
      <c r="C99" s="9"/>
      <c r="D99" s="9"/>
      <c r="E99" s="9" t="s">
        <v>38</v>
      </c>
      <c r="F99" s="9" t="s">
        <v>39</v>
      </c>
      <c r="G99" s="9" t="s">
        <v>40</v>
      </c>
      <c r="H99" s="9"/>
      <c r="I99" s="9" t="s">
        <v>41</v>
      </c>
      <c r="J99" s="9" t="s">
        <v>40</v>
      </c>
      <c r="K99" s="9" t="n">
        <v>3</v>
      </c>
      <c r="L99" s="9" t="s">
        <v>42</v>
      </c>
      <c r="M99" s="9" t="s">
        <v>42</v>
      </c>
      <c r="N99" s="9" t="s">
        <v>42</v>
      </c>
      <c r="O99" s="9" t="s">
        <v>42</v>
      </c>
      <c r="P99" s="9" t="s">
        <v>42</v>
      </c>
      <c r="Q99" s="9" t="n">
        <v>0</v>
      </c>
      <c r="R99" s="9" t="s">
        <v>40</v>
      </c>
      <c r="S99" s="9"/>
    </row>
    <row r="100" customFormat="false" ht="15" hidden="false" customHeight="true" outlineLevel="0" collapsed="false">
      <c r="A100" s="9" t="s">
        <v>209</v>
      </c>
      <c r="B100" s="9" t="n">
        <v>90265</v>
      </c>
      <c r="C100" s="9" t="n">
        <v>24</v>
      </c>
      <c r="D100" s="9"/>
      <c r="E100" s="9" t="s">
        <v>38</v>
      </c>
      <c r="F100" s="9" t="s">
        <v>54</v>
      </c>
      <c r="G100" s="9" t="s">
        <v>47</v>
      </c>
      <c r="H100" s="9" t="s">
        <v>177</v>
      </c>
      <c r="I100" s="9" t="s">
        <v>66</v>
      </c>
      <c r="J100" s="9" t="s">
        <v>47</v>
      </c>
      <c r="K100" s="9" t="n">
        <v>1</v>
      </c>
      <c r="L100" s="9" t="s">
        <v>42</v>
      </c>
      <c r="M100" s="9" t="s">
        <v>210</v>
      </c>
      <c r="N100" s="9" t="s">
        <v>42</v>
      </c>
      <c r="O100" s="9" t="s">
        <v>42</v>
      </c>
      <c r="P100" s="9" t="s">
        <v>42</v>
      </c>
      <c r="Q100" s="9" t="n">
        <v>144</v>
      </c>
      <c r="R100" s="9" t="s">
        <v>47</v>
      </c>
      <c r="S100" s="9" t="s">
        <v>211</v>
      </c>
    </row>
    <row r="101" customFormat="false" ht="15" hidden="false" customHeight="true" outlineLevel="0" collapsed="false">
      <c r="A101" s="9" t="s">
        <v>212</v>
      </c>
      <c r="B101" s="9" t="n">
        <v>90250</v>
      </c>
      <c r="C101" s="9" t="n">
        <v>33</v>
      </c>
      <c r="D101" s="9"/>
      <c r="E101" s="9" t="s">
        <v>44</v>
      </c>
      <c r="F101" s="9" t="s">
        <v>54</v>
      </c>
      <c r="G101" s="9" t="s">
        <v>47</v>
      </c>
      <c r="H101" s="9"/>
      <c r="I101" s="9" t="s">
        <v>41</v>
      </c>
      <c r="J101" s="9" t="s">
        <v>47</v>
      </c>
      <c r="K101" s="9" t="n">
        <v>0</v>
      </c>
      <c r="L101" s="9" t="s">
        <v>42</v>
      </c>
      <c r="M101" s="9" t="s">
        <v>42</v>
      </c>
      <c r="N101" s="9" t="s">
        <v>42</v>
      </c>
      <c r="O101" s="9" t="s">
        <v>42</v>
      </c>
      <c r="P101" s="9" t="s">
        <v>72</v>
      </c>
      <c r="Q101" s="9" t="n">
        <v>25</v>
      </c>
      <c r="R101" s="9" t="s">
        <v>47</v>
      </c>
      <c r="S101" s="9" t="s">
        <v>213</v>
      </c>
    </row>
    <row r="102" customFormat="false" ht="15" hidden="false" customHeight="true" outlineLevel="0" collapsed="false">
      <c r="A102" s="9" t="s">
        <v>214</v>
      </c>
      <c r="B102" s="9" t="n">
        <v>4262</v>
      </c>
      <c r="C102" s="9"/>
      <c r="D102" s="9"/>
      <c r="E102" s="9" t="s">
        <v>38</v>
      </c>
      <c r="F102" s="9" t="s">
        <v>39</v>
      </c>
      <c r="G102" s="9" t="s">
        <v>47</v>
      </c>
      <c r="H102" s="9"/>
      <c r="I102" s="9" t="s">
        <v>41</v>
      </c>
      <c r="J102" s="9" t="s">
        <v>47</v>
      </c>
      <c r="K102" s="9" t="n">
        <v>3</v>
      </c>
      <c r="L102" s="9" t="s">
        <v>185</v>
      </c>
      <c r="M102" s="9" t="s">
        <v>42</v>
      </c>
      <c r="N102" s="9" t="s">
        <v>42</v>
      </c>
      <c r="O102" s="9" t="s">
        <v>42</v>
      </c>
      <c r="P102" s="9" t="s">
        <v>42</v>
      </c>
      <c r="Q102" s="9" t="n">
        <v>108</v>
      </c>
      <c r="R102" s="9" t="s">
        <v>47</v>
      </c>
      <c r="S102" s="9"/>
    </row>
    <row r="103" customFormat="false" ht="15" hidden="false" customHeight="true" outlineLevel="0" collapsed="false">
      <c r="A103" s="9" t="s">
        <v>215</v>
      </c>
      <c r="B103" s="9" t="n">
        <v>90265</v>
      </c>
      <c r="C103" s="9"/>
      <c r="D103" s="9" t="s">
        <v>62</v>
      </c>
      <c r="E103" s="9" t="s">
        <v>38</v>
      </c>
      <c r="F103" s="9" t="s">
        <v>45</v>
      </c>
      <c r="G103" s="9" t="s">
        <v>40</v>
      </c>
      <c r="H103" s="9"/>
      <c r="I103" s="9" t="s">
        <v>41</v>
      </c>
      <c r="J103" s="9" t="s">
        <v>47</v>
      </c>
      <c r="K103" s="9" t="n">
        <v>0</v>
      </c>
      <c r="L103" s="9" t="s">
        <v>42</v>
      </c>
      <c r="M103" s="9" t="s">
        <v>129</v>
      </c>
      <c r="N103" s="9" t="s">
        <v>42</v>
      </c>
      <c r="O103" s="9" t="s">
        <v>129</v>
      </c>
      <c r="P103" s="9" t="s">
        <v>42</v>
      </c>
      <c r="Q103" s="9" t="n">
        <v>2000</v>
      </c>
      <c r="R103" s="9" t="s">
        <v>47</v>
      </c>
      <c r="S103" s="9"/>
    </row>
    <row r="104" customFormat="false" ht="15" hidden="false" customHeight="true" outlineLevel="0" collapsed="false">
      <c r="A104" s="9" t="s">
        <v>216</v>
      </c>
      <c r="B104" s="9" t="n">
        <v>71322</v>
      </c>
      <c r="C104" s="9"/>
      <c r="D104" s="9" t="s">
        <v>62</v>
      </c>
      <c r="E104" s="9" t="s">
        <v>44</v>
      </c>
      <c r="F104" s="9" t="s">
        <v>39</v>
      </c>
      <c r="G104" s="9" t="s">
        <v>40</v>
      </c>
      <c r="H104" s="9"/>
      <c r="I104" s="9" t="s">
        <v>66</v>
      </c>
      <c r="J104" s="9" t="s">
        <v>40</v>
      </c>
      <c r="K104" s="9" t="n">
        <v>1</v>
      </c>
      <c r="L104" s="9" t="s">
        <v>42</v>
      </c>
      <c r="M104" s="9" t="s">
        <v>42</v>
      </c>
      <c r="N104" s="9" t="s">
        <v>42</v>
      </c>
      <c r="O104" s="9" t="s">
        <v>42</v>
      </c>
      <c r="P104" s="9" t="s">
        <v>42</v>
      </c>
      <c r="Q104" s="9" t="n">
        <v>0</v>
      </c>
      <c r="R104" s="9" t="s">
        <v>40</v>
      </c>
      <c r="S104" s="9"/>
    </row>
    <row r="105" customFormat="false" ht="15" hidden="false" customHeight="true" outlineLevel="0" collapsed="false">
      <c r="A105" s="9" t="s">
        <v>217</v>
      </c>
      <c r="B105" s="9" t="n">
        <v>4406</v>
      </c>
      <c r="C105" s="9"/>
      <c r="D105" s="9" t="s">
        <v>62</v>
      </c>
      <c r="E105" s="9" t="s">
        <v>38</v>
      </c>
      <c r="F105" s="9" t="s">
        <v>39</v>
      </c>
      <c r="G105" s="9" t="s">
        <v>40</v>
      </c>
      <c r="H105" s="9"/>
      <c r="I105" s="9" t="s">
        <v>41</v>
      </c>
      <c r="J105" s="9" t="s">
        <v>40</v>
      </c>
      <c r="K105" s="9" t="n">
        <v>5</v>
      </c>
      <c r="L105" s="9" t="s">
        <v>218</v>
      </c>
      <c r="M105" s="9" t="s">
        <v>42</v>
      </c>
      <c r="N105" s="9" t="s">
        <v>219</v>
      </c>
      <c r="O105" s="9" t="s">
        <v>42</v>
      </c>
      <c r="P105" s="9" t="s">
        <v>42</v>
      </c>
      <c r="Q105" s="9" t="n">
        <v>314</v>
      </c>
      <c r="R105" s="9" t="s">
        <v>47</v>
      </c>
      <c r="S105" s="9"/>
    </row>
    <row r="106" customFormat="false" ht="15" hidden="false" customHeight="true" outlineLevel="0" collapsed="false">
      <c r="A106" s="9" t="s">
        <v>220</v>
      </c>
      <c r="B106" s="9" t="n">
        <v>21403</v>
      </c>
      <c r="C106" s="9" t="n">
        <v>38</v>
      </c>
      <c r="D106" s="9"/>
      <c r="E106" s="9" t="s">
        <v>44</v>
      </c>
      <c r="F106" s="9" t="s">
        <v>54</v>
      </c>
      <c r="G106" s="9" t="s">
        <v>40</v>
      </c>
      <c r="H106" s="9"/>
      <c r="I106" s="9" t="s">
        <v>41</v>
      </c>
      <c r="J106" s="9" t="s">
        <v>47</v>
      </c>
      <c r="K106" s="9" t="n">
        <v>0</v>
      </c>
      <c r="L106" s="9" t="s">
        <v>42</v>
      </c>
      <c r="M106" s="9" t="s">
        <v>42</v>
      </c>
      <c r="N106" s="9" t="s">
        <v>42</v>
      </c>
      <c r="O106" s="9" t="s">
        <v>42</v>
      </c>
      <c r="P106" s="9" t="s">
        <v>42</v>
      </c>
      <c r="Q106" s="9" t="n">
        <v>200</v>
      </c>
      <c r="R106" s="9" t="s">
        <v>47</v>
      </c>
      <c r="S106" s="9" t="s">
        <v>221</v>
      </c>
    </row>
    <row r="107" customFormat="false" ht="15" hidden="false" customHeight="true" outlineLevel="0" collapsed="false">
      <c r="A107" s="9" t="s">
        <v>222</v>
      </c>
      <c r="B107" s="9" t="n">
        <v>7902</v>
      </c>
      <c r="C107" s="9"/>
      <c r="D107" s="9"/>
      <c r="E107" s="9" t="s">
        <v>44</v>
      </c>
      <c r="F107" s="9" t="s">
        <v>39</v>
      </c>
      <c r="G107" s="9" t="s">
        <v>40</v>
      </c>
      <c r="H107" s="9" t="s">
        <v>159</v>
      </c>
      <c r="I107" s="9" t="s">
        <v>41</v>
      </c>
      <c r="J107" s="9" t="s">
        <v>40</v>
      </c>
      <c r="K107" s="9" t="n">
        <v>1</v>
      </c>
      <c r="L107" s="9" t="s">
        <v>42</v>
      </c>
      <c r="M107" s="9" t="s">
        <v>42</v>
      </c>
      <c r="N107" s="9" t="s">
        <v>42</v>
      </c>
      <c r="O107" s="9" t="s">
        <v>42</v>
      </c>
      <c r="P107" s="9" t="s">
        <v>42</v>
      </c>
      <c r="Q107" s="9" t="n">
        <v>0</v>
      </c>
      <c r="R107" s="9" t="s">
        <v>40</v>
      </c>
      <c r="S107" s="9"/>
    </row>
    <row r="108" customFormat="false" ht="15" hidden="false" customHeight="true" outlineLevel="0" collapsed="false">
      <c r="A108" s="9" t="s">
        <v>223</v>
      </c>
      <c r="B108" s="9" t="n">
        <v>33050</v>
      </c>
      <c r="C108" s="9" t="n">
        <v>77</v>
      </c>
      <c r="D108" s="9"/>
      <c r="E108" s="9" t="s">
        <v>44</v>
      </c>
      <c r="F108" s="9" t="s">
        <v>39</v>
      </c>
      <c r="G108" s="9" t="s">
        <v>40</v>
      </c>
      <c r="H108" s="9"/>
      <c r="I108" s="9" t="s">
        <v>41</v>
      </c>
      <c r="J108" s="9" t="s">
        <v>40</v>
      </c>
      <c r="K108" s="9" t="n">
        <v>0</v>
      </c>
      <c r="L108" s="9" t="s">
        <v>42</v>
      </c>
      <c r="M108" s="9" t="s">
        <v>42</v>
      </c>
      <c r="N108" s="9" t="s">
        <v>87</v>
      </c>
      <c r="O108" s="9" t="s">
        <v>187</v>
      </c>
      <c r="P108" s="9" t="s">
        <v>42</v>
      </c>
      <c r="Q108" s="9" t="n">
        <v>345</v>
      </c>
      <c r="R108" s="9" t="s">
        <v>47</v>
      </c>
      <c r="S108" s="9" t="s">
        <v>224</v>
      </c>
    </row>
    <row r="109" customFormat="false" ht="15" hidden="false" customHeight="true" outlineLevel="0" collapsed="false">
      <c r="A109" s="9" t="s">
        <v>225</v>
      </c>
      <c r="B109" s="9" t="n">
        <v>79009</v>
      </c>
      <c r="C109" s="9"/>
      <c r="D109" s="9"/>
      <c r="E109" s="9" t="s">
        <v>44</v>
      </c>
      <c r="F109" s="9" t="s">
        <v>39</v>
      </c>
      <c r="G109" s="9" t="s">
        <v>40</v>
      </c>
      <c r="H109" s="9" t="s">
        <v>226</v>
      </c>
      <c r="I109" s="9" t="s">
        <v>41</v>
      </c>
      <c r="J109" s="9" t="s">
        <v>40</v>
      </c>
      <c r="K109" s="9" t="n">
        <v>2</v>
      </c>
      <c r="L109" s="9" t="s">
        <v>42</v>
      </c>
      <c r="M109" s="9" t="s">
        <v>42</v>
      </c>
      <c r="N109" s="9" t="s">
        <v>42</v>
      </c>
      <c r="O109" s="9" t="s">
        <v>227</v>
      </c>
      <c r="P109" s="9" t="s">
        <v>42</v>
      </c>
      <c r="Q109" s="9" t="n">
        <v>25500</v>
      </c>
      <c r="R109" s="9" t="s">
        <v>47</v>
      </c>
      <c r="S109" s="9"/>
    </row>
    <row r="110" customFormat="false" ht="15" hidden="false" customHeight="true" outlineLevel="0" collapsed="false">
      <c r="A110" s="9" t="s">
        <v>228</v>
      </c>
      <c r="B110" s="9" t="n">
        <v>41307</v>
      </c>
      <c r="C110" s="9" t="n">
        <v>24</v>
      </c>
      <c r="D110" s="9"/>
      <c r="E110" s="9" t="s">
        <v>38</v>
      </c>
      <c r="F110" s="9" t="s">
        <v>39</v>
      </c>
      <c r="G110" s="9" t="s">
        <v>40</v>
      </c>
      <c r="H110" s="9"/>
      <c r="I110" s="9" t="s">
        <v>41</v>
      </c>
      <c r="J110" s="9" t="s">
        <v>40</v>
      </c>
      <c r="K110" s="9" t="n">
        <v>0</v>
      </c>
      <c r="L110" s="9" t="s">
        <v>42</v>
      </c>
      <c r="M110" s="9" t="s">
        <v>42</v>
      </c>
      <c r="N110" s="9" t="s">
        <v>42</v>
      </c>
      <c r="O110" s="9" t="s">
        <v>42</v>
      </c>
      <c r="P110" s="9" t="s">
        <v>42</v>
      </c>
      <c r="Q110" s="9" t="n">
        <v>40</v>
      </c>
      <c r="R110" s="9" t="s">
        <v>47</v>
      </c>
      <c r="S110" s="9" t="s">
        <v>229</v>
      </c>
    </row>
    <row r="111" customFormat="false" ht="15" hidden="false" customHeight="true" outlineLevel="0" collapsed="false">
      <c r="A111" s="9" t="s">
        <v>230</v>
      </c>
      <c r="B111" s="9" t="n">
        <v>29502</v>
      </c>
      <c r="C111" s="9"/>
      <c r="D111" s="9" t="s">
        <v>62</v>
      </c>
      <c r="E111" s="9" t="s">
        <v>38</v>
      </c>
      <c r="F111" s="9" t="s">
        <v>45</v>
      </c>
      <c r="G111" s="9" t="s">
        <v>40</v>
      </c>
      <c r="H111" s="9"/>
      <c r="I111" s="9" t="s">
        <v>41</v>
      </c>
      <c r="J111" s="9" t="s">
        <v>47</v>
      </c>
      <c r="K111" s="9" t="n">
        <v>0</v>
      </c>
      <c r="L111" s="9" t="s">
        <v>42</v>
      </c>
      <c r="M111" s="9" t="s">
        <v>42</v>
      </c>
      <c r="N111" s="9" t="s">
        <v>42</v>
      </c>
      <c r="O111" s="9" t="s">
        <v>42</v>
      </c>
      <c r="P111" s="9" t="s">
        <v>42</v>
      </c>
      <c r="Q111" s="9" t="n">
        <v>20</v>
      </c>
      <c r="R111" s="9" t="s">
        <v>47</v>
      </c>
      <c r="S111" s="9"/>
    </row>
    <row r="112" customFormat="false" ht="15" hidden="false" customHeight="true" outlineLevel="0" collapsed="false">
      <c r="A112" s="9" t="s">
        <v>231</v>
      </c>
      <c r="B112" s="9" t="n">
        <v>90265</v>
      </c>
      <c r="C112" s="9" t="n">
        <v>41</v>
      </c>
      <c r="D112" s="9"/>
      <c r="E112" s="9" t="s">
        <v>38</v>
      </c>
      <c r="F112" s="9" t="s">
        <v>39</v>
      </c>
      <c r="G112" s="9" t="s">
        <v>40</v>
      </c>
      <c r="H112" s="9"/>
      <c r="I112" s="9" t="s">
        <v>41</v>
      </c>
      <c r="J112" s="9" t="s">
        <v>40</v>
      </c>
      <c r="K112" s="9" t="n">
        <v>0</v>
      </c>
      <c r="L112" s="9" t="s">
        <v>42</v>
      </c>
      <c r="M112" s="9" t="s">
        <v>42</v>
      </c>
      <c r="N112" s="9" t="s">
        <v>42</v>
      </c>
      <c r="O112" s="9" t="s">
        <v>42</v>
      </c>
      <c r="P112" s="9" t="s">
        <v>42</v>
      </c>
      <c r="Q112" s="9" t="n">
        <v>0</v>
      </c>
      <c r="R112" s="9" t="s">
        <v>40</v>
      </c>
      <c r="S112" s="9" t="s">
        <v>232</v>
      </c>
    </row>
    <row r="113" customFormat="false" ht="15" hidden="false" customHeight="true" outlineLevel="0" collapsed="false">
      <c r="A113" s="9" t="s">
        <v>233</v>
      </c>
      <c r="B113" s="9" t="n">
        <v>25267</v>
      </c>
      <c r="C113" s="9"/>
      <c r="D113" s="9"/>
      <c r="E113" s="9" t="s">
        <v>38</v>
      </c>
      <c r="F113" s="9" t="s">
        <v>39</v>
      </c>
      <c r="G113" s="9" t="s">
        <v>40</v>
      </c>
      <c r="H113" s="9"/>
      <c r="I113" s="9"/>
      <c r="J113" s="9" t="s">
        <v>40</v>
      </c>
      <c r="K113" s="9" t="n">
        <v>0</v>
      </c>
      <c r="L113" s="9" t="s">
        <v>42</v>
      </c>
      <c r="M113" s="9" t="s">
        <v>42</v>
      </c>
      <c r="N113" s="9" t="s">
        <v>42</v>
      </c>
      <c r="O113" s="9" t="s">
        <v>42</v>
      </c>
      <c r="P113" s="9" t="s">
        <v>42</v>
      </c>
      <c r="Q113" s="9" t="n">
        <v>30</v>
      </c>
      <c r="R113" s="9" t="s">
        <v>47</v>
      </c>
      <c r="S113" s="9"/>
    </row>
    <row r="114" customFormat="false" ht="15" hidden="false" customHeight="true" outlineLevel="0" collapsed="false">
      <c r="A114" s="9" t="s">
        <v>234</v>
      </c>
      <c r="B114" s="9" t="n">
        <v>95164</v>
      </c>
      <c r="C114" s="9" t="n">
        <v>90</v>
      </c>
      <c r="D114" s="9"/>
      <c r="E114" s="9" t="s">
        <v>38</v>
      </c>
      <c r="F114" s="9" t="s">
        <v>54</v>
      </c>
      <c r="G114" s="9" t="s">
        <v>40</v>
      </c>
      <c r="H114" s="9"/>
      <c r="I114" s="9" t="s">
        <v>41</v>
      </c>
      <c r="J114" s="9" t="s">
        <v>47</v>
      </c>
      <c r="K114" s="9" t="n">
        <v>4</v>
      </c>
      <c r="L114" s="9" t="s">
        <v>219</v>
      </c>
      <c r="M114" s="9" t="s">
        <v>42</v>
      </c>
      <c r="N114" s="9" t="s">
        <v>198</v>
      </c>
      <c r="O114" s="9" t="s">
        <v>63</v>
      </c>
      <c r="P114" s="9" t="s">
        <v>42</v>
      </c>
      <c r="Q114" s="9" t="n">
        <v>290</v>
      </c>
      <c r="R114" s="9" t="s">
        <v>47</v>
      </c>
      <c r="S114" s="9" t="s">
        <v>235</v>
      </c>
    </row>
    <row r="115" customFormat="false" ht="15" hidden="false" customHeight="true" outlineLevel="0" collapsed="false">
      <c r="A115" s="9" t="s">
        <v>236</v>
      </c>
      <c r="B115" s="9" t="n">
        <v>98833</v>
      </c>
      <c r="C115" s="9" t="n">
        <v>19</v>
      </c>
      <c r="D115" s="9"/>
      <c r="E115" s="9" t="s">
        <v>38</v>
      </c>
      <c r="F115" s="9" t="s">
        <v>39</v>
      </c>
      <c r="G115" s="9" t="s">
        <v>40</v>
      </c>
      <c r="H115" s="9"/>
      <c r="I115" s="9" t="s">
        <v>203</v>
      </c>
      <c r="J115" s="9" t="s">
        <v>47</v>
      </c>
      <c r="K115" s="9" t="n">
        <v>0</v>
      </c>
      <c r="L115" s="9" t="s">
        <v>42</v>
      </c>
      <c r="M115" s="9" t="s">
        <v>42</v>
      </c>
      <c r="N115" s="9" t="s">
        <v>42</v>
      </c>
      <c r="O115" s="9" t="s">
        <v>42</v>
      </c>
      <c r="P115" s="9" t="s">
        <v>42</v>
      </c>
      <c r="Q115" s="9" t="n">
        <v>100</v>
      </c>
      <c r="R115" s="9" t="s">
        <v>47</v>
      </c>
      <c r="S115" s="9" t="s">
        <v>237</v>
      </c>
    </row>
    <row r="116" customFormat="false" ht="15" hidden="false" customHeight="true" outlineLevel="0" collapsed="false">
      <c r="A116" s="9" t="s">
        <v>238</v>
      </c>
      <c r="B116" s="9" t="n">
        <v>90265</v>
      </c>
      <c r="C116" s="9"/>
      <c r="D116" s="9"/>
      <c r="E116" s="9" t="s">
        <v>44</v>
      </c>
      <c r="F116" s="9" t="s">
        <v>54</v>
      </c>
      <c r="G116" s="9" t="s">
        <v>40</v>
      </c>
      <c r="H116" s="9"/>
      <c r="I116" s="9"/>
      <c r="J116" s="9" t="s">
        <v>40</v>
      </c>
      <c r="K116" s="9" t="n">
        <v>0</v>
      </c>
      <c r="L116" s="9" t="s">
        <v>42</v>
      </c>
      <c r="M116" s="9" t="s">
        <v>42</v>
      </c>
      <c r="N116" s="9" t="s">
        <v>42</v>
      </c>
      <c r="O116" s="9" t="s">
        <v>42</v>
      </c>
      <c r="P116" s="9" t="s">
        <v>42</v>
      </c>
      <c r="Q116" s="9" t="n">
        <v>170</v>
      </c>
      <c r="R116" s="9" t="s">
        <v>47</v>
      </c>
      <c r="S116" s="9"/>
    </row>
    <row r="117" customFormat="false" ht="15" hidden="false" customHeight="true" outlineLevel="0" collapsed="false">
      <c r="A117" s="9" t="s">
        <v>239</v>
      </c>
      <c r="B117" s="9" t="n">
        <v>60623</v>
      </c>
      <c r="C117" s="9"/>
      <c r="D117" s="9"/>
      <c r="E117" s="9" t="s">
        <v>38</v>
      </c>
      <c r="F117" s="9" t="s">
        <v>39</v>
      </c>
      <c r="G117" s="9" t="s">
        <v>40</v>
      </c>
      <c r="H117" s="9"/>
      <c r="I117" s="9" t="s">
        <v>41</v>
      </c>
      <c r="J117" s="9" t="s">
        <v>40</v>
      </c>
      <c r="K117" s="9" t="n">
        <v>2</v>
      </c>
      <c r="L117" s="9" t="s">
        <v>42</v>
      </c>
      <c r="M117" s="9" t="s">
        <v>42</v>
      </c>
      <c r="N117" s="9" t="s">
        <v>42</v>
      </c>
      <c r="O117" s="9" t="s">
        <v>42</v>
      </c>
      <c r="P117" s="9" t="s">
        <v>42</v>
      </c>
      <c r="Q117" s="9" t="n">
        <v>255</v>
      </c>
      <c r="R117" s="9" t="s">
        <v>47</v>
      </c>
      <c r="S117" s="9"/>
    </row>
    <row r="118" customFormat="false" ht="15" hidden="false" customHeight="true" outlineLevel="0" collapsed="false">
      <c r="A118" s="9" t="s">
        <v>240</v>
      </c>
      <c r="B118" s="9" t="n">
        <v>98840</v>
      </c>
      <c r="C118" s="9"/>
      <c r="D118" s="9"/>
      <c r="E118" s="9" t="s">
        <v>38</v>
      </c>
      <c r="F118" s="9" t="s">
        <v>39</v>
      </c>
      <c r="G118" s="9" t="s">
        <v>40</v>
      </c>
      <c r="H118" s="9"/>
      <c r="I118" s="9" t="s">
        <v>241</v>
      </c>
      <c r="J118" s="9" t="s">
        <v>40</v>
      </c>
      <c r="K118" s="9" t="n">
        <v>1</v>
      </c>
      <c r="L118" s="9" t="s">
        <v>42</v>
      </c>
      <c r="M118" s="9" t="s">
        <v>42</v>
      </c>
      <c r="N118" s="9" t="s">
        <v>42</v>
      </c>
      <c r="O118" s="9" t="s">
        <v>42</v>
      </c>
      <c r="P118" s="9" t="s">
        <v>42</v>
      </c>
      <c r="Q118" s="9" t="n">
        <v>100</v>
      </c>
      <c r="R118" s="9" t="s">
        <v>47</v>
      </c>
      <c r="S118" s="9"/>
    </row>
    <row r="119" customFormat="false" ht="15" hidden="false" customHeight="true" outlineLevel="0" collapsed="false">
      <c r="A119" s="9" t="s">
        <v>242</v>
      </c>
      <c r="B119" s="9" t="n">
        <v>76837</v>
      </c>
      <c r="C119" s="9"/>
      <c r="D119" s="9" t="s">
        <v>62</v>
      </c>
      <c r="E119" s="9" t="s">
        <v>38</v>
      </c>
      <c r="F119" s="9" t="s">
        <v>45</v>
      </c>
      <c r="G119" s="9" t="s">
        <v>40</v>
      </c>
      <c r="H119" s="9"/>
      <c r="I119" s="9" t="s">
        <v>41</v>
      </c>
      <c r="J119" s="9" t="s">
        <v>47</v>
      </c>
      <c r="K119" s="9" t="n">
        <v>0</v>
      </c>
      <c r="L119" s="9" t="s">
        <v>42</v>
      </c>
      <c r="M119" s="9" t="s">
        <v>42</v>
      </c>
      <c r="N119" s="9" t="s">
        <v>42</v>
      </c>
      <c r="O119" s="9" t="s">
        <v>42</v>
      </c>
      <c r="P119" s="9" t="s">
        <v>42</v>
      </c>
      <c r="Q119" s="9" t="n">
        <v>0</v>
      </c>
      <c r="R119" s="9" t="s">
        <v>40</v>
      </c>
      <c r="S119" s="9"/>
    </row>
    <row r="120" customFormat="false" ht="15" hidden="false" customHeight="true" outlineLevel="0" collapsed="false">
      <c r="A120" s="9" t="s">
        <v>243</v>
      </c>
      <c r="B120" s="9" t="n">
        <v>90058</v>
      </c>
      <c r="C120" s="9"/>
      <c r="D120" s="9" t="s">
        <v>83</v>
      </c>
      <c r="E120" s="9" t="s">
        <v>50</v>
      </c>
      <c r="F120" s="9" t="s">
        <v>39</v>
      </c>
      <c r="G120" s="9" t="s">
        <v>47</v>
      </c>
      <c r="H120" s="9"/>
      <c r="I120" s="9"/>
      <c r="J120" s="9" t="s">
        <v>40</v>
      </c>
      <c r="K120" s="9" t="n">
        <v>0</v>
      </c>
      <c r="L120" s="9" t="s">
        <v>42</v>
      </c>
      <c r="M120" s="9" t="s">
        <v>42</v>
      </c>
      <c r="N120" s="9" t="s">
        <v>42</v>
      </c>
      <c r="O120" s="9" t="s">
        <v>42</v>
      </c>
      <c r="P120" s="9" t="s">
        <v>42</v>
      </c>
      <c r="Q120" s="9" t="n">
        <v>80</v>
      </c>
      <c r="R120" s="9" t="s">
        <v>47</v>
      </c>
      <c r="S120" s="9"/>
    </row>
    <row r="121" customFormat="false" ht="15" hidden="false" customHeight="true" outlineLevel="0" collapsed="false">
      <c r="A121" s="9" t="s">
        <v>244</v>
      </c>
      <c r="B121" s="9" t="n">
        <v>79366</v>
      </c>
      <c r="C121" s="9" t="n">
        <v>34</v>
      </c>
      <c r="D121" s="9"/>
      <c r="E121" s="9" t="s">
        <v>38</v>
      </c>
      <c r="F121" s="9" t="s">
        <v>54</v>
      </c>
      <c r="G121" s="9" t="s">
        <v>47</v>
      </c>
      <c r="H121" s="9"/>
      <c r="I121" s="9" t="s">
        <v>41</v>
      </c>
      <c r="J121" s="9" t="s">
        <v>47</v>
      </c>
      <c r="K121" s="9" t="n">
        <v>0</v>
      </c>
      <c r="L121" s="9" t="s">
        <v>72</v>
      </c>
      <c r="M121" s="9" t="s">
        <v>42</v>
      </c>
      <c r="N121" s="9" t="s">
        <v>42</v>
      </c>
      <c r="O121" s="9" t="s">
        <v>42</v>
      </c>
      <c r="P121" s="9" t="s">
        <v>42</v>
      </c>
      <c r="Q121" s="9" t="n">
        <v>25</v>
      </c>
      <c r="R121" s="9" t="s">
        <v>47</v>
      </c>
      <c r="S121" s="9" t="s">
        <v>245</v>
      </c>
    </row>
    <row r="122" customFormat="false" ht="15" hidden="false" customHeight="true" outlineLevel="0" collapsed="false">
      <c r="A122" s="9" t="s">
        <v>246</v>
      </c>
      <c r="B122" s="9" t="n">
        <v>90265</v>
      </c>
      <c r="C122" s="9"/>
      <c r="D122" s="9"/>
      <c r="E122" s="9" t="s">
        <v>44</v>
      </c>
      <c r="F122" s="9" t="s">
        <v>39</v>
      </c>
      <c r="G122" s="9" t="s">
        <v>40</v>
      </c>
      <c r="H122" s="9"/>
      <c r="I122" s="9" t="s">
        <v>41</v>
      </c>
      <c r="J122" s="9" t="s">
        <v>47</v>
      </c>
      <c r="K122" s="9" t="n">
        <v>1</v>
      </c>
      <c r="L122" s="9" t="s">
        <v>42</v>
      </c>
      <c r="M122" s="9" t="s">
        <v>247</v>
      </c>
      <c r="N122" s="9" t="s">
        <v>42</v>
      </c>
      <c r="O122" s="9" t="s">
        <v>42</v>
      </c>
      <c r="P122" s="9" t="s">
        <v>42</v>
      </c>
      <c r="Q122" s="9" t="n">
        <v>105</v>
      </c>
      <c r="R122" s="9" t="s">
        <v>47</v>
      </c>
      <c r="S122" s="9"/>
    </row>
    <row r="123" customFormat="false" ht="15" hidden="false" customHeight="true" outlineLevel="0" collapsed="false">
      <c r="A123" s="9" t="s">
        <v>248</v>
      </c>
      <c r="B123" s="9" t="n">
        <v>90265</v>
      </c>
      <c r="C123" s="9"/>
      <c r="D123" s="9" t="s">
        <v>62</v>
      </c>
      <c r="E123" s="9" t="s">
        <v>44</v>
      </c>
      <c r="F123" s="9" t="s">
        <v>39</v>
      </c>
      <c r="G123" s="9" t="s">
        <v>40</v>
      </c>
      <c r="H123" s="9"/>
      <c r="I123" s="9" t="s">
        <v>41</v>
      </c>
      <c r="J123" s="9" t="s">
        <v>40</v>
      </c>
      <c r="K123" s="9" t="n">
        <v>1</v>
      </c>
      <c r="L123" s="9" t="s">
        <v>42</v>
      </c>
      <c r="M123" s="9" t="s">
        <v>42</v>
      </c>
      <c r="N123" s="9" t="s">
        <v>42</v>
      </c>
      <c r="O123" s="9" t="s">
        <v>42</v>
      </c>
      <c r="P123" s="9" t="s">
        <v>42</v>
      </c>
      <c r="Q123" s="9" t="n">
        <v>0</v>
      </c>
      <c r="R123" s="9" t="s">
        <v>40</v>
      </c>
      <c r="S123" s="9"/>
    </row>
    <row r="124" customFormat="false" ht="15" hidden="false" customHeight="true" outlineLevel="0" collapsed="false">
      <c r="A124" s="9" t="s">
        <v>249</v>
      </c>
      <c r="B124" s="9" t="n">
        <v>43153</v>
      </c>
      <c r="C124" s="9"/>
      <c r="D124" s="9" t="s">
        <v>83</v>
      </c>
      <c r="E124" s="9" t="s">
        <v>50</v>
      </c>
      <c r="F124" s="9" t="s">
        <v>39</v>
      </c>
      <c r="G124" s="9" t="s">
        <v>47</v>
      </c>
      <c r="H124" s="9"/>
      <c r="I124" s="9" t="s">
        <v>41</v>
      </c>
      <c r="J124" s="9" t="s">
        <v>40</v>
      </c>
      <c r="K124" s="9" t="n">
        <v>0</v>
      </c>
      <c r="L124" s="9" t="s">
        <v>42</v>
      </c>
      <c r="M124" s="9" t="s">
        <v>42</v>
      </c>
      <c r="N124" s="9" t="s">
        <v>42</v>
      </c>
      <c r="O124" s="9" t="s">
        <v>42</v>
      </c>
      <c r="P124" s="9" t="s">
        <v>42</v>
      </c>
      <c r="Q124" s="9" t="n">
        <v>0</v>
      </c>
      <c r="R124" s="9" t="s">
        <v>40</v>
      </c>
      <c r="S124" s="9"/>
    </row>
    <row r="125" customFormat="false" ht="15" hidden="false" customHeight="true" outlineLevel="0" collapsed="false">
      <c r="A125" s="9" t="s">
        <v>250</v>
      </c>
      <c r="B125" s="9" t="n">
        <v>96140</v>
      </c>
      <c r="C125" s="9" t="n">
        <v>58</v>
      </c>
      <c r="D125" s="9"/>
      <c r="E125" s="9" t="s">
        <v>44</v>
      </c>
      <c r="F125" s="9" t="s">
        <v>39</v>
      </c>
      <c r="G125" s="9" t="s">
        <v>40</v>
      </c>
      <c r="H125" s="9"/>
      <c r="I125" s="9" t="s">
        <v>41</v>
      </c>
      <c r="J125" s="9" t="s">
        <v>40</v>
      </c>
      <c r="K125" s="9" t="n">
        <v>0</v>
      </c>
      <c r="L125" s="9" t="s">
        <v>42</v>
      </c>
      <c r="M125" s="9" t="s">
        <v>42</v>
      </c>
      <c r="N125" s="9" t="s">
        <v>42</v>
      </c>
      <c r="O125" s="9" t="s">
        <v>42</v>
      </c>
      <c r="P125" s="9" t="s">
        <v>42</v>
      </c>
      <c r="Q125" s="9" t="n">
        <v>235</v>
      </c>
      <c r="R125" s="9" t="s">
        <v>47</v>
      </c>
      <c r="S125" s="9" t="s">
        <v>251</v>
      </c>
    </row>
    <row r="126" customFormat="false" ht="15" hidden="false" customHeight="true" outlineLevel="0" collapsed="false">
      <c r="A126" s="9" t="s">
        <v>252</v>
      </c>
      <c r="B126" s="9" t="n">
        <v>90265</v>
      </c>
      <c r="C126" s="9"/>
      <c r="D126" s="9"/>
      <c r="E126" s="9" t="s">
        <v>38</v>
      </c>
      <c r="F126" s="9" t="s">
        <v>39</v>
      </c>
      <c r="G126" s="9" t="s">
        <v>40</v>
      </c>
      <c r="H126" s="9" t="s">
        <v>177</v>
      </c>
      <c r="I126" s="9" t="s">
        <v>41</v>
      </c>
      <c r="J126" s="9" t="s">
        <v>40</v>
      </c>
      <c r="K126" s="9" t="n">
        <v>1</v>
      </c>
      <c r="L126" s="9" t="s">
        <v>42</v>
      </c>
      <c r="M126" s="9" t="s">
        <v>42</v>
      </c>
      <c r="N126" s="9" t="s">
        <v>42</v>
      </c>
      <c r="O126" s="9" t="s">
        <v>42</v>
      </c>
      <c r="P126" s="9" t="s">
        <v>42</v>
      </c>
      <c r="Q126" s="9" t="n">
        <v>0</v>
      </c>
      <c r="R126" s="9" t="s">
        <v>40</v>
      </c>
      <c r="S126" s="9"/>
    </row>
    <row r="127" customFormat="false" ht="15" hidden="false" customHeight="true" outlineLevel="0" collapsed="false">
      <c r="A127" s="9" t="s">
        <v>253</v>
      </c>
      <c r="B127" s="9" t="n">
        <v>14892</v>
      </c>
      <c r="C127" s="9"/>
      <c r="D127" s="9"/>
      <c r="E127" s="9" t="s">
        <v>38</v>
      </c>
      <c r="F127" s="9" t="s">
        <v>39</v>
      </c>
      <c r="G127" s="9" t="s">
        <v>40</v>
      </c>
      <c r="H127" s="9"/>
      <c r="I127" s="9" t="s">
        <v>41</v>
      </c>
      <c r="J127" s="9" t="s">
        <v>47</v>
      </c>
      <c r="K127" s="9" t="n">
        <v>5</v>
      </c>
      <c r="L127" s="9" t="s">
        <v>42</v>
      </c>
      <c r="M127" s="9" t="s">
        <v>42</v>
      </c>
      <c r="N127" s="9" t="s">
        <v>42</v>
      </c>
      <c r="O127" s="9" t="s">
        <v>42</v>
      </c>
      <c r="P127" s="9" t="s">
        <v>42</v>
      </c>
      <c r="Q127" s="9" t="n">
        <v>150</v>
      </c>
      <c r="R127" s="9" t="s">
        <v>47</v>
      </c>
      <c r="S127" s="9"/>
    </row>
    <row r="128" customFormat="false" ht="15" hidden="false" customHeight="true" outlineLevel="0" collapsed="false">
      <c r="A128" s="9" t="s">
        <v>254</v>
      </c>
      <c r="B128" s="9" t="n">
        <v>85216</v>
      </c>
      <c r="C128" s="9"/>
      <c r="D128" s="9"/>
      <c r="E128" s="9" t="s">
        <v>38</v>
      </c>
      <c r="F128" s="9" t="s">
        <v>54</v>
      </c>
      <c r="G128" s="9" t="s">
        <v>40</v>
      </c>
      <c r="H128" s="9"/>
      <c r="I128" s="9"/>
      <c r="J128" s="9" t="s">
        <v>40</v>
      </c>
      <c r="K128" s="9" t="n">
        <v>0</v>
      </c>
      <c r="L128" s="9" t="s">
        <v>42</v>
      </c>
      <c r="M128" s="9" t="s">
        <v>42</v>
      </c>
      <c r="N128" s="9" t="s">
        <v>42</v>
      </c>
      <c r="O128" s="9" t="s">
        <v>42</v>
      </c>
      <c r="P128" s="9" t="s">
        <v>42</v>
      </c>
      <c r="Q128" s="9" t="n">
        <v>0</v>
      </c>
      <c r="R128" s="9" t="s">
        <v>40</v>
      </c>
      <c r="S128" s="9"/>
    </row>
    <row r="129" customFormat="false" ht="15" hidden="false" customHeight="true" outlineLevel="0" collapsed="false">
      <c r="A129" s="9" t="s">
        <v>255</v>
      </c>
      <c r="B129" s="9" t="n">
        <v>90265</v>
      </c>
      <c r="C129" s="9"/>
      <c r="D129" s="9"/>
      <c r="E129" s="9" t="s">
        <v>38</v>
      </c>
      <c r="F129" s="9" t="s">
        <v>39</v>
      </c>
      <c r="G129" s="9" t="s">
        <v>47</v>
      </c>
      <c r="H129" s="9"/>
      <c r="I129" s="9" t="s">
        <v>41</v>
      </c>
      <c r="J129" s="9" t="s">
        <v>47</v>
      </c>
      <c r="K129" s="9" t="n">
        <v>3</v>
      </c>
      <c r="L129" s="9" t="s">
        <v>42</v>
      </c>
      <c r="M129" s="9" t="s">
        <v>42</v>
      </c>
      <c r="N129" s="9" t="s">
        <v>42</v>
      </c>
      <c r="O129" s="9" t="s">
        <v>42</v>
      </c>
      <c r="P129" s="9" t="s">
        <v>42</v>
      </c>
      <c r="Q129" s="9" t="n">
        <v>0</v>
      </c>
      <c r="R129" s="9" t="s">
        <v>40</v>
      </c>
      <c r="S129" s="9"/>
    </row>
    <row r="130" customFormat="false" ht="15" hidden="false" customHeight="true" outlineLevel="0" collapsed="false">
      <c r="A130" s="9" t="s">
        <v>256</v>
      </c>
      <c r="B130" s="9" t="n">
        <v>26610</v>
      </c>
      <c r="C130" s="9" t="n">
        <v>76</v>
      </c>
      <c r="D130" s="9"/>
      <c r="E130" s="9" t="s">
        <v>44</v>
      </c>
      <c r="F130" s="9" t="s">
        <v>39</v>
      </c>
      <c r="G130" s="9" t="s">
        <v>40</v>
      </c>
      <c r="H130" s="9"/>
      <c r="I130" s="9" t="s">
        <v>41</v>
      </c>
      <c r="J130" s="9" t="s">
        <v>40</v>
      </c>
      <c r="K130" s="9" t="n">
        <v>0</v>
      </c>
      <c r="L130" s="9" t="s">
        <v>42</v>
      </c>
      <c r="M130" s="9" t="s">
        <v>42</v>
      </c>
      <c r="N130" s="9" t="s">
        <v>42</v>
      </c>
      <c r="O130" s="9" t="s">
        <v>42</v>
      </c>
      <c r="P130" s="9" t="s">
        <v>257</v>
      </c>
      <c r="Q130" s="9" t="n">
        <v>2000</v>
      </c>
      <c r="R130" s="9" t="s">
        <v>47</v>
      </c>
      <c r="S130" s="9" t="s">
        <v>258</v>
      </c>
    </row>
    <row r="131" customFormat="false" ht="15" hidden="false" customHeight="true" outlineLevel="0" collapsed="false">
      <c r="A131" s="9" t="s">
        <v>259</v>
      </c>
      <c r="B131" s="9" t="n">
        <v>95564</v>
      </c>
      <c r="C131" s="9" t="n">
        <v>45</v>
      </c>
      <c r="D131" s="9"/>
      <c r="E131" s="9" t="s">
        <v>38</v>
      </c>
      <c r="F131" s="9" t="s">
        <v>39</v>
      </c>
      <c r="G131" s="9" t="s">
        <v>40</v>
      </c>
      <c r="H131" s="9"/>
      <c r="I131" s="9" t="s">
        <v>41</v>
      </c>
      <c r="J131" s="9" t="s">
        <v>40</v>
      </c>
      <c r="K131" s="9" t="n">
        <v>0</v>
      </c>
      <c r="L131" s="9" t="s">
        <v>42</v>
      </c>
      <c r="M131" s="9" t="s">
        <v>42</v>
      </c>
      <c r="N131" s="9" t="s">
        <v>42</v>
      </c>
      <c r="O131" s="9" t="s">
        <v>42</v>
      </c>
      <c r="P131" s="9" t="s">
        <v>42</v>
      </c>
      <c r="Q131" s="9" t="n">
        <v>225</v>
      </c>
      <c r="R131" s="9" t="s">
        <v>47</v>
      </c>
      <c r="S131" s="9" t="s">
        <v>260</v>
      </c>
    </row>
    <row r="132" customFormat="false" ht="15" hidden="false" customHeight="true" outlineLevel="0" collapsed="false">
      <c r="A132" s="9" t="s">
        <v>261</v>
      </c>
      <c r="B132" s="9" t="n">
        <v>36061</v>
      </c>
      <c r="C132" s="9"/>
      <c r="D132" s="9" t="s">
        <v>62</v>
      </c>
      <c r="E132" s="9" t="s">
        <v>38</v>
      </c>
      <c r="F132" s="9" t="s">
        <v>54</v>
      </c>
      <c r="G132" s="9" t="s">
        <v>40</v>
      </c>
      <c r="H132" s="9"/>
      <c r="I132" s="9" t="s">
        <v>41</v>
      </c>
      <c r="J132" s="9" t="s">
        <v>47</v>
      </c>
      <c r="K132" s="9" t="n">
        <v>34</v>
      </c>
      <c r="L132" s="9" t="s">
        <v>42</v>
      </c>
      <c r="M132" s="9" t="s">
        <v>42</v>
      </c>
      <c r="N132" s="9" t="s">
        <v>42</v>
      </c>
      <c r="O132" s="9" t="s">
        <v>42</v>
      </c>
      <c r="P132" s="9" t="s">
        <v>42</v>
      </c>
      <c r="Q132" s="9" t="n">
        <v>600</v>
      </c>
      <c r="R132" s="9" t="s">
        <v>47</v>
      </c>
      <c r="S132" s="9"/>
    </row>
    <row r="133" customFormat="false" ht="15" hidden="false" customHeight="true" outlineLevel="0" collapsed="false">
      <c r="A133" s="9" t="s">
        <v>262</v>
      </c>
      <c r="B133" s="9" t="n">
        <v>7969</v>
      </c>
      <c r="C133" s="9" t="n">
        <v>82</v>
      </c>
      <c r="D133" s="9"/>
      <c r="E133" s="9" t="s">
        <v>38</v>
      </c>
      <c r="F133" s="9" t="s">
        <v>39</v>
      </c>
      <c r="G133" s="9" t="s">
        <v>40</v>
      </c>
      <c r="H133" s="9"/>
      <c r="I133" s="9" t="s">
        <v>203</v>
      </c>
      <c r="J133" s="9" t="s">
        <v>47</v>
      </c>
      <c r="K133" s="9" t="n">
        <v>0</v>
      </c>
      <c r="L133" s="9" t="s">
        <v>42</v>
      </c>
      <c r="M133" s="9" t="s">
        <v>42</v>
      </c>
      <c r="N133" s="9" t="s">
        <v>42</v>
      </c>
      <c r="O133" s="9" t="s">
        <v>42</v>
      </c>
      <c r="P133" s="9" t="s">
        <v>42</v>
      </c>
      <c r="Q133" s="9" t="n">
        <v>25</v>
      </c>
      <c r="R133" s="9" t="s">
        <v>47</v>
      </c>
      <c r="S133" s="9" t="s">
        <v>263</v>
      </c>
    </row>
    <row r="134" customFormat="false" ht="15" hidden="false" customHeight="true" outlineLevel="0" collapsed="false">
      <c r="A134" s="9" t="s">
        <v>264</v>
      </c>
      <c r="B134" s="9" t="n">
        <v>47631</v>
      </c>
      <c r="C134" s="9"/>
      <c r="D134" s="9"/>
      <c r="E134" s="9" t="s">
        <v>38</v>
      </c>
      <c r="F134" s="9" t="s">
        <v>39</v>
      </c>
      <c r="G134" s="9" t="s">
        <v>40</v>
      </c>
      <c r="H134" s="9"/>
      <c r="I134" s="9" t="s">
        <v>41</v>
      </c>
      <c r="J134" s="9" t="s">
        <v>40</v>
      </c>
      <c r="K134" s="9" t="n">
        <v>2</v>
      </c>
      <c r="L134" s="9" t="s">
        <v>42</v>
      </c>
      <c r="M134" s="9" t="s">
        <v>42</v>
      </c>
      <c r="N134" s="9" t="s">
        <v>42</v>
      </c>
      <c r="O134" s="9" t="s">
        <v>42</v>
      </c>
      <c r="P134" s="9" t="s">
        <v>57</v>
      </c>
      <c r="Q134" s="9" t="n">
        <v>1</v>
      </c>
      <c r="R134" s="9" t="s">
        <v>47</v>
      </c>
      <c r="S134" s="9"/>
    </row>
    <row r="135" customFormat="false" ht="15" hidden="false" customHeight="true" outlineLevel="0" collapsed="false">
      <c r="A135" s="9" t="s">
        <v>265</v>
      </c>
      <c r="B135" s="9" t="n">
        <v>87931</v>
      </c>
      <c r="C135" s="9"/>
      <c r="D135" s="9" t="s">
        <v>62</v>
      </c>
      <c r="E135" s="9" t="s">
        <v>50</v>
      </c>
      <c r="F135" s="9" t="s">
        <v>39</v>
      </c>
      <c r="G135" s="9" t="s">
        <v>40</v>
      </c>
      <c r="H135" s="9"/>
      <c r="I135" s="9" t="s">
        <v>41</v>
      </c>
      <c r="J135" s="9" t="s">
        <v>40</v>
      </c>
      <c r="K135" s="9" t="n">
        <v>0</v>
      </c>
      <c r="L135" s="9" t="s">
        <v>42</v>
      </c>
      <c r="M135" s="9" t="s">
        <v>42</v>
      </c>
      <c r="N135" s="9" t="s">
        <v>42</v>
      </c>
      <c r="O135" s="9" t="s">
        <v>72</v>
      </c>
      <c r="P135" s="9" t="s">
        <v>42</v>
      </c>
      <c r="Q135" s="9" t="n">
        <v>50</v>
      </c>
      <c r="R135" s="9" t="s">
        <v>47</v>
      </c>
      <c r="S135" s="9"/>
    </row>
    <row r="136" customFormat="false" ht="15" hidden="false" customHeight="true" outlineLevel="0" collapsed="false">
      <c r="A136" s="9" t="s">
        <v>266</v>
      </c>
      <c r="B136" s="9" t="n">
        <v>43579</v>
      </c>
      <c r="C136" s="9"/>
      <c r="D136" s="9" t="s">
        <v>62</v>
      </c>
      <c r="E136" s="9" t="s">
        <v>38</v>
      </c>
      <c r="F136" s="9" t="s">
        <v>39</v>
      </c>
      <c r="G136" s="9" t="s">
        <v>40</v>
      </c>
      <c r="H136" s="9"/>
      <c r="I136" s="9" t="s">
        <v>41</v>
      </c>
      <c r="J136" s="9" t="s">
        <v>40</v>
      </c>
      <c r="K136" s="9" t="n">
        <v>0</v>
      </c>
      <c r="L136" s="9" t="s">
        <v>42</v>
      </c>
      <c r="M136" s="9" t="s">
        <v>42</v>
      </c>
      <c r="N136" s="9" t="s">
        <v>72</v>
      </c>
      <c r="O136" s="9" t="s">
        <v>267</v>
      </c>
      <c r="P136" s="9" t="s">
        <v>42</v>
      </c>
      <c r="Q136" s="9" t="n">
        <v>126</v>
      </c>
      <c r="R136" s="9" t="s">
        <v>47</v>
      </c>
      <c r="S136" s="9"/>
    </row>
    <row r="137" customFormat="false" ht="15" hidden="false" customHeight="true" outlineLevel="0" collapsed="false">
      <c r="A137" s="9" t="s">
        <v>268</v>
      </c>
      <c r="B137" s="9" t="n">
        <v>94253</v>
      </c>
      <c r="C137" s="9"/>
      <c r="D137" s="9"/>
      <c r="E137" s="9" t="s">
        <v>38</v>
      </c>
      <c r="F137" s="9" t="s">
        <v>54</v>
      </c>
      <c r="G137" s="9" t="s">
        <v>40</v>
      </c>
      <c r="H137" s="9"/>
      <c r="I137" s="9" t="s">
        <v>41</v>
      </c>
      <c r="J137" s="9" t="s">
        <v>40</v>
      </c>
      <c r="K137" s="9" t="n">
        <v>0</v>
      </c>
      <c r="L137" s="9" t="s">
        <v>42</v>
      </c>
      <c r="M137" s="9" t="s">
        <v>42</v>
      </c>
      <c r="N137" s="9" t="s">
        <v>42</v>
      </c>
      <c r="O137" s="9" t="s">
        <v>42</v>
      </c>
      <c r="P137" s="9" t="s">
        <v>42</v>
      </c>
      <c r="Q137" s="9" t="n">
        <v>65</v>
      </c>
      <c r="R137" s="9" t="s">
        <v>47</v>
      </c>
      <c r="S137" s="9"/>
    </row>
    <row r="138" customFormat="false" ht="15" hidden="false" customHeight="true" outlineLevel="0" collapsed="false">
      <c r="A138" s="9" t="s">
        <v>269</v>
      </c>
      <c r="B138" s="9" t="n">
        <v>26838</v>
      </c>
      <c r="C138" s="9" t="n">
        <v>31</v>
      </c>
      <c r="D138" s="9"/>
      <c r="E138" s="9" t="s">
        <v>38</v>
      </c>
      <c r="F138" s="9" t="s">
        <v>54</v>
      </c>
      <c r="G138" s="9" t="s">
        <v>47</v>
      </c>
      <c r="H138" s="9"/>
      <c r="I138" s="9" t="s">
        <v>41</v>
      </c>
      <c r="J138" s="9" t="s">
        <v>47</v>
      </c>
      <c r="K138" s="9" t="n">
        <v>2</v>
      </c>
      <c r="L138" s="9" t="s">
        <v>42</v>
      </c>
      <c r="M138" s="9" t="s">
        <v>42</v>
      </c>
      <c r="N138" s="9" t="s">
        <v>42</v>
      </c>
      <c r="O138" s="9" t="s">
        <v>42</v>
      </c>
      <c r="P138" s="9" t="s">
        <v>42</v>
      </c>
      <c r="Q138" s="9" t="n">
        <v>1000</v>
      </c>
      <c r="R138" s="9" t="s">
        <v>47</v>
      </c>
      <c r="S138" s="9" t="s">
        <v>270</v>
      </c>
    </row>
    <row r="139" customFormat="false" ht="15" hidden="false" customHeight="true" outlineLevel="0" collapsed="false">
      <c r="A139" s="9" t="s">
        <v>271</v>
      </c>
      <c r="B139" s="9" t="n">
        <v>72072</v>
      </c>
      <c r="C139" s="9"/>
      <c r="D139" s="9"/>
      <c r="E139" s="9" t="s">
        <v>44</v>
      </c>
      <c r="F139" s="9" t="s">
        <v>39</v>
      </c>
      <c r="G139" s="9" t="s">
        <v>40</v>
      </c>
      <c r="H139" s="9" t="s">
        <v>159</v>
      </c>
      <c r="I139" s="9" t="s">
        <v>41</v>
      </c>
      <c r="J139" s="9" t="s">
        <v>40</v>
      </c>
      <c r="K139" s="9" t="n">
        <v>2</v>
      </c>
      <c r="L139" s="9" t="s">
        <v>42</v>
      </c>
      <c r="M139" s="9" t="s">
        <v>42</v>
      </c>
      <c r="N139" s="9" t="s">
        <v>42</v>
      </c>
      <c r="O139" s="9" t="s">
        <v>42</v>
      </c>
      <c r="P139" s="9" t="s">
        <v>42</v>
      </c>
      <c r="Q139" s="9" t="n">
        <v>0</v>
      </c>
      <c r="R139" s="9" t="s">
        <v>40</v>
      </c>
      <c r="S139" s="9"/>
    </row>
    <row r="140" customFormat="false" ht="15" hidden="false" customHeight="true" outlineLevel="0" collapsed="false">
      <c r="A140" s="9" t="s">
        <v>272</v>
      </c>
      <c r="B140" s="9" t="n">
        <v>32439</v>
      </c>
      <c r="C140" s="9" t="n">
        <v>32</v>
      </c>
      <c r="D140" s="9"/>
      <c r="E140" s="9" t="s">
        <v>44</v>
      </c>
      <c r="F140" s="9" t="s">
        <v>54</v>
      </c>
      <c r="G140" s="9" t="s">
        <v>40</v>
      </c>
      <c r="H140" s="9"/>
      <c r="I140" s="9" t="s">
        <v>41</v>
      </c>
      <c r="J140" s="9" t="s">
        <v>47</v>
      </c>
      <c r="K140" s="9" t="n">
        <v>0</v>
      </c>
      <c r="L140" s="9" t="s">
        <v>42</v>
      </c>
      <c r="M140" s="9" t="s">
        <v>42</v>
      </c>
      <c r="N140" s="9" t="s">
        <v>42</v>
      </c>
      <c r="O140" s="9" t="s">
        <v>42</v>
      </c>
      <c r="P140" s="9" t="s">
        <v>42</v>
      </c>
      <c r="Q140" s="9" t="n">
        <v>75</v>
      </c>
      <c r="R140" s="9" t="s">
        <v>47</v>
      </c>
      <c r="S140" s="9" t="s">
        <v>273</v>
      </c>
    </row>
    <row r="141" customFormat="false" ht="15" hidden="false" customHeight="true" outlineLevel="0" collapsed="false">
      <c r="A141" s="9" t="s">
        <v>274</v>
      </c>
      <c r="B141" s="9" t="n">
        <v>95686</v>
      </c>
      <c r="C141" s="9"/>
      <c r="D141" s="9"/>
      <c r="E141" s="9" t="s">
        <v>38</v>
      </c>
      <c r="F141" s="9" t="s">
        <v>54</v>
      </c>
      <c r="G141" s="9" t="s">
        <v>40</v>
      </c>
      <c r="H141" s="9"/>
      <c r="I141" s="9"/>
      <c r="J141" s="9" t="s">
        <v>40</v>
      </c>
      <c r="K141" s="9" t="n">
        <v>0</v>
      </c>
      <c r="L141" s="9" t="s">
        <v>42</v>
      </c>
      <c r="M141" s="9" t="s">
        <v>42</v>
      </c>
      <c r="N141" s="9" t="s">
        <v>42</v>
      </c>
      <c r="O141" s="9" t="s">
        <v>42</v>
      </c>
      <c r="P141" s="9" t="s">
        <v>42</v>
      </c>
      <c r="Q141" s="9" t="n">
        <v>0</v>
      </c>
      <c r="R141" s="9" t="s">
        <v>40</v>
      </c>
      <c r="S141" s="9"/>
    </row>
    <row r="142" customFormat="false" ht="15" hidden="false" customHeight="true" outlineLevel="0" collapsed="false">
      <c r="A142" s="9" t="s">
        <v>275</v>
      </c>
      <c r="B142" s="9" t="n">
        <v>9532</v>
      </c>
      <c r="C142" s="9"/>
      <c r="D142" s="9"/>
      <c r="E142" s="9" t="s">
        <v>38</v>
      </c>
      <c r="F142" s="9" t="s">
        <v>39</v>
      </c>
      <c r="G142" s="9" t="s">
        <v>40</v>
      </c>
      <c r="H142" s="9"/>
      <c r="I142" s="9" t="s">
        <v>41</v>
      </c>
      <c r="J142" s="9" t="s">
        <v>47</v>
      </c>
      <c r="K142" s="9" t="n">
        <v>2</v>
      </c>
      <c r="L142" s="9" t="s">
        <v>42</v>
      </c>
      <c r="M142" s="9" t="s">
        <v>42</v>
      </c>
      <c r="N142" s="9" t="s">
        <v>42</v>
      </c>
      <c r="O142" s="9" t="s">
        <v>42</v>
      </c>
      <c r="P142" s="9" t="s">
        <v>42</v>
      </c>
      <c r="Q142" s="9" t="n">
        <v>0</v>
      </c>
      <c r="R142" s="9" t="s">
        <v>40</v>
      </c>
      <c r="S142" s="9"/>
    </row>
    <row r="143" customFormat="false" ht="15" hidden="false" customHeight="true" outlineLevel="0" collapsed="false">
      <c r="A143" s="9" t="s">
        <v>276</v>
      </c>
      <c r="B143" s="9" t="n">
        <v>8001</v>
      </c>
      <c r="C143" s="9"/>
      <c r="D143" s="9" t="s">
        <v>62</v>
      </c>
      <c r="E143" s="9" t="s">
        <v>44</v>
      </c>
      <c r="F143" s="9" t="s">
        <v>39</v>
      </c>
      <c r="G143" s="9" t="s">
        <v>40</v>
      </c>
      <c r="H143" s="9"/>
      <c r="I143" s="9" t="s">
        <v>41</v>
      </c>
      <c r="J143" s="9" t="s">
        <v>40</v>
      </c>
      <c r="K143" s="9" t="n">
        <v>1</v>
      </c>
      <c r="L143" s="9" t="s">
        <v>42</v>
      </c>
      <c r="M143" s="9" t="s">
        <v>42</v>
      </c>
      <c r="N143" s="9" t="s">
        <v>42</v>
      </c>
      <c r="O143" s="9" t="s">
        <v>42</v>
      </c>
      <c r="P143" s="9" t="s">
        <v>42</v>
      </c>
      <c r="Q143" s="9" t="n">
        <v>25</v>
      </c>
      <c r="R143" s="9" t="s">
        <v>47</v>
      </c>
      <c r="S143" s="9"/>
    </row>
    <row r="144" customFormat="false" ht="15" hidden="false" customHeight="true" outlineLevel="0" collapsed="false">
      <c r="A144" s="9" t="s">
        <v>277</v>
      </c>
      <c r="B144" s="9" t="n">
        <v>73601</v>
      </c>
      <c r="C144" s="9"/>
      <c r="D144" s="9" t="s">
        <v>83</v>
      </c>
      <c r="E144" s="9" t="s">
        <v>38</v>
      </c>
      <c r="F144" s="9" t="s">
        <v>39</v>
      </c>
      <c r="G144" s="9" t="s">
        <v>40</v>
      </c>
      <c r="H144" s="9"/>
      <c r="I144" s="9" t="s">
        <v>41</v>
      </c>
      <c r="J144" s="9" t="s">
        <v>40</v>
      </c>
      <c r="K144" s="9" t="n">
        <v>3</v>
      </c>
      <c r="L144" s="9" t="s">
        <v>42</v>
      </c>
      <c r="M144" s="9" t="s">
        <v>42</v>
      </c>
      <c r="N144" s="9" t="s">
        <v>42</v>
      </c>
      <c r="O144" s="9" t="s">
        <v>42</v>
      </c>
      <c r="P144" s="9" t="s">
        <v>42</v>
      </c>
      <c r="Q144" s="9" t="n">
        <v>0</v>
      </c>
      <c r="R144" s="9" t="s">
        <v>40</v>
      </c>
      <c r="S144" s="9"/>
    </row>
    <row r="145" customFormat="false" ht="15" hidden="false" customHeight="true" outlineLevel="0" collapsed="false">
      <c r="A145" s="9" t="s">
        <v>278</v>
      </c>
      <c r="B145" s="9" t="n">
        <v>4066</v>
      </c>
      <c r="C145" s="9"/>
      <c r="D145" s="9" t="s">
        <v>62</v>
      </c>
      <c r="E145" s="9" t="s">
        <v>44</v>
      </c>
      <c r="F145" s="9" t="s">
        <v>45</v>
      </c>
      <c r="G145" s="9" t="s">
        <v>40</v>
      </c>
      <c r="H145" s="9"/>
      <c r="I145" s="9" t="s">
        <v>41</v>
      </c>
      <c r="J145" s="9" t="s">
        <v>47</v>
      </c>
      <c r="K145" s="9" t="n">
        <v>0</v>
      </c>
      <c r="L145" s="9" t="s">
        <v>42</v>
      </c>
      <c r="M145" s="9" t="s">
        <v>42</v>
      </c>
      <c r="N145" s="9" t="s">
        <v>42</v>
      </c>
      <c r="O145" s="9" t="s">
        <v>42</v>
      </c>
      <c r="P145" s="9" t="s">
        <v>42</v>
      </c>
      <c r="Q145" s="9" t="n">
        <v>20</v>
      </c>
      <c r="R145" s="9" t="s">
        <v>47</v>
      </c>
      <c r="S145" s="9"/>
    </row>
    <row r="146" customFormat="false" ht="15" hidden="false" customHeight="true" outlineLevel="0" collapsed="false">
      <c r="A146" s="9" t="s">
        <v>279</v>
      </c>
      <c r="B146" s="9" t="n">
        <v>92273</v>
      </c>
      <c r="C146" s="9"/>
      <c r="D146" s="9"/>
      <c r="E146" s="9" t="s">
        <v>44</v>
      </c>
      <c r="F146" s="9" t="s">
        <v>39</v>
      </c>
      <c r="G146" s="9" t="s">
        <v>40</v>
      </c>
      <c r="H146" s="9"/>
      <c r="I146" s="9" t="s">
        <v>41</v>
      </c>
      <c r="J146" s="9" t="s">
        <v>40</v>
      </c>
      <c r="K146" s="9" t="n">
        <v>1</v>
      </c>
      <c r="L146" s="9" t="s">
        <v>42</v>
      </c>
      <c r="M146" s="9" t="s">
        <v>171</v>
      </c>
      <c r="N146" s="9" t="s">
        <v>42</v>
      </c>
      <c r="O146" s="9" t="s">
        <v>42</v>
      </c>
      <c r="P146" s="9" t="s">
        <v>42</v>
      </c>
      <c r="Q146" s="9" t="n">
        <v>15</v>
      </c>
      <c r="R146" s="9" t="s">
        <v>47</v>
      </c>
      <c r="S146" s="9"/>
    </row>
    <row r="147" customFormat="false" ht="15" hidden="false" customHeight="true" outlineLevel="0" collapsed="false">
      <c r="A147" s="9" t="s">
        <v>280</v>
      </c>
      <c r="B147" s="9" t="n">
        <v>21071</v>
      </c>
      <c r="C147" s="9"/>
      <c r="D147" s="9"/>
      <c r="E147" s="9" t="s">
        <v>38</v>
      </c>
      <c r="F147" s="9" t="s">
        <v>39</v>
      </c>
      <c r="G147" s="9" t="s">
        <v>40</v>
      </c>
      <c r="H147" s="9"/>
      <c r="I147" s="9" t="s">
        <v>41</v>
      </c>
      <c r="J147" s="9" t="s">
        <v>40</v>
      </c>
      <c r="K147" s="9" t="n">
        <v>5</v>
      </c>
      <c r="L147" s="9" t="s">
        <v>42</v>
      </c>
      <c r="M147" s="9" t="s">
        <v>42</v>
      </c>
      <c r="N147" s="9" t="s">
        <v>281</v>
      </c>
      <c r="O147" s="9" t="s">
        <v>42</v>
      </c>
      <c r="P147" s="9" t="s">
        <v>42</v>
      </c>
      <c r="Q147" s="9" t="n">
        <v>30</v>
      </c>
      <c r="R147" s="9" t="s">
        <v>47</v>
      </c>
      <c r="S147" s="9"/>
    </row>
    <row r="148" customFormat="false" ht="15" hidden="false" customHeight="true" outlineLevel="0" collapsed="false">
      <c r="A148" s="9" t="s">
        <v>282</v>
      </c>
      <c r="B148" s="9" t="n">
        <v>75211</v>
      </c>
      <c r="C148" s="9"/>
      <c r="D148" s="9"/>
      <c r="E148" s="9" t="s">
        <v>44</v>
      </c>
      <c r="F148" s="9" t="s">
        <v>39</v>
      </c>
      <c r="G148" s="9" t="s">
        <v>40</v>
      </c>
      <c r="H148" s="9"/>
      <c r="I148" s="9" t="s">
        <v>41</v>
      </c>
      <c r="J148" s="9" t="s">
        <v>40</v>
      </c>
      <c r="K148" s="9" t="n">
        <v>1</v>
      </c>
      <c r="L148" s="9" t="s">
        <v>42</v>
      </c>
      <c r="M148" s="9" t="s">
        <v>42</v>
      </c>
      <c r="N148" s="9" t="s">
        <v>42</v>
      </c>
      <c r="O148" s="9" t="s">
        <v>42</v>
      </c>
      <c r="P148" s="9" t="s">
        <v>42</v>
      </c>
      <c r="Q148" s="9" t="n">
        <v>0</v>
      </c>
      <c r="R148" s="9" t="s">
        <v>40</v>
      </c>
      <c r="S148" s="9"/>
    </row>
    <row r="149" customFormat="false" ht="15" hidden="false" customHeight="true" outlineLevel="0" collapsed="false">
      <c r="A149" s="9" t="s">
        <v>283</v>
      </c>
      <c r="B149" s="9" t="n">
        <v>85601</v>
      </c>
      <c r="C149" s="9" t="n">
        <v>30</v>
      </c>
      <c r="D149" s="9"/>
      <c r="E149" s="9" t="s">
        <v>44</v>
      </c>
      <c r="F149" s="9" t="s">
        <v>54</v>
      </c>
      <c r="G149" s="9" t="s">
        <v>47</v>
      </c>
      <c r="H149" s="9"/>
      <c r="I149" s="9" t="s">
        <v>41</v>
      </c>
      <c r="J149" s="9" t="s">
        <v>47</v>
      </c>
      <c r="K149" s="9" t="n">
        <v>1</v>
      </c>
      <c r="L149" s="9" t="s">
        <v>42</v>
      </c>
      <c r="M149" s="9" t="s">
        <v>42</v>
      </c>
      <c r="N149" s="9" t="s">
        <v>42</v>
      </c>
      <c r="O149" s="9" t="s">
        <v>57</v>
      </c>
      <c r="P149" s="9" t="s">
        <v>89</v>
      </c>
      <c r="Q149" s="9" t="n">
        <v>51</v>
      </c>
      <c r="R149" s="9" t="s">
        <v>47</v>
      </c>
      <c r="S149" s="9" t="s">
        <v>284</v>
      </c>
    </row>
    <row r="150" customFormat="false" ht="15" hidden="false" customHeight="true" outlineLevel="0" collapsed="false">
      <c r="A150" s="9" t="s">
        <v>285</v>
      </c>
      <c r="B150" s="9" t="n">
        <v>90265</v>
      </c>
      <c r="C150" s="9"/>
      <c r="D150" s="9"/>
      <c r="E150" s="9" t="s">
        <v>44</v>
      </c>
      <c r="F150" s="9" t="s">
        <v>201</v>
      </c>
      <c r="G150" s="9" t="s">
        <v>40</v>
      </c>
      <c r="H150" s="9"/>
      <c r="I150" s="9" t="s">
        <v>41</v>
      </c>
      <c r="J150" s="9" t="s">
        <v>40</v>
      </c>
      <c r="K150" s="9" t="n">
        <v>2</v>
      </c>
      <c r="L150" s="9" t="s">
        <v>42</v>
      </c>
      <c r="M150" s="9" t="s">
        <v>42</v>
      </c>
      <c r="N150" s="9" t="s">
        <v>42</v>
      </c>
      <c r="O150" s="9" t="s">
        <v>42</v>
      </c>
      <c r="P150" s="9" t="s">
        <v>42</v>
      </c>
      <c r="Q150" s="9" t="n">
        <v>180</v>
      </c>
      <c r="R150" s="9" t="s">
        <v>47</v>
      </c>
      <c r="S150" s="9"/>
    </row>
    <row r="151" customFormat="false" ht="15" hidden="false" customHeight="true" outlineLevel="0" collapsed="false">
      <c r="A151" s="9" t="s">
        <v>286</v>
      </c>
      <c r="B151" s="9" t="n">
        <v>14486</v>
      </c>
      <c r="C151" s="9"/>
      <c r="D151" s="9" t="s">
        <v>83</v>
      </c>
      <c r="E151" s="9" t="s">
        <v>50</v>
      </c>
      <c r="F151" s="9" t="s">
        <v>39</v>
      </c>
      <c r="G151" s="9" t="s">
        <v>47</v>
      </c>
      <c r="H151" s="9"/>
      <c r="I151" s="9" t="s">
        <v>41</v>
      </c>
      <c r="J151" s="9" t="s">
        <v>40</v>
      </c>
      <c r="K151" s="9" t="n">
        <v>0</v>
      </c>
      <c r="L151" s="9" t="s">
        <v>42</v>
      </c>
      <c r="M151" s="9" t="s">
        <v>42</v>
      </c>
      <c r="N151" s="9" t="s">
        <v>42</v>
      </c>
      <c r="O151" s="9" t="s">
        <v>42</v>
      </c>
      <c r="P151" s="9" t="s">
        <v>42</v>
      </c>
      <c r="Q151" s="9" t="n">
        <v>25</v>
      </c>
      <c r="R151" s="9" t="s">
        <v>47</v>
      </c>
      <c r="S151" s="9"/>
    </row>
    <row r="152" customFormat="false" ht="15" hidden="false" customHeight="true" outlineLevel="0" collapsed="false">
      <c r="A152" s="9" t="s">
        <v>287</v>
      </c>
      <c r="B152" s="9" t="n">
        <v>72641</v>
      </c>
      <c r="C152" s="9"/>
      <c r="D152" s="9"/>
      <c r="E152" s="9" t="s">
        <v>38</v>
      </c>
      <c r="F152" s="9" t="s">
        <v>39</v>
      </c>
      <c r="G152" s="9" t="s">
        <v>40</v>
      </c>
      <c r="H152" s="9" t="s">
        <v>226</v>
      </c>
      <c r="I152" s="9" t="s">
        <v>46</v>
      </c>
      <c r="J152" s="9" t="s">
        <v>40</v>
      </c>
      <c r="K152" s="9" t="n">
        <v>1</v>
      </c>
      <c r="L152" s="9" t="s">
        <v>42</v>
      </c>
      <c r="M152" s="9" t="s">
        <v>42</v>
      </c>
      <c r="N152" s="9" t="s">
        <v>42</v>
      </c>
      <c r="O152" s="9" t="s">
        <v>42</v>
      </c>
      <c r="P152" s="9" t="s">
        <v>42</v>
      </c>
      <c r="Q152" s="9" t="n">
        <v>0</v>
      </c>
      <c r="R152" s="9" t="s">
        <v>40</v>
      </c>
      <c r="S152" s="9"/>
    </row>
    <row r="153" customFormat="false" ht="15" hidden="false" customHeight="true" outlineLevel="0" collapsed="false">
      <c r="A153" s="9" t="s">
        <v>288</v>
      </c>
      <c r="B153" s="9" t="n">
        <v>27543</v>
      </c>
      <c r="C153" s="9"/>
      <c r="D153" s="9" t="s">
        <v>62</v>
      </c>
      <c r="E153" s="9" t="s">
        <v>38</v>
      </c>
      <c r="F153" s="9" t="s">
        <v>39</v>
      </c>
      <c r="G153" s="9" t="s">
        <v>40</v>
      </c>
      <c r="H153" s="9"/>
      <c r="I153" s="9" t="s">
        <v>41</v>
      </c>
      <c r="J153" s="9" t="s">
        <v>40</v>
      </c>
      <c r="K153" s="9" t="n">
        <v>1</v>
      </c>
      <c r="L153" s="9" t="s">
        <v>42</v>
      </c>
      <c r="M153" s="9" t="s">
        <v>42</v>
      </c>
      <c r="N153" s="9" t="s">
        <v>42</v>
      </c>
      <c r="O153" s="9" t="s">
        <v>42</v>
      </c>
      <c r="P153" s="9" t="s">
        <v>42</v>
      </c>
      <c r="Q153" s="9" t="n">
        <v>0</v>
      </c>
      <c r="R153" s="9" t="s">
        <v>40</v>
      </c>
      <c r="S153" s="9"/>
    </row>
    <row r="154" customFormat="false" ht="15" hidden="false" customHeight="true" outlineLevel="0" collapsed="false">
      <c r="A154" s="9" t="s">
        <v>289</v>
      </c>
      <c r="B154" s="9" t="n">
        <v>11713</v>
      </c>
      <c r="C154" s="9"/>
      <c r="D154" s="9"/>
      <c r="E154" s="9" t="s">
        <v>38</v>
      </c>
      <c r="F154" s="9" t="s">
        <v>39</v>
      </c>
      <c r="G154" s="9" t="s">
        <v>40</v>
      </c>
      <c r="H154" s="9"/>
      <c r="I154" s="9" t="s">
        <v>41</v>
      </c>
      <c r="J154" s="9" t="s">
        <v>40</v>
      </c>
      <c r="K154" s="9" t="n">
        <v>1</v>
      </c>
      <c r="L154" s="9" t="s">
        <v>42</v>
      </c>
      <c r="M154" s="9" t="s">
        <v>42</v>
      </c>
      <c r="N154" s="9" t="s">
        <v>42</v>
      </c>
      <c r="O154" s="9" t="s">
        <v>42</v>
      </c>
      <c r="P154" s="9" t="s">
        <v>42</v>
      </c>
      <c r="Q154" s="9" t="n">
        <v>0</v>
      </c>
      <c r="R154" s="9" t="s">
        <v>40</v>
      </c>
      <c r="S154" s="9"/>
    </row>
    <row r="155" customFormat="false" ht="15" hidden="false" customHeight="true" outlineLevel="0" collapsed="false">
      <c r="A155" s="9" t="s">
        <v>290</v>
      </c>
      <c r="B155" s="9" t="n">
        <v>52040</v>
      </c>
      <c r="C155" s="9"/>
      <c r="D155" s="9"/>
      <c r="E155" s="9" t="s">
        <v>44</v>
      </c>
      <c r="F155" s="9" t="s">
        <v>39</v>
      </c>
      <c r="G155" s="9" t="s">
        <v>40</v>
      </c>
      <c r="H155" s="9"/>
      <c r="I155" s="9" t="s">
        <v>66</v>
      </c>
      <c r="J155" s="9" t="s">
        <v>40</v>
      </c>
      <c r="K155" s="9" t="n">
        <v>1</v>
      </c>
      <c r="L155" s="9" t="s">
        <v>42</v>
      </c>
      <c r="M155" s="9" t="s">
        <v>42</v>
      </c>
      <c r="N155" s="9" t="s">
        <v>89</v>
      </c>
      <c r="O155" s="9" t="s">
        <v>42</v>
      </c>
      <c r="P155" s="9" t="s">
        <v>42</v>
      </c>
      <c r="Q155" s="9" t="n">
        <v>250</v>
      </c>
      <c r="R155" s="9" t="s">
        <v>47</v>
      </c>
      <c r="S155" s="9"/>
    </row>
    <row r="156" customFormat="false" ht="15" hidden="false" customHeight="true" outlineLevel="0" collapsed="false">
      <c r="A156" s="9" t="s">
        <v>291</v>
      </c>
      <c r="B156" s="9" t="n">
        <v>38040</v>
      </c>
      <c r="C156" s="9"/>
      <c r="D156" s="9"/>
      <c r="E156" s="9" t="s">
        <v>44</v>
      </c>
      <c r="F156" s="9" t="s">
        <v>39</v>
      </c>
      <c r="G156" s="9" t="s">
        <v>40</v>
      </c>
      <c r="H156" s="9"/>
      <c r="I156" s="9" t="s">
        <v>41</v>
      </c>
      <c r="J156" s="9" t="s">
        <v>40</v>
      </c>
      <c r="K156" s="9" t="n">
        <v>0</v>
      </c>
      <c r="L156" s="9" t="s">
        <v>42</v>
      </c>
      <c r="M156" s="9" t="s">
        <v>63</v>
      </c>
      <c r="N156" s="9" t="s">
        <v>42</v>
      </c>
      <c r="O156" s="9" t="s">
        <v>42</v>
      </c>
      <c r="P156" s="9" t="s">
        <v>42</v>
      </c>
      <c r="Q156" s="9" t="n">
        <v>100</v>
      </c>
      <c r="R156" s="9" t="s">
        <v>47</v>
      </c>
      <c r="S156" s="9"/>
    </row>
    <row r="157" customFormat="false" ht="15" hidden="false" customHeight="true" outlineLevel="0" collapsed="false">
      <c r="A157" s="9" t="s">
        <v>292</v>
      </c>
      <c r="B157" s="9" t="n">
        <v>58074</v>
      </c>
      <c r="C157" s="9" t="n">
        <v>32</v>
      </c>
      <c r="D157" s="9"/>
      <c r="E157" s="9" t="s">
        <v>44</v>
      </c>
      <c r="F157" s="9" t="s">
        <v>54</v>
      </c>
      <c r="G157" s="9" t="s">
        <v>47</v>
      </c>
      <c r="H157" s="9"/>
      <c r="I157" s="9" t="s">
        <v>41</v>
      </c>
      <c r="J157" s="9" t="s">
        <v>47</v>
      </c>
      <c r="K157" s="9" t="n">
        <v>1</v>
      </c>
      <c r="L157" s="9" t="s">
        <v>293</v>
      </c>
      <c r="M157" s="9" t="s">
        <v>42</v>
      </c>
      <c r="N157" s="9" t="s">
        <v>42</v>
      </c>
      <c r="O157" s="9" t="s">
        <v>42</v>
      </c>
      <c r="P157" s="9" t="s">
        <v>42</v>
      </c>
      <c r="Q157" s="9" t="n">
        <v>10</v>
      </c>
      <c r="R157" s="9" t="s">
        <v>47</v>
      </c>
      <c r="S157" s="9" t="s">
        <v>294</v>
      </c>
    </row>
    <row r="158" customFormat="false" ht="15" hidden="false" customHeight="true" outlineLevel="0" collapsed="false">
      <c r="A158" s="9" t="s">
        <v>295</v>
      </c>
      <c r="B158" s="9" t="n">
        <v>44233</v>
      </c>
      <c r="C158" s="9" t="n">
        <v>31</v>
      </c>
      <c r="D158" s="9"/>
      <c r="E158" s="9" t="s">
        <v>38</v>
      </c>
      <c r="F158" s="9" t="s">
        <v>39</v>
      </c>
      <c r="G158" s="9" t="s">
        <v>40</v>
      </c>
      <c r="H158" s="9"/>
      <c r="I158" s="9" t="s">
        <v>41</v>
      </c>
      <c r="J158" s="9" t="s">
        <v>40</v>
      </c>
      <c r="K158" s="9" t="n">
        <v>0</v>
      </c>
      <c r="L158" s="9" t="s">
        <v>42</v>
      </c>
      <c r="M158" s="9" t="s">
        <v>42</v>
      </c>
      <c r="N158" s="9" t="s">
        <v>42</v>
      </c>
      <c r="O158" s="9" t="s">
        <v>42</v>
      </c>
      <c r="P158" s="9" t="s">
        <v>42</v>
      </c>
      <c r="Q158" s="9" t="n">
        <v>450</v>
      </c>
      <c r="R158" s="9" t="s">
        <v>47</v>
      </c>
      <c r="S158" s="9" t="s">
        <v>296</v>
      </c>
    </row>
    <row r="159" customFormat="false" ht="15" hidden="false" customHeight="true" outlineLevel="0" collapsed="false">
      <c r="A159" s="9" t="s">
        <v>297</v>
      </c>
      <c r="B159" s="9" t="n">
        <v>50170</v>
      </c>
      <c r="C159" s="9" t="n">
        <v>24</v>
      </c>
      <c r="D159" s="9"/>
      <c r="E159" s="9" t="s">
        <v>44</v>
      </c>
      <c r="F159" s="9" t="s">
        <v>54</v>
      </c>
      <c r="G159" s="9" t="s">
        <v>47</v>
      </c>
      <c r="H159" s="9"/>
      <c r="I159" s="9" t="s">
        <v>41</v>
      </c>
      <c r="J159" s="9" t="s">
        <v>47</v>
      </c>
      <c r="K159" s="9" t="n">
        <v>4</v>
      </c>
      <c r="L159" s="9" t="s">
        <v>42</v>
      </c>
      <c r="M159" s="9" t="s">
        <v>87</v>
      </c>
      <c r="N159" s="9" t="s">
        <v>89</v>
      </c>
      <c r="O159" s="9" t="s">
        <v>42</v>
      </c>
      <c r="P159" s="9" t="s">
        <v>42</v>
      </c>
      <c r="Q159" s="9" t="n">
        <v>270</v>
      </c>
      <c r="R159" s="9" t="s">
        <v>47</v>
      </c>
      <c r="S159" s="9" t="s">
        <v>298</v>
      </c>
    </row>
    <row r="160" customFormat="false" ht="15" hidden="false" customHeight="true" outlineLevel="0" collapsed="false">
      <c r="A160" s="9" t="s">
        <v>299</v>
      </c>
      <c r="B160" s="9" t="n">
        <v>90265</v>
      </c>
      <c r="C160" s="9"/>
      <c r="D160" s="9"/>
      <c r="E160" s="9" t="s">
        <v>44</v>
      </c>
      <c r="F160" s="9" t="s">
        <v>201</v>
      </c>
      <c r="G160" s="9" t="s">
        <v>40</v>
      </c>
      <c r="H160" s="9"/>
      <c r="I160" s="9" t="s">
        <v>41</v>
      </c>
      <c r="J160" s="9" t="s">
        <v>40</v>
      </c>
      <c r="K160" s="9" t="n">
        <v>2</v>
      </c>
      <c r="L160" s="9" t="s">
        <v>42</v>
      </c>
      <c r="M160" s="9" t="s">
        <v>42</v>
      </c>
      <c r="N160" s="9" t="s">
        <v>42</v>
      </c>
      <c r="O160" s="9" t="s">
        <v>42</v>
      </c>
      <c r="P160" s="9" t="s">
        <v>42</v>
      </c>
      <c r="Q160" s="9" t="n">
        <v>105</v>
      </c>
      <c r="R160" s="9" t="s">
        <v>47</v>
      </c>
      <c r="S160" s="9"/>
    </row>
    <row r="161" customFormat="false" ht="15" hidden="false" customHeight="true" outlineLevel="0" collapsed="false">
      <c r="A161" s="9" t="s">
        <v>300</v>
      </c>
      <c r="B161" s="9" t="n">
        <v>52154</v>
      </c>
      <c r="C161" s="9" t="n">
        <v>27</v>
      </c>
      <c r="D161" s="9"/>
      <c r="E161" s="9" t="s">
        <v>44</v>
      </c>
      <c r="F161" s="9" t="s">
        <v>54</v>
      </c>
      <c r="G161" s="9" t="s">
        <v>47</v>
      </c>
      <c r="H161" s="9"/>
      <c r="I161" s="9" t="s">
        <v>41</v>
      </c>
      <c r="J161" s="9" t="s">
        <v>47</v>
      </c>
      <c r="K161" s="9" t="n">
        <v>0</v>
      </c>
      <c r="L161" s="9" t="s">
        <v>42</v>
      </c>
      <c r="M161" s="9" t="s">
        <v>42</v>
      </c>
      <c r="N161" s="9" t="s">
        <v>42</v>
      </c>
      <c r="O161" s="9" t="s">
        <v>42</v>
      </c>
      <c r="P161" s="9" t="s">
        <v>42</v>
      </c>
      <c r="Q161" s="9" t="n">
        <v>0</v>
      </c>
      <c r="R161" s="9" t="s">
        <v>40</v>
      </c>
      <c r="S161" s="9" t="s">
        <v>301</v>
      </c>
    </row>
    <row r="162" customFormat="false" ht="15" hidden="false" customHeight="true" outlineLevel="0" collapsed="false">
      <c r="A162" s="9" t="s">
        <v>302</v>
      </c>
      <c r="B162" s="9" t="n">
        <v>6470</v>
      </c>
      <c r="C162" s="9" t="n">
        <v>40</v>
      </c>
      <c r="D162" s="9"/>
      <c r="E162" s="9" t="s">
        <v>38</v>
      </c>
      <c r="F162" s="9" t="s">
        <v>39</v>
      </c>
      <c r="G162" s="9" t="s">
        <v>40</v>
      </c>
      <c r="H162" s="9"/>
      <c r="I162" s="9" t="s">
        <v>41</v>
      </c>
      <c r="J162" s="9" t="s">
        <v>40</v>
      </c>
      <c r="K162" s="9" t="n">
        <v>0</v>
      </c>
      <c r="L162" s="9" t="s">
        <v>42</v>
      </c>
      <c r="M162" s="9" t="s">
        <v>42</v>
      </c>
      <c r="N162" s="9" t="s">
        <v>42</v>
      </c>
      <c r="O162" s="9" t="s">
        <v>42</v>
      </c>
      <c r="P162" s="9" t="s">
        <v>42</v>
      </c>
      <c r="Q162" s="9" t="n">
        <v>0</v>
      </c>
      <c r="R162" s="9" t="s">
        <v>40</v>
      </c>
      <c r="S162" s="9" t="s">
        <v>303</v>
      </c>
    </row>
    <row r="163" customFormat="false" ht="15" hidden="false" customHeight="true" outlineLevel="0" collapsed="false">
      <c r="A163" s="9" t="s">
        <v>304</v>
      </c>
      <c r="B163" s="9" t="n">
        <v>85027</v>
      </c>
      <c r="C163" s="9"/>
      <c r="D163" s="9"/>
      <c r="E163" s="9" t="s">
        <v>38</v>
      </c>
      <c r="F163" s="9" t="s">
        <v>39</v>
      </c>
      <c r="G163" s="9" t="s">
        <v>40</v>
      </c>
      <c r="H163" s="9"/>
      <c r="I163" s="9" t="s">
        <v>41</v>
      </c>
      <c r="J163" s="9" t="s">
        <v>47</v>
      </c>
      <c r="K163" s="9" t="n">
        <v>1</v>
      </c>
      <c r="L163" s="9" t="s">
        <v>42</v>
      </c>
      <c r="M163" s="9" t="s">
        <v>42</v>
      </c>
      <c r="N163" s="9" t="s">
        <v>42</v>
      </c>
      <c r="O163" s="9" t="s">
        <v>42</v>
      </c>
      <c r="P163" s="9" t="s">
        <v>42</v>
      </c>
      <c r="Q163" s="9" t="n">
        <v>15</v>
      </c>
      <c r="R163" s="9" t="s">
        <v>47</v>
      </c>
      <c r="S163" s="9"/>
    </row>
    <row r="164" customFormat="false" ht="15" hidden="false" customHeight="true" outlineLevel="0" collapsed="false">
      <c r="A164" s="9" t="s">
        <v>305</v>
      </c>
      <c r="B164" s="9" t="n">
        <v>94135</v>
      </c>
      <c r="C164" s="9" t="n">
        <v>43</v>
      </c>
      <c r="D164" s="9"/>
      <c r="E164" s="9" t="s">
        <v>38</v>
      </c>
      <c r="F164" s="9" t="s">
        <v>39</v>
      </c>
      <c r="G164" s="9" t="s">
        <v>40</v>
      </c>
      <c r="H164" s="9"/>
      <c r="I164" s="9" t="s">
        <v>41</v>
      </c>
      <c r="J164" s="9" t="s">
        <v>40</v>
      </c>
      <c r="K164" s="9" t="n">
        <v>0</v>
      </c>
      <c r="L164" s="9" t="s">
        <v>42</v>
      </c>
      <c r="M164" s="9" t="s">
        <v>42</v>
      </c>
      <c r="N164" s="9" t="s">
        <v>42</v>
      </c>
      <c r="O164" s="9" t="s">
        <v>42</v>
      </c>
      <c r="P164" s="9" t="s">
        <v>42</v>
      </c>
      <c r="Q164" s="9" t="n">
        <v>15</v>
      </c>
      <c r="R164" s="9" t="s">
        <v>47</v>
      </c>
      <c r="S164" s="9" t="s">
        <v>306</v>
      </c>
    </row>
    <row r="165" customFormat="false" ht="15" hidden="false" customHeight="true" outlineLevel="0" collapsed="false">
      <c r="A165" s="9" t="s">
        <v>307</v>
      </c>
      <c r="B165" s="9" t="n">
        <v>88554</v>
      </c>
      <c r="C165" s="9"/>
      <c r="D165" s="9"/>
      <c r="E165" s="9" t="s">
        <v>38</v>
      </c>
      <c r="F165" s="9" t="s">
        <v>39</v>
      </c>
      <c r="G165" s="9" t="s">
        <v>47</v>
      </c>
      <c r="H165" s="9"/>
      <c r="I165" s="9" t="s">
        <v>41</v>
      </c>
      <c r="J165" s="9" t="s">
        <v>40</v>
      </c>
      <c r="K165" s="9" t="n">
        <v>1</v>
      </c>
      <c r="L165" s="9" t="s">
        <v>42</v>
      </c>
      <c r="M165" s="9" t="s">
        <v>42</v>
      </c>
      <c r="N165" s="9" t="s">
        <v>42</v>
      </c>
      <c r="O165" s="9" t="s">
        <v>42</v>
      </c>
      <c r="P165" s="9" t="s">
        <v>42</v>
      </c>
      <c r="Q165" s="9" t="n">
        <v>195</v>
      </c>
      <c r="R165" s="9" t="s">
        <v>47</v>
      </c>
      <c r="S165" s="9"/>
    </row>
    <row r="166" customFormat="false" ht="15" hidden="false" customHeight="true" outlineLevel="0" collapsed="false">
      <c r="A166" s="9" t="s">
        <v>308</v>
      </c>
      <c r="B166" s="9" t="n">
        <v>36040</v>
      </c>
      <c r="C166" s="9"/>
      <c r="D166" s="9"/>
      <c r="E166" s="9" t="s">
        <v>38</v>
      </c>
      <c r="F166" s="9" t="s">
        <v>54</v>
      </c>
      <c r="G166" s="9" t="s">
        <v>47</v>
      </c>
      <c r="H166" s="9"/>
      <c r="I166" s="9" t="s">
        <v>41</v>
      </c>
      <c r="J166" s="9" t="s">
        <v>47</v>
      </c>
      <c r="K166" s="9" t="n">
        <v>1</v>
      </c>
      <c r="L166" s="9" t="s">
        <v>42</v>
      </c>
      <c r="M166" s="9" t="s">
        <v>42</v>
      </c>
      <c r="N166" s="9" t="s">
        <v>42</v>
      </c>
      <c r="O166" s="9" t="s">
        <v>42</v>
      </c>
      <c r="P166" s="9" t="s">
        <v>42</v>
      </c>
      <c r="Q166" s="9" t="n">
        <v>1040</v>
      </c>
      <c r="R166" s="9" t="s">
        <v>47</v>
      </c>
      <c r="S166" s="9"/>
    </row>
    <row r="167" customFormat="false" ht="15" hidden="false" customHeight="true" outlineLevel="0" collapsed="false">
      <c r="A167" s="9" t="s">
        <v>309</v>
      </c>
      <c r="B167" s="9" t="n">
        <v>11414</v>
      </c>
      <c r="C167" s="9"/>
      <c r="D167" s="9" t="s">
        <v>62</v>
      </c>
      <c r="E167" s="9" t="s">
        <v>38</v>
      </c>
      <c r="F167" s="9" t="s">
        <v>39</v>
      </c>
      <c r="G167" s="9" t="s">
        <v>40</v>
      </c>
      <c r="H167" s="9"/>
      <c r="I167" s="9" t="s">
        <v>41</v>
      </c>
      <c r="J167" s="9" t="s">
        <v>40</v>
      </c>
      <c r="K167" s="9" t="n">
        <v>2</v>
      </c>
      <c r="L167" s="9" t="s">
        <v>42</v>
      </c>
      <c r="M167" s="9" t="s">
        <v>42</v>
      </c>
      <c r="N167" s="9" t="s">
        <v>42</v>
      </c>
      <c r="O167" s="9" t="s">
        <v>42</v>
      </c>
      <c r="P167" s="9" t="s">
        <v>42</v>
      </c>
      <c r="Q167" s="9" t="n">
        <v>250</v>
      </c>
      <c r="R167" s="9" t="s">
        <v>47</v>
      </c>
      <c r="S167" s="9"/>
    </row>
    <row r="168" customFormat="false" ht="15" hidden="false" customHeight="true" outlineLevel="0" collapsed="false">
      <c r="A168" s="9" t="s">
        <v>310</v>
      </c>
      <c r="B168" s="9" t="n">
        <v>90265</v>
      </c>
      <c r="C168" s="9" t="n">
        <v>52</v>
      </c>
      <c r="D168" s="9" t="s">
        <v>62</v>
      </c>
      <c r="E168" s="9" t="s">
        <v>38</v>
      </c>
      <c r="F168" s="9" t="s">
        <v>54</v>
      </c>
      <c r="G168" s="9" t="s">
        <v>47</v>
      </c>
      <c r="H168" s="9"/>
      <c r="I168" s="9" t="s">
        <v>41</v>
      </c>
      <c r="J168" s="9" t="s">
        <v>47</v>
      </c>
      <c r="K168" s="9" t="n">
        <v>5</v>
      </c>
      <c r="L168" s="9" t="s">
        <v>42</v>
      </c>
      <c r="M168" s="9" t="s">
        <v>42</v>
      </c>
      <c r="N168" s="9" t="s">
        <v>42</v>
      </c>
      <c r="O168" s="9" t="s">
        <v>42</v>
      </c>
      <c r="P168" s="9" t="s">
        <v>42</v>
      </c>
      <c r="Q168" s="9" t="n">
        <v>220</v>
      </c>
      <c r="R168" s="9" t="s">
        <v>47</v>
      </c>
      <c r="S168" s="9" t="s">
        <v>311</v>
      </c>
    </row>
    <row r="169" customFormat="false" ht="15" hidden="false" customHeight="true" outlineLevel="0" collapsed="false">
      <c r="A169" s="9" t="s">
        <v>312</v>
      </c>
      <c r="B169" s="9" t="n">
        <v>11959</v>
      </c>
      <c r="C169" s="9" t="n">
        <v>60</v>
      </c>
      <c r="D169" s="9" t="s">
        <v>62</v>
      </c>
      <c r="E169" s="9" t="s">
        <v>44</v>
      </c>
      <c r="F169" s="9" t="s">
        <v>54</v>
      </c>
      <c r="G169" s="9" t="s">
        <v>40</v>
      </c>
      <c r="H169" s="9"/>
      <c r="I169" s="9" t="s">
        <v>41</v>
      </c>
      <c r="J169" s="9" t="s">
        <v>47</v>
      </c>
      <c r="K169" s="9" t="n">
        <v>9</v>
      </c>
      <c r="L169" s="9" t="s">
        <v>42</v>
      </c>
      <c r="M169" s="9" t="s">
        <v>42</v>
      </c>
      <c r="N169" s="9" t="s">
        <v>87</v>
      </c>
      <c r="O169" s="9" t="s">
        <v>313</v>
      </c>
      <c r="P169" s="9" t="s">
        <v>42</v>
      </c>
      <c r="Q169" s="9" t="n">
        <v>700</v>
      </c>
      <c r="R169" s="9" t="s">
        <v>47</v>
      </c>
      <c r="S169" s="9" t="s">
        <v>314</v>
      </c>
    </row>
    <row r="170" customFormat="false" ht="15" hidden="false" customHeight="true" outlineLevel="0" collapsed="false">
      <c r="A170" s="9" t="s">
        <v>315</v>
      </c>
      <c r="B170" s="9" t="n">
        <v>55008</v>
      </c>
      <c r="C170" s="9"/>
      <c r="D170" s="9" t="s">
        <v>62</v>
      </c>
      <c r="E170" s="9" t="s">
        <v>38</v>
      </c>
      <c r="F170" s="9" t="s">
        <v>39</v>
      </c>
      <c r="G170" s="9" t="s">
        <v>40</v>
      </c>
      <c r="H170" s="9"/>
      <c r="I170" s="9" t="s">
        <v>66</v>
      </c>
      <c r="J170" s="9" t="s">
        <v>47</v>
      </c>
      <c r="K170" s="9" t="n">
        <v>7</v>
      </c>
      <c r="L170" s="9" t="s">
        <v>42</v>
      </c>
      <c r="M170" s="9" t="s">
        <v>42</v>
      </c>
      <c r="N170" s="9" t="s">
        <v>42</v>
      </c>
      <c r="O170" s="9" t="s">
        <v>42</v>
      </c>
      <c r="P170" s="9" t="s">
        <v>42</v>
      </c>
      <c r="Q170" s="9" t="n">
        <v>220</v>
      </c>
      <c r="R170" s="9" t="s">
        <v>47</v>
      </c>
      <c r="S170" s="9"/>
    </row>
    <row r="171" customFormat="false" ht="15" hidden="false" customHeight="true" outlineLevel="0" collapsed="false">
      <c r="A171" s="9" t="s">
        <v>316</v>
      </c>
      <c r="B171" s="9" t="n">
        <v>75065</v>
      </c>
      <c r="C171" s="9" t="n">
        <v>73</v>
      </c>
      <c r="D171" s="9" t="s">
        <v>62</v>
      </c>
      <c r="E171" s="9" t="s">
        <v>44</v>
      </c>
      <c r="F171" s="9" t="s">
        <v>54</v>
      </c>
      <c r="G171" s="9" t="s">
        <v>40</v>
      </c>
      <c r="H171" s="9"/>
      <c r="I171" s="9"/>
      <c r="J171" s="9" t="s">
        <v>40</v>
      </c>
      <c r="K171" s="9" t="n">
        <v>1</v>
      </c>
      <c r="L171" s="9" t="s">
        <v>42</v>
      </c>
      <c r="M171" s="9" t="s">
        <v>42</v>
      </c>
      <c r="N171" s="9" t="s">
        <v>171</v>
      </c>
      <c r="O171" s="9" t="s">
        <v>42</v>
      </c>
      <c r="P171" s="9" t="s">
        <v>42</v>
      </c>
      <c r="Q171" s="9" t="n">
        <v>15</v>
      </c>
      <c r="R171" s="9" t="s">
        <v>47</v>
      </c>
      <c r="S171" s="9" t="s">
        <v>317</v>
      </c>
    </row>
    <row r="172" customFormat="false" ht="15" hidden="false" customHeight="true" outlineLevel="0" collapsed="false">
      <c r="A172" s="9" t="s">
        <v>318</v>
      </c>
      <c r="B172" s="9" t="n">
        <v>18401</v>
      </c>
      <c r="C172" s="9"/>
      <c r="D172" s="9" t="s">
        <v>83</v>
      </c>
      <c r="E172" s="9" t="s">
        <v>50</v>
      </c>
      <c r="F172" s="9" t="s">
        <v>39</v>
      </c>
      <c r="G172" s="9" t="s">
        <v>47</v>
      </c>
      <c r="H172" s="9"/>
      <c r="I172" s="9" t="s">
        <v>41</v>
      </c>
      <c r="J172" s="9" t="s">
        <v>40</v>
      </c>
      <c r="K172" s="9" t="n">
        <v>0</v>
      </c>
      <c r="L172" s="9" t="s">
        <v>42</v>
      </c>
      <c r="M172" s="9" t="s">
        <v>42</v>
      </c>
      <c r="N172" s="9" t="s">
        <v>42</v>
      </c>
      <c r="O172" s="9" t="s">
        <v>42</v>
      </c>
      <c r="P172" s="9" t="s">
        <v>42</v>
      </c>
      <c r="Q172" s="9" t="n">
        <v>5</v>
      </c>
      <c r="R172" s="9" t="s">
        <v>47</v>
      </c>
      <c r="S172" s="9"/>
    </row>
    <row r="173" customFormat="false" ht="15" hidden="false" customHeight="true" outlineLevel="0" collapsed="false">
      <c r="A173" s="9" t="s">
        <v>319</v>
      </c>
      <c r="B173" s="9" t="n">
        <v>45677</v>
      </c>
      <c r="C173" s="9"/>
      <c r="D173" s="9" t="s">
        <v>62</v>
      </c>
      <c r="E173" s="9" t="s">
        <v>50</v>
      </c>
      <c r="F173" s="9" t="s">
        <v>39</v>
      </c>
      <c r="G173" s="9" t="s">
        <v>40</v>
      </c>
      <c r="H173" s="9"/>
      <c r="I173" s="9" t="s">
        <v>41</v>
      </c>
      <c r="J173" s="9" t="s">
        <v>40</v>
      </c>
      <c r="K173" s="9" t="n">
        <v>2</v>
      </c>
      <c r="L173" s="9" t="s">
        <v>42</v>
      </c>
      <c r="M173" s="9" t="s">
        <v>42</v>
      </c>
      <c r="N173" s="9" t="s">
        <v>57</v>
      </c>
      <c r="O173" s="9" t="s">
        <v>42</v>
      </c>
      <c r="P173" s="9" t="s">
        <v>42</v>
      </c>
      <c r="Q173" s="9" t="n">
        <v>1</v>
      </c>
      <c r="R173" s="9" t="s">
        <v>47</v>
      </c>
      <c r="S173" s="9"/>
    </row>
    <row r="174" customFormat="false" ht="15" hidden="false" customHeight="true" outlineLevel="0" collapsed="false">
      <c r="A174" s="9" t="s">
        <v>320</v>
      </c>
      <c r="B174" s="9" t="n">
        <v>25728</v>
      </c>
      <c r="C174" s="9"/>
      <c r="D174" s="9"/>
      <c r="E174" s="9" t="s">
        <v>38</v>
      </c>
      <c r="F174" s="9" t="s">
        <v>39</v>
      </c>
      <c r="G174" s="9" t="s">
        <v>40</v>
      </c>
      <c r="H174" s="9"/>
      <c r="I174" s="9" t="s">
        <v>41</v>
      </c>
      <c r="J174" s="9" t="s">
        <v>40</v>
      </c>
      <c r="K174" s="9" t="n">
        <v>1</v>
      </c>
      <c r="L174" s="9" t="s">
        <v>42</v>
      </c>
      <c r="M174" s="9" t="s">
        <v>42</v>
      </c>
      <c r="N174" s="9" t="s">
        <v>42</v>
      </c>
      <c r="O174" s="9" t="s">
        <v>42</v>
      </c>
      <c r="P174" s="9" t="s">
        <v>42</v>
      </c>
      <c r="Q174" s="9" t="n">
        <v>1000</v>
      </c>
      <c r="R174" s="9" t="s">
        <v>47</v>
      </c>
      <c r="S174" s="9"/>
    </row>
    <row r="175" customFormat="false" ht="15" hidden="false" customHeight="true" outlineLevel="0" collapsed="false">
      <c r="A175" s="9" t="s">
        <v>321</v>
      </c>
      <c r="B175" s="9" t="n">
        <v>17078</v>
      </c>
      <c r="C175" s="9" t="n">
        <v>83</v>
      </c>
      <c r="D175" s="9"/>
      <c r="E175" s="9" t="s">
        <v>44</v>
      </c>
      <c r="F175" s="9" t="s">
        <v>39</v>
      </c>
      <c r="G175" s="9" t="s">
        <v>40</v>
      </c>
      <c r="H175" s="9"/>
      <c r="I175" s="9" t="s">
        <v>41</v>
      </c>
      <c r="J175" s="9" t="s">
        <v>40</v>
      </c>
      <c r="K175" s="9" t="n">
        <v>0</v>
      </c>
      <c r="L175" s="9" t="s">
        <v>42</v>
      </c>
      <c r="M175" s="9" t="s">
        <v>187</v>
      </c>
      <c r="N175" s="9" t="s">
        <v>42</v>
      </c>
      <c r="O175" s="9" t="s">
        <v>42</v>
      </c>
      <c r="P175" s="9" t="s">
        <v>42</v>
      </c>
      <c r="Q175" s="9" t="n">
        <v>120</v>
      </c>
      <c r="R175" s="9" t="s">
        <v>47</v>
      </c>
      <c r="S175" s="9" t="s">
        <v>322</v>
      </c>
    </row>
    <row r="176" customFormat="false" ht="15" hidden="false" customHeight="true" outlineLevel="0" collapsed="false">
      <c r="A176" s="9" t="s">
        <v>323</v>
      </c>
      <c r="B176" s="9" t="n">
        <v>97709</v>
      </c>
      <c r="C176" s="9"/>
      <c r="D176" s="9" t="s">
        <v>62</v>
      </c>
      <c r="E176" s="9" t="s">
        <v>44</v>
      </c>
      <c r="F176" s="9" t="s">
        <v>54</v>
      </c>
      <c r="G176" s="9" t="s">
        <v>40</v>
      </c>
      <c r="H176" s="9"/>
      <c r="I176" s="9" t="s">
        <v>41</v>
      </c>
      <c r="J176" s="9" t="s">
        <v>40</v>
      </c>
      <c r="K176" s="9" t="n">
        <v>6</v>
      </c>
      <c r="L176" s="9" t="s">
        <v>42</v>
      </c>
      <c r="M176" s="9" t="s">
        <v>42</v>
      </c>
      <c r="N176" s="9" t="s">
        <v>42</v>
      </c>
      <c r="O176" s="9" t="s">
        <v>42</v>
      </c>
      <c r="P176" s="9" t="s">
        <v>42</v>
      </c>
      <c r="Q176" s="9" t="n">
        <v>400</v>
      </c>
      <c r="R176" s="9" t="s">
        <v>47</v>
      </c>
      <c r="S176" s="9"/>
    </row>
    <row r="177" customFormat="false" ht="15" hidden="false" customHeight="true" outlineLevel="0" collapsed="false">
      <c r="A177" s="9" t="s">
        <v>324</v>
      </c>
      <c r="B177" s="9" t="n">
        <v>49091</v>
      </c>
      <c r="C177" s="9" t="n">
        <v>35</v>
      </c>
      <c r="D177" s="9"/>
      <c r="E177" s="9" t="s">
        <v>38</v>
      </c>
      <c r="F177" s="9" t="s">
        <v>39</v>
      </c>
      <c r="G177" s="9" t="s">
        <v>40</v>
      </c>
      <c r="H177" s="9"/>
      <c r="I177" s="9" t="s">
        <v>41</v>
      </c>
      <c r="J177" s="9" t="s">
        <v>47</v>
      </c>
      <c r="K177" s="9" t="n">
        <v>0</v>
      </c>
      <c r="L177" s="9" t="s">
        <v>42</v>
      </c>
      <c r="M177" s="9" t="s">
        <v>42</v>
      </c>
      <c r="N177" s="9" t="s">
        <v>42</v>
      </c>
      <c r="O177" s="9" t="s">
        <v>42</v>
      </c>
      <c r="P177" s="9" t="s">
        <v>42</v>
      </c>
      <c r="Q177" s="9" t="n">
        <v>75</v>
      </c>
      <c r="R177" s="9" t="s">
        <v>47</v>
      </c>
      <c r="S177" s="9" t="s">
        <v>325</v>
      </c>
    </row>
    <row r="178" customFormat="false" ht="15" hidden="false" customHeight="true" outlineLevel="0" collapsed="false">
      <c r="A178" s="9" t="s">
        <v>326</v>
      </c>
      <c r="B178" s="9" t="n">
        <v>43635</v>
      </c>
      <c r="C178" s="9"/>
      <c r="D178" s="9" t="s">
        <v>62</v>
      </c>
      <c r="E178" s="9" t="s">
        <v>44</v>
      </c>
      <c r="F178" s="9" t="s">
        <v>39</v>
      </c>
      <c r="G178" s="9" t="s">
        <v>40</v>
      </c>
      <c r="H178" s="9"/>
      <c r="I178" s="9"/>
      <c r="J178" s="9" t="s">
        <v>40</v>
      </c>
      <c r="K178" s="9" t="n">
        <v>0</v>
      </c>
      <c r="L178" s="9" t="s">
        <v>42</v>
      </c>
      <c r="M178" s="9" t="s">
        <v>327</v>
      </c>
      <c r="N178" s="9" t="s">
        <v>42</v>
      </c>
      <c r="O178" s="9" t="s">
        <v>42</v>
      </c>
      <c r="P178" s="9" t="s">
        <v>42</v>
      </c>
      <c r="Q178" s="9" t="n">
        <v>420</v>
      </c>
      <c r="R178" s="9" t="s">
        <v>47</v>
      </c>
      <c r="S178" s="9"/>
    </row>
    <row r="179" customFormat="false" ht="15" hidden="false" customHeight="true" outlineLevel="0" collapsed="false">
      <c r="A179" s="9" t="s">
        <v>328</v>
      </c>
      <c r="B179" s="9" t="n">
        <v>41105</v>
      </c>
      <c r="C179" s="9" t="n">
        <v>80</v>
      </c>
      <c r="D179" s="9"/>
      <c r="E179" s="9" t="s">
        <v>38</v>
      </c>
      <c r="F179" s="9" t="s">
        <v>39</v>
      </c>
      <c r="G179" s="9" t="s">
        <v>40</v>
      </c>
      <c r="H179" s="9"/>
      <c r="I179" s="9" t="s">
        <v>41</v>
      </c>
      <c r="J179" s="9" t="s">
        <v>40</v>
      </c>
      <c r="K179" s="9" t="n">
        <v>0</v>
      </c>
      <c r="L179" s="9" t="s">
        <v>42</v>
      </c>
      <c r="M179" s="9" t="s">
        <v>42</v>
      </c>
      <c r="N179" s="9" t="s">
        <v>42</v>
      </c>
      <c r="O179" s="9" t="s">
        <v>57</v>
      </c>
      <c r="P179" s="9" t="s">
        <v>42</v>
      </c>
      <c r="Q179" s="9" t="n">
        <v>664</v>
      </c>
      <c r="R179" s="9" t="s">
        <v>47</v>
      </c>
      <c r="S179" s="9" t="s">
        <v>329</v>
      </c>
    </row>
    <row r="180" customFormat="false" ht="15" hidden="false" customHeight="true" outlineLevel="0" collapsed="false">
      <c r="A180" s="9" t="s">
        <v>330</v>
      </c>
      <c r="B180" s="9" t="n">
        <v>7462</v>
      </c>
      <c r="C180" s="9" t="n">
        <v>44</v>
      </c>
      <c r="D180" s="9"/>
      <c r="E180" s="9" t="s">
        <v>44</v>
      </c>
      <c r="F180" s="9" t="s">
        <v>39</v>
      </c>
      <c r="G180" s="9" t="s">
        <v>40</v>
      </c>
      <c r="H180" s="9"/>
      <c r="I180" s="9" t="s">
        <v>41</v>
      </c>
      <c r="J180" s="9" t="s">
        <v>47</v>
      </c>
      <c r="K180" s="9" t="n">
        <v>0</v>
      </c>
      <c r="L180" s="9" t="s">
        <v>42</v>
      </c>
      <c r="M180" s="9" t="s">
        <v>42</v>
      </c>
      <c r="N180" s="9" t="s">
        <v>42</v>
      </c>
      <c r="O180" s="9" t="s">
        <v>42</v>
      </c>
      <c r="P180" s="9" t="s">
        <v>42</v>
      </c>
      <c r="Q180" s="9" t="n">
        <v>50</v>
      </c>
      <c r="R180" s="9" t="s">
        <v>47</v>
      </c>
      <c r="S180" s="9" t="s">
        <v>331</v>
      </c>
    </row>
    <row r="181" customFormat="false" ht="15" hidden="false" customHeight="true" outlineLevel="0" collapsed="false">
      <c r="A181" s="9" t="s">
        <v>332</v>
      </c>
      <c r="B181" s="9" t="n">
        <v>85359</v>
      </c>
      <c r="C181" s="9"/>
      <c r="D181" s="9"/>
      <c r="E181" s="9" t="s">
        <v>44</v>
      </c>
      <c r="F181" s="9" t="s">
        <v>39</v>
      </c>
      <c r="G181" s="9" t="s">
        <v>40</v>
      </c>
      <c r="H181" s="9"/>
      <c r="I181" s="9" t="s">
        <v>41</v>
      </c>
      <c r="J181" s="9" t="s">
        <v>40</v>
      </c>
      <c r="K181" s="9" t="n">
        <v>1</v>
      </c>
      <c r="L181" s="9" t="s">
        <v>42</v>
      </c>
      <c r="M181" s="9" t="s">
        <v>42</v>
      </c>
      <c r="N181" s="9" t="s">
        <v>42</v>
      </c>
      <c r="O181" s="9" t="s">
        <v>42</v>
      </c>
      <c r="P181" s="9" t="s">
        <v>42</v>
      </c>
      <c r="Q181" s="9" t="n">
        <v>0</v>
      </c>
      <c r="R181" s="9" t="s">
        <v>40</v>
      </c>
      <c r="S181" s="9"/>
    </row>
    <row r="182" customFormat="false" ht="15" hidden="false" customHeight="true" outlineLevel="0" collapsed="false">
      <c r="A182" s="9" t="s">
        <v>333</v>
      </c>
      <c r="B182" s="9" t="n">
        <v>90265</v>
      </c>
      <c r="C182" s="9" t="n">
        <v>58</v>
      </c>
      <c r="D182" s="9"/>
      <c r="E182" s="9" t="s">
        <v>38</v>
      </c>
      <c r="F182" s="9" t="s">
        <v>54</v>
      </c>
      <c r="G182" s="9" t="s">
        <v>47</v>
      </c>
      <c r="H182" s="9" t="s">
        <v>110</v>
      </c>
      <c r="I182" s="9"/>
      <c r="J182" s="9" t="s">
        <v>47</v>
      </c>
      <c r="K182" s="9" t="n">
        <v>10</v>
      </c>
      <c r="L182" s="9" t="s">
        <v>334</v>
      </c>
      <c r="M182" s="9" t="s">
        <v>42</v>
      </c>
      <c r="N182" s="9" t="s">
        <v>42</v>
      </c>
      <c r="O182" s="9" t="s">
        <v>42</v>
      </c>
      <c r="P182" s="9" t="s">
        <v>42</v>
      </c>
      <c r="Q182" s="9" t="n">
        <v>295</v>
      </c>
      <c r="R182" s="9" t="s">
        <v>47</v>
      </c>
      <c r="S182" s="9" t="s">
        <v>335</v>
      </c>
    </row>
    <row r="183" customFormat="false" ht="15" hidden="false" customHeight="true" outlineLevel="0" collapsed="false">
      <c r="A183" s="9" t="s">
        <v>336</v>
      </c>
      <c r="B183" s="9" t="n">
        <v>35897</v>
      </c>
      <c r="C183" s="9"/>
      <c r="D183" s="9"/>
      <c r="E183" s="9" t="s">
        <v>44</v>
      </c>
      <c r="F183" s="9" t="s">
        <v>39</v>
      </c>
      <c r="G183" s="9" t="s">
        <v>40</v>
      </c>
      <c r="H183" s="9"/>
      <c r="I183" s="9" t="s">
        <v>41</v>
      </c>
      <c r="J183" s="9" t="s">
        <v>40</v>
      </c>
      <c r="K183" s="9" t="n">
        <v>1</v>
      </c>
      <c r="L183" s="9" t="s">
        <v>42</v>
      </c>
      <c r="M183" s="9" t="s">
        <v>42</v>
      </c>
      <c r="N183" s="9" t="s">
        <v>42</v>
      </c>
      <c r="O183" s="9" t="s">
        <v>42</v>
      </c>
      <c r="P183" s="9" t="s">
        <v>42</v>
      </c>
      <c r="Q183" s="9" t="n">
        <v>0</v>
      </c>
      <c r="R183" s="9" t="s">
        <v>40</v>
      </c>
      <c r="S183" s="9"/>
    </row>
    <row r="184" customFormat="false" ht="15" hidden="false" customHeight="true" outlineLevel="0" collapsed="false">
      <c r="A184" s="9" t="s">
        <v>337</v>
      </c>
      <c r="B184" s="9" t="n">
        <v>94503</v>
      </c>
      <c r="C184" s="9" t="n">
        <v>24</v>
      </c>
      <c r="D184" s="9"/>
      <c r="E184" s="9" t="s">
        <v>38</v>
      </c>
      <c r="F184" s="9" t="s">
        <v>39</v>
      </c>
      <c r="G184" s="9" t="s">
        <v>40</v>
      </c>
      <c r="H184" s="9"/>
      <c r="I184" s="9"/>
      <c r="J184" s="9" t="s">
        <v>40</v>
      </c>
      <c r="K184" s="9" t="n">
        <v>0</v>
      </c>
      <c r="L184" s="9" t="s">
        <v>42</v>
      </c>
      <c r="M184" s="9" t="s">
        <v>42</v>
      </c>
      <c r="N184" s="9" t="s">
        <v>42</v>
      </c>
      <c r="O184" s="9" t="s">
        <v>42</v>
      </c>
      <c r="P184" s="9" t="s">
        <v>42</v>
      </c>
      <c r="Q184" s="9" t="n">
        <v>100</v>
      </c>
      <c r="R184" s="9" t="s">
        <v>47</v>
      </c>
      <c r="S184" s="9" t="s">
        <v>338</v>
      </c>
    </row>
    <row r="185" customFormat="false" ht="15" hidden="false" customHeight="true" outlineLevel="0" collapsed="false">
      <c r="A185" s="9" t="s">
        <v>339</v>
      </c>
      <c r="B185" s="9" t="n">
        <v>90265</v>
      </c>
      <c r="C185" s="9"/>
      <c r="D185" s="9" t="s">
        <v>62</v>
      </c>
      <c r="E185" s="9" t="s">
        <v>44</v>
      </c>
      <c r="F185" s="9" t="s">
        <v>39</v>
      </c>
      <c r="G185" s="9" t="s">
        <v>40</v>
      </c>
      <c r="H185" s="9"/>
      <c r="I185" s="9" t="s">
        <v>41</v>
      </c>
      <c r="J185" s="9" t="s">
        <v>40</v>
      </c>
      <c r="K185" s="9" t="n">
        <v>3</v>
      </c>
      <c r="L185" s="9" t="s">
        <v>42</v>
      </c>
      <c r="M185" s="9" t="s">
        <v>42</v>
      </c>
      <c r="N185" s="9" t="s">
        <v>42</v>
      </c>
      <c r="O185" s="9" t="s">
        <v>42</v>
      </c>
      <c r="P185" s="9" t="s">
        <v>42</v>
      </c>
      <c r="Q185" s="9" t="n">
        <v>0</v>
      </c>
      <c r="R185" s="9" t="s">
        <v>40</v>
      </c>
      <c r="S185" s="9"/>
    </row>
    <row r="186" customFormat="false" ht="15" hidden="false" customHeight="true" outlineLevel="0" collapsed="false">
      <c r="A186" s="9" t="s">
        <v>340</v>
      </c>
      <c r="B186" s="9" t="n">
        <v>46738</v>
      </c>
      <c r="C186" s="9" t="n">
        <v>35</v>
      </c>
      <c r="D186" s="9"/>
      <c r="E186" s="9" t="s">
        <v>44</v>
      </c>
      <c r="F186" s="9" t="s">
        <v>54</v>
      </c>
      <c r="G186" s="9" t="s">
        <v>47</v>
      </c>
      <c r="H186" s="9"/>
      <c r="I186" s="9" t="s">
        <v>41</v>
      </c>
      <c r="J186" s="9" t="s">
        <v>47</v>
      </c>
      <c r="K186" s="9" t="n">
        <v>0</v>
      </c>
      <c r="L186" s="9" t="s">
        <v>42</v>
      </c>
      <c r="M186" s="9" t="s">
        <v>42</v>
      </c>
      <c r="N186" s="9" t="s">
        <v>42</v>
      </c>
      <c r="O186" s="9" t="s">
        <v>42</v>
      </c>
      <c r="P186" s="9" t="s">
        <v>42</v>
      </c>
      <c r="Q186" s="9" t="n">
        <v>1</v>
      </c>
      <c r="R186" s="9" t="s">
        <v>47</v>
      </c>
      <c r="S186" s="9" t="s">
        <v>341</v>
      </c>
    </row>
    <row r="187" customFormat="false" ht="15" hidden="false" customHeight="true" outlineLevel="0" collapsed="false">
      <c r="A187" s="9" t="s">
        <v>342</v>
      </c>
      <c r="B187" s="9" t="n">
        <v>69301</v>
      </c>
      <c r="C187" s="9" t="n">
        <v>92</v>
      </c>
      <c r="D187" s="9" t="s">
        <v>195</v>
      </c>
      <c r="E187" s="9" t="s">
        <v>38</v>
      </c>
      <c r="F187" s="9" t="s">
        <v>54</v>
      </c>
      <c r="G187" s="9" t="s">
        <v>47</v>
      </c>
      <c r="H187" s="9"/>
      <c r="I187" s="9" t="s">
        <v>41</v>
      </c>
      <c r="J187" s="9" t="s">
        <v>40</v>
      </c>
      <c r="K187" s="9" t="n">
        <v>9</v>
      </c>
      <c r="L187" s="9" t="s">
        <v>42</v>
      </c>
      <c r="M187" s="9" t="s">
        <v>42</v>
      </c>
      <c r="N187" s="9" t="s">
        <v>42</v>
      </c>
      <c r="O187" s="9" t="s">
        <v>42</v>
      </c>
      <c r="P187" s="9" t="s">
        <v>42</v>
      </c>
      <c r="Q187" s="9" t="n">
        <v>1140</v>
      </c>
      <c r="R187" s="9" t="s">
        <v>47</v>
      </c>
      <c r="S187" s="9" t="s">
        <v>343</v>
      </c>
    </row>
    <row r="188" customFormat="false" ht="15" hidden="false" customHeight="true" outlineLevel="0" collapsed="false">
      <c r="A188" s="9" t="s">
        <v>344</v>
      </c>
      <c r="B188" s="9" t="n">
        <v>12148</v>
      </c>
      <c r="C188" s="9"/>
      <c r="D188" s="9"/>
      <c r="E188" s="9" t="s">
        <v>44</v>
      </c>
      <c r="F188" s="9" t="s">
        <v>39</v>
      </c>
      <c r="G188" s="9" t="s">
        <v>47</v>
      </c>
      <c r="H188" s="9"/>
      <c r="I188" s="9" t="s">
        <v>41</v>
      </c>
      <c r="J188" s="9" t="s">
        <v>40</v>
      </c>
      <c r="K188" s="9" t="n">
        <v>4</v>
      </c>
      <c r="L188" s="9" t="s">
        <v>345</v>
      </c>
      <c r="M188" s="9" t="s">
        <v>42</v>
      </c>
      <c r="N188" s="9" t="s">
        <v>42</v>
      </c>
      <c r="O188" s="9" t="s">
        <v>42</v>
      </c>
      <c r="P188" s="9" t="s">
        <v>42</v>
      </c>
      <c r="Q188" s="9" t="n">
        <v>170</v>
      </c>
      <c r="R188" s="9" t="s">
        <v>47</v>
      </c>
      <c r="S188" s="9"/>
    </row>
    <row r="189" customFormat="false" ht="15" hidden="false" customHeight="true" outlineLevel="0" collapsed="false">
      <c r="A189" s="9" t="s">
        <v>346</v>
      </c>
      <c r="B189" s="9" t="n">
        <v>90265</v>
      </c>
      <c r="C189" s="9"/>
      <c r="D189" s="9" t="s">
        <v>62</v>
      </c>
      <c r="E189" s="9" t="s">
        <v>44</v>
      </c>
      <c r="F189" s="9" t="s">
        <v>39</v>
      </c>
      <c r="G189" s="9" t="s">
        <v>40</v>
      </c>
      <c r="H189" s="9"/>
      <c r="I189" s="9" t="s">
        <v>41</v>
      </c>
      <c r="J189" s="9" t="s">
        <v>40</v>
      </c>
      <c r="K189" s="9" t="n">
        <v>1</v>
      </c>
      <c r="L189" s="9" t="s">
        <v>42</v>
      </c>
      <c r="M189" s="9" t="s">
        <v>42</v>
      </c>
      <c r="N189" s="9" t="s">
        <v>42</v>
      </c>
      <c r="O189" s="9" t="s">
        <v>42</v>
      </c>
      <c r="P189" s="9" t="s">
        <v>347</v>
      </c>
      <c r="Q189" s="9" t="n">
        <v>445</v>
      </c>
      <c r="R189" s="9" t="s">
        <v>47</v>
      </c>
      <c r="S189" s="9"/>
    </row>
    <row r="190" customFormat="false" ht="15" hidden="false" customHeight="true" outlineLevel="0" collapsed="false">
      <c r="A190" s="9" t="s">
        <v>348</v>
      </c>
      <c r="B190" s="9" t="n">
        <v>49752</v>
      </c>
      <c r="C190" s="9" t="n">
        <v>38</v>
      </c>
      <c r="D190" s="9"/>
      <c r="E190" s="9" t="s">
        <v>38</v>
      </c>
      <c r="F190" s="9" t="s">
        <v>54</v>
      </c>
      <c r="G190" s="9" t="s">
        <v>47</v>
      </c>
      <c r="H190" s="9"/>
      <c r="I190" s="9" t="s">
        <v>66</v>
      </c>
      <c r="J190" s="9" t="s">
        <v>40</v>
      </c>
      <c r="K190" s="9" t="n">
        <v>0</v>
      </c>
      <c r="L190" s="9" t="s">
        <v>42</v>
      </c>
      <c r="M190" s="9" t="s">
        <v>42</v>
      </c>
      <c r="N190" s="9" t="s">
        <v>42</v>
      </c>
      <c r="O190" s="9" t="s">
        <v>42</v>
      </c>
      <c r="P190" s="9" t="s">
        <v>42</v>
      </c>
      <c r="Q190" s="9" t="n">
        <v>380</v>
      </c>
      <c r="R190" s="9" t="s">
        <v>47</v>
      </c>
      <c r="S190" s="9" t="s">
        <v>349</v>
      </c>
    </row>
    <row r="191" customFormat="false" ht="15" hidden="false" customHeight="true" outlineLevel="0" collapsed="false">
      <c r="A191" s="9" t="s">
        <v>350</v>
      </c>
      <c r="B191" s="9" t="n">
        <v>78134</v>
      </c>
      <c r="C191" s="9"/>
      <c r="D191" s="9" t="s">
        <v>83</v>
      </c>
      <c r="E191" s="9" t="s">
        <v>38</v>
      </c>
      <c r="F191" s="9" t="s">
        <v>39</v>
      </c>
      <c r="G191" s="9" t="s">
        <v>40</v>
      </c>
      <c r="H191" s="9"/>
      <c r="I191" s="9"/>
      <c r="J191" s="9" t="s">
        <v>40</v>
      </c>
      <c r="K191" s="9" t="n">
        <v>0</v>
      </c>
      <c r="L191" s="9" t="s">
        <v>42</v>
      </c>
      <c r="M191" s="9" t="s">
        <v>42</v>
      </c>
      <c r="N191" s="9" t="s">
        <v>42</v>
      </c>
      <c r="O191" s="9" t="s">
        <v>42</v>
      </c>
      <c r="P191" s="9" t="s">
        <v>42</v>
      </c>
      <c r="Q191" s="9" t="n">
        <v>2500</v>
      </c>
      <c r="R191" s="9" t="s">
        <v>47</v>
      </c>
      <c r="S191" s="9"/>
    </row>
    <row r="192" customFormat="false" ht="15" hidden="false" customHeight="true" outlineLevel="0" collapsed="false">
      <c r="A192" s="9" t="s">
        <v>351</v>
      </c>
      <c r="B192" s="9" t="n">
        <v>66612</v>
      </c>
      <c r="C192" s="9"/>
      <c r="D192" s="9"/>
      <c r="E192" s="9" t="s">
        <v>38</v>
      </c>
      <c r="F192" s="9" t="s">
        <v>39</v>
      </c>
      <c r="G192" s="9" t="s">
        <v>40</v>
      </c>
      <c r="H192" s="9"/>
      <c r="I192" s="9" t="s">
        <v>41</v>
      </c>
      <c r="J192" s="9" t="s">
        <v>40</v>
      </c>
      <c r="K192" s="9" t="n">
        <v>1</v>
      </c>
      <c r="L192" s="9" t="s">
        <v>42</v>
      </c>
      <c r="M192" s="9" t="s">
        <v>42</v>
      </c>
      <c r="N192" s="9" t="s">
        <v>42</v>
      </c>
      <c r="O192" s="9" t="s">
        <v>197</v>
      </c>
      <c r="P192" s="9" t="s">
        <v>197</v>
      </c>
      <c r="Q192" s="9" t="n">
        <v>11</v>
      </c>
      <c r="R192" s="9" t="s">
        <v>47</v>
      </c>
      <c r="S192" s="9"/>
    </row>
    <row r="193" customFormat="false" ht="15" hidden="false" customHeight="true" outlineLevel="0" collapsed="false">
      <c r="A193" s="9" t="s">
        <v>352</v>
      </c>
      <c r="B193" s="9" t="n">
        <v>15024</v>
      </c>
      <c r="C193" s="9"/>
      <c r="D193" s="9" t="s">
        <v>83</v>
      </c>
      <c r="E193" s="9" t="s">
        <v>38</v>
      </c>
      <c r="F193" s="9" t="s">
        <v>201</v>
      </c>
      <c r="G193" s="9" t="s">
        <v>40</v>
      </c>
      <c r="H193" s="9"/>
      <c r="I193" s="9"/>
      <c r="J193" s="9" t="s">
        <v>40</v>
      </c>
      <c r="K193" s="9" t="n">
        <v>0</v>
      </c>
      <c r="L193" s="9" t="s">
        <v>42</v>
      </c>
      <c r="M193" s="9" t="s">
        <v>42</v>
      </c>
      <c r="N193" s="9" t="s">
        <v>42</v>
      </c>
      <c r="O193" s="9" t="s">
        <v>42</v>
      </c>
      <c r="P193" s="9" t="s">
        <v>42</v>
      </c>
      <c r="Q193" s="9" t="n">
        <v>12</v>
      </c>
      <c r="R193" s="9" t="s">
        <v>47</v>
      </c>
      <c r="S193" s="9"/>
    </row>
    <row r="194" customFormat="false" ht="15" hidden="false" customHeight="true" outlineLevel="0" collapsed="false">
      <c r="A194" s="9" t="s">
        <v>353</v>
      </c>
      <c r="B194" s="9" t="n">
        <v>56902</v>
      </c>
      <c r="C194" s="9"/>
      <c r="D194" s="9" t="s">
        <v>62</v>
      </c>
      <c r="E194" s="9" t="s">
        <v>38</v>
      </c>
      <c r="F194" s="9" t="s">
        <v>39</v>
      </c>
      <c r="G194" s="9" t="s">
        <v>47</v>
      </c>
      <c r="H194" s="9"/>
      <c r="I194" s="9" t="s">
        <v>41</v>
      </c>
      <c r="J194" s="9" t="s">
        <v>40</v>
      </c>
      <c r="K194" s="9" t="n">
        <v>9</v>
      </c>
      <c r="L194" s="9" t="s">
        <v>125</v>
      </c>
      <c r="M194" s="9" t="s">
        <v>42</v>
      </c>
      <c r="N194" s="9" t="s">
        <v>42</v>
      </c>
      <c r="O194" s="9" t="s">
        <v>42</v>
      </c>
      <c r="P194" s="9" t="s">
        <v>42</v>
      </c>
      <c r="Q194" s="9" t="n">
        <v>150</v>
      </c>
      <c r="R194" s="9" t="s">
        <v>47</v>
      </c>
      <c r="S194" s="9"/>
    </row>
    <row r="195" customFormat="false" ht="15" hidden="false" customHeight="true" outlineLevel="0" collapsed="false">
      <c r="A195" s="9" t="s">
        <v>354</v>
      </c>
      <c r="B195" s="9" t="n">
        <v>60467</v>
      </c>
      <c r="C195" s="9"/>
      <c r="D195" s="9"/>
      <c r="E195" s="9" t="s">
        <v>50</v>
      </c>
      <c r="F195" s="9" t="s">
        <v>39</v>
      </c>
      <c r="G195" s="9" t="s">
        <v>40</v>
      </c>
      <c r="H195" s="9"/>
      <c r="I195" s="9" t="s">
        <v>41</v>
      </c>
      <c r="J195" s="9" t="s">
        <v>40</v>
      </c>
      <c r="K195" s="9" t="n">
        <v>1</v>
      </c>
      <c r="L195" s="9" t="s">
        <v>42</v>
      </c>
      <c r="M195" s="9" t="s">
        <v>63</v>
      </c>
      <c r="N195" s="9" t="s">
        <v>42</v>
      </c>
      <c r="O195" s="9" t="s">
        <v>42</v>
      </c>
      <c r="P195" s="9" t="s">
        <v>42</v>
      </c>
      <c r="Q195" s="9" t="n">
        <v>100</v>
      </c>
      <c r="R195" s="9" t="s">
        <v>47</v>
      </c>
      <c r="S195" s="9"/>
    </row>
    <row r="196" customFormat="false" ht="15" hidden="false" customHeight="true" outlineLevel="0" collapsed="false">
      <c r="A196" s="9" t="s">
        <v>355</v>
      </c>
      <c r="B196" s="9" t="n">
        <v>36626</v>
      </c>
      <c r="C196" s="9"/>
      <c r="D196" s="9"/>
      <c r="E196" s="9" t="s">
        <v>44</v>
      </c>
      <c r="F196" s="9" t="s">
        <v>39</v>
      </c>
      <c r="G196" s="9" t="s">
        <v>47</v>
      </c>
      <c r="H196" s="9"/>
      <c r="I196" s="9" t="s">
        <v>41</v>
      </c>
      <c r="J196" s="9" t="s">
        <v>40</v>
      </c>
      <c r="K196" s="9" t="n">
        <v>0</v>
      </c>
      <c r="L196" s="9" t="s">
        <v>42</v>
      </c>
      <c r="M196" s="9" t="s">
        <v>42</v>
      </c>
      <c r="N196" s="9" t="s">
        <v>42</v>
      </c>
      <c r="O196" s="9" t="s">
        <v>42</v>
      </c>
      <c r="P196" s="9" t="s">
        <v>42</v>
      </c>
      <c r="Q196" s="9" t="n">
        <v>265</v>
      </c>
      <c r="R196" s="9" t="s">
        <v>47</v>
      </c>
      <c r="S196" s="9"/>
    </row>
    <row r="197" customFormat="false" ht="15" hidden="false" customHeight="true" outlineLevel="0" collapsed="false">
      <c r="A197" s="9" t="s">
        <v>356</v>
      </c>
      <c r="B197" s="9" t="n">
        <v>90265</v>
      </c>
      <c r="C197" s="9" t="n">
        <v>61</v>
      </c>
      <c r="D197" s="9"/>
      <c r="E197" s="9" t="s">
        <v>38</v>
      </c>
      <c r="F197" s="9" t="s">
        <v>39</v>
      </c>
      <c r="G197" s="9" t="s">
        <v>40</v>
      </c>
      <c r="H197" s="9"/>
      <c r="I197" s="9" t="s">
        <v>41</v>
      </c>
      <c r="J197" s="9" t="s">
        <v>40</v>
      </c>
      <c r="K197" s="9" t="n">
        <v>0</v>
      </c>
      <c r="L197" s="9" t="s">
        <v>42</v>
      </c>
      <c r="M197" s="9" t="s">
        <v>42</v>
      </c>
      <c r="N197" s="9" t="s">
        <v>42</v>
      </c>
      <c r="O197" s="9" t="s">
        <v>42</v>
      </c>
      <c r="P197" s="9" t="s">
        <v>42</v>
      </c>
      <c r="Q197" s="9" t="n">
        <v>0</v>
      </c>
      <c r="R197" s="9" t="s">
        <v>40</v>
      </c>
      <c r="S197" s="9" t="s">
        <v>357</v>
      </c>
    </row>
    <row r="198" customFormat="false" ht="15" hidden="false" customHeight="true" outlineLevel="0" collapsed="false">
      <c r="A198" s="9" t="s">
        <v>358</v>
      </c>
      <c r="B198" s="9" t="n">
        <v>30340</v>
      </c>
      <c r="C198" s="9" t="n">
        <v>56</v>
      </c>
      <c r="D198" s="9"/>
      <c r="E198" s="9" t="s">
        <v>44</v>
      </c>
      <c r="F198" s="9" t="s">
        <v>54</v>
      </c>
      <c r="G198" s="9" t="s">
        <v>47</v>
      </c>
      <c r="H198" s="9"/>
      <c r="I198" s="9" t="s">
        <v>41</v>
      </c>
      <c r="J198" s="9" t="s">
        <v>47</v>
      </c>
      <c r="K198" s="9" t="n">
        <v>2</v>
      </c>
      <c r="L198" s="9" t="s">
        <v>42</v>
      </c>
      <c r="M198" s="9" t="s">
        <v>42</v>
      </c>
      <c r="N198" s="9" t="s">
        <v>42</v>
      </c>
      <c r="O198" s="9" t="s">
        <v>42</v>
      </c>
      <c r="P198" s="9" t="s">
        <v>42</v>
      </c>
      <c r="Q198" s="9" t="n">
        <v>180</v>
      </c>
      <c r="R198" s="9" t="s">
        <v>47</v>
      </c>
      <c r="S198" s="9" t="s">
        <v>359</v>
      </c>
    </row>
    <row r="199" customFormat="false" ht="15" hidden="false" customHeight="true" outlineLevel="0" collapsed="false">
      <c r="A199" s="9" t="s">
        <v>360</v>
      </c>
      <c r="B199" s="9" t="n">
        <v>66759</v>
      </c>
      <c r="C199" s="9"/>
      <c r="D199" s="9" t="s">
        <v>62</v>
      </c>
      <c r="E199" s="9" t="s">
        <v>44</v>
      </c>
      <c r="F199" s="9" t="s">
        <v>39</v>
      </c>
      <c r="G199" s="9" t="s">
        <v>47</v>
      </c>
      <c r="H199" s="9"/>
      <c r="I199" s="9" t="s">
        <v>41</v>
      </c>
      <c r="J199" s="9" t="s">
        <v>40</v>
      </c>
      <c r="K199" s="9" t="n">
        <v>3</v>
      </c>
      <c r="L199" s="9" t="s">
        <v>42</v>
      </c>
      <c r="M199" s="9" t="s">
        <v>42</v>
      </c>
      <c r="N199" s="9" t="s">
        <v>42</v>
      </c>
      <c r="O199" s="9" t="s">
        <v>42</v>
      </c>
      <c r="P199" s="9" t="s">
        <v>42</v>
      </c>
      <c r="Q199" s="9" t="n">
        <v>265</v>
      </c>
      <c r="R199" s="9" t="s">
        <v>47</v>
      </c>
      <c r="S199" s="9"/>
    </row>
    <row r="200" customFormat="false" ht="15" hidden="false" customHeight="true" outlineLevel="0" collapsed="false">
      <c r="A200" s="9" t="s">
        <v>361</v>
      </c>
      <c r="B200" s="9" t="n">
        <v>1569</v>
      </c>
      <c r="C200" s="9"/>
      <c r="D200" s="9"/>
      <c r="E200" s="9" t="s">
        <v>38</v>
      </c>
      <c r="F200" s="9" t="s">
        <v>39</v>
      </c>
      <c r="G200" s="9" t="s">
        <v>40</v>
      </c>
      <c r="H200" s="9"/>
      <c r="I200" s="9" t="s">
        <v>41</v>
      </c>
      <c r="J200" s="9" t="s">
        <v>40</v>
      </c>
      <c r="K200" s="9" t="n">
        <v>1</v>
      </c>
      <c r="L200" s="9" t="s">
        <v>42</v>
      </c>
      <c r="M200" s="9" t="s">
        <v>42</v>
      </c>
      <c r="N200" s="9" t="s">
        <v>42</v>
      </c>
      <c r="O200" s="9" t="s">
        <v>42</v>
      </c>
      <c r="P200" s="9" t="s">
        <v>42</v>
      </c>
      <c r="Q200" s="9" t="n">
        <v>251</v>
      </c>
      <c r="R200" s="9" t="s">
        <v>47</v>
      </c>
      <c r="S200" s="9"/>
    </row>
    <row r="201" customFormat="false" ht="15" hidden="false" customHeight="true" outlineLevel="0" collapsed="false">
      <c r="A201" s="9" t="s">
        <v>362</v>
      </c>
      <c r="B201" s="9" t="n">
        <v>17767</v>
      </c>
      <c r="C201" s="9" t="n">
        <v>75</v>
      </c>
      <c r="D201" s="9"/>
      <c r="E201" s="9" t="s">
        <v>44</v>
      </c>
      <c r="F201" s="9" t="s">
        <v>39</v>
      </c>
      <c r="G201" s="9" t="s">
        <v>40</v>
      </c>
      <c r="H201" s="9"/>
      <c r="I201" s="9" t="s">
        <v>41</v>
      </c>
      <c r="J201" s="9" t="s">
        <v>40</v>
      </c>
      <c r="K201" s="9" t="n">
        <v>0</v>
      </c>
      <c r="L201" s="9" t="s">
        <v>42</v>
      </c>
      <c r="M201" s="9" t="s">
        <v>42</v>
      </c>
      <c r="N201" s="9" t="s">
        <v>42</v>
      </c>
      <c r="O201" s="9" t="s">
        <v>42</v>
      </c>
      <c r="P201" s="9" t="s">
        <v>42</v>
      </c>
      <c r="Q201" s="9" t="n">
        <v>25</v>
      </c>
      <c r="R201" s="9" t="s">
        <v>47</v>
      </c>
      <c r="S201" s="9" t="s">
        <v>363</v>
      </c>
    </row>
    <row r="202" customFormat="false" ht="15" hidden="false" customHeight="true" outlineLevel="0" collapsed="false">
      <c r="A202" s="9" t="s">
        <v>364</v>
      </c>
      <c r="B202" s="9" t="n">
        <v>49961</v>
      </c>
      <c r="C202" s="9"/>
      <c r="D202" s="9"/>
      <c r="E202" s="9" t="s">
        <v>38</v>
      </c>
      <c r="F202" s="9" t="s">
        <v>39</v>
      </c>
      <c r="G202" s="9" t="s">
        <v>47</v>
      </c>
      <c r="H202" s="9"/>
      <c r="I202" s="9"/>
      <c r="J202" s="9" t="s">
        <v>40</v>
      </c>
      <c r="K202" s="9" t="n">
        <v>2</v>
      </c>
      <c r="L202" s="9" t="s">
        <v>42</v>
      </c>
      <c r="M202" s="9" t="s">
        <v>42</v>
      </c>
      <c r="N202" s="9" t="s">
        <v>42</v>
      </c>
      <c r="O202" s="9" t="s">
        <v>42</v>
      </c>
      <c r="P202" s="9" t="s">
        <v>42</v>
      </c>
      <c r="Q202" s="9" t="n">
        <v>120</v>
      </c>
      <c r="R202" s="9" t="s">
        <v>47</v>
      </c>
      <c r="S202" s="9"/>
    </row>
    <row r="203" customFormat="false" ht="15" hidden="false" customHeight="true" outlineLevel="0" collapsed="false">
      <c r="A203" s="9" t="s">
        <v>365</v>
      </c>
      <c r="B203" s="9" t="n">
        <v>35135</v>
      </c>
      <c r="C203" s="9" t="n">
        <v>69</v>
      </c>
      <c r="D203" s="9"/>
      <c r="E203" s="9" t="s">
        <v>44</v>
      </c>
      <c r="F203" s="9" t="s">
        <v>201</v>
      </c>
      <c r="G203" s="9" t="s">
        <v>40</v>
      </c>
      <c r="H203" s="9"/>
      <c r="I203" s="9" t="s">
        <v>41</v>
      </c>
      <c r="J203" s="9" t="s">
        <v>40</v>
      </c>
      <c r="K203" s="9" t="n">
        <v>0</v>
      </c>
      <c r="L203" s="9" t="s">
        <v>42</v>
      </c>
      <c r="M203" s="9" t="s">
        <v>42</v>
      </c>
      <c r="N203" s="9" t="s">
        <v>42</v>
      </c>
      <c r="O203" s="9" t="s">
        <v>42</v>
      </c>
      <c r="P203" s="9" t="s">
        <v>42</v>
      </c>
      <c r="Q203" s="9" t="n">
        <v>80</v>
      </c>
      <c r="R203" s="9" t="s">
        <v>47</v>
      </c>
      <c r="S203" s="9" t="s">
        <v>366</v>
      </c>
    </row>
    <row r="204" customFormat="false" ht="15" hidden="false" customHeight="true" outlineLevel="0" collapsed="false">
      <c r="A204" s="9" t="s">
        <v>367</v>
      </c>
      <c r="B204" s="9" t="n">
        <v>78703</v>
      </c>
      <c r="C204" s="9"/>
      <c r="D204" s="9"/>
      <c r="E204" s="9" t="s">
        <v>44</v>
      </c>
      <c r="F204" s="9" t="s">
        <v>54</v>
      </c>
      <c r="G204" s="9" t="s">
        <v>47</v>
      </c>
      <c r="H204" s="9"/>
      <c r="I204" s="9" t="s">
        <v>41</v>
      </c>
      <c r="J204" s="9" t="s">
        <v>40</v>
      </c>
      <c r="K204" s="9" t="n">
        <v>2</v>
      </c>
      <c r="L204" s="9" t="s">
        <v>42</v>
      </c>
      <c r="M204" s="9" t="s">
        <v>42</v>
      </c>
      <c r="N204" s="9" t="s">
        <v>368</v>
      </c>
      <c r="O204" s="9" t="s">
        <v>42</v>
      </c>
      <c r="P204" s="9" t="s">
        <v>42</v>
      </c>
      <c r="Q204" s="9" t="n">
        <v>2803</v>
      </c>
      <c r="R204" s="9" t="s">
        <v>47</v>
      </c>
      <c r="S204" s="9"/>
    </row>
    <row r="205" customFormat="false" ht="15" hidden="false" customHeight="true" outlineLevel="0" collapsed="false">
      <c r="A205" s="9" t="s">
        <v>369</v>
      </c>
      <c r="B205" s="9" t="n">
        <v>8510</v>
      </c>
      <c r="C205" s="9" t="n">
        <v>66</v>
      </c>
      <c r="D205" s="9"/>
      <c r="E205" s="9" t="s">
        <v>44</v>
      </c>
      <c r="F205" s="9" t="s">
        <v>39</v>
      </c>
      <c r="G205" s="9" t="s">
        <v>40</v>
      </c>
      <c r="H205" s="9"/>
      <c r="I205" s="9" t="s">
        <v>41</v>
      </c>
      <c r="J205" s="9" t="s">
        <v>40</v>
      </c>
      <c r="K205" s="9" t="n">
        <v>0</v>
      </c>
      <c r="L205" s="9" t="s">
        <v>42</v>
      </c>
      <c r="M205" s="9" t="s">
        <v>42</v>
      </c>
      <c r="N205" s="9" t="s">
        <v>42</v>
      </c>
      <c r="O205" s="9" t="s">
        <v>42</v>
      </c>
      <c r="P205" s="9" t="s">
        <v>42</v>
      </c>
      <c r="Q205" s="9" t="n">
        <v>0</v>
      </c>
      <c r="R205" s="9" t="s">
        <v>40</v>
      </c>
      <c r="S205" s="9" t="s">
        <v>370</v>
      </c>
    </row>
    <row r="206" customFormat="false" ht="15" hidden="false" customHeight="true" outlineLevel="0" collapsed="false">
      <c r="A206" s="9" t="s">
        <v>371</v>
      </c>
      <c r="B206" s="9" t="n">
        <v>90265</v>
      </c>
      <c r="C206" s="9"/>
      <c r="D206" s="9" t="s">
        <v>62</v>
      </c>
      <c r="E206" s="9" t="s">
        <v>44</v>
      </c>
      <c r="F206" s="9" t="s">
        <v>54</v>
      </c>
      <c r="G206" s="9" t="s">
        <v>40</v>
      </c>
      <c r="H206" s="9"/>
      <c r="I206" s="9" t="s">
        <v>41</v>
      </c>
      <c r="J206" s="9" t="s">
        <v>40</v>
      </c>
      <c r="K206" s="9" t="n">
        <v>1</v>
      </c>
      <c r="L206" s="9" t="s">
        <v>42</v>
      </c>
      <c r="M206" s="9" t="s">
        <v>42</v>
      </c>
      <c r="N206" s="9" t="s">
        <v>42</v>
      </c>
      <c r="O206" s="9" t="s">
        <v>42</v>
      </c>
      <c r="P206" s="9" t="s">
        <v>42</v>
      </c>
      <c r="Q206" s="9" t="n">
        <v>40</v>
      </c>
      <c r="R206" s="9" t="s">
        <v>47</v>
      </c>
      <c r="S206" s="9"/>
    </row>
    <row r="207" customFormat="false" ht="15" hidden="false" customHeight="true" outlineLevel="0" collapsed="false">
      <c r="A207" s="9" t="s">
        <v>372</v>
      </c>
      <c r="B207" s="9" t="n">
        <v>1012</v>
      </c>
      <c r="C207" s="9" t="n">
        <v>42</v>
      </c>
      <c r="D207" s="9"/>
      <c r="E207" s="9" t="s">
        <v>38</v>
      </c>
      <c r="F207" s="9" t="s">
        <v>54</v>
      </c>
      <c r="G207" s="9" t="s">
        <v>47</v>
      </c>
      <c r="H207" s="9"/>
      <c r="I207" s="9" t="s">
        <v>46</v>
      </c>
      <c r="J207" s="9" t="s">
        <v>47</v>
      </c>
      <c r="K207" s="9" t="n">
        <v>0</v>
      </c>
      <c r="L207" s="9" t="s">
        <v>42</v>
      </c>
      <c r="M207" s="9" t="s">
        <v>42</v>
      </c>
      <c r="N207" s="9" t="s">
        <v>42</v>
      </c>
      <c r="O207" s="9" t="s">
        <v>42</v>
      </c>
      <c r="P207" s="9" t="s">
        <v>42</v>
      </c>
      <c r="Q207" s="9" t="n">
        <v>0</v>
      </c>
      <c r="R207" s="9" t="s">
        <v>40</v>
      </c>
      <c r="S207" s="9" t="s">
        <v>373</v>
      </c>
    </row>
    <row r="208" customFormat="false" ht="15" hidden="false" customHeight="true" outlineLevel="0" collapsed="false">
      <c r="A208" s="9" t="s">
        <v>374</v>
      </c>
      <c r="B208" s="9" t="n">
        <v>20112</v>
      </c>
      <c r="C208" s="9"/>
      <c r="D208" s="9" t="s">
        <v>62</v>
      </c>
      <c r="E208" s="9" t="s">
        <v>44</v>
      </c>
      <c r="F208" s="9" t="s">
        <v>39</v>
      </c>
      <c r="G208" s="9" t="s">
        <v>40</v>
      </c>
      <c r="H208" s="9"/>
      <c r="I208" s="9" t="s">
        <v>41</v>
      </c>
      <c r="J208" s="9" t="s">
        <v>40</v>
      </c>
      <c r="K208" s="9" t="n">
        <v>0</v>
      </c>
      <c r="L208" s="9" t="s">
        <v>42</v>
      </c>
      <c r="M208" s="9" t="s">
        <v>42</v>
      </c>
      <c r="N208" s="9" t="s">
        <v>42</v>
      </c>
      <c r="O208" s="9" t="s">
        <v>42</v>
      </c>
      <c r="P208" s="9" t="s">
        <v>42</v>
      </c>
      <c r="Q208" s="9" t="n">
        <v>84</v>
      </c>
      <c r="R208" s="9" t="s">
        <v>47</v>
      </c>
      <c r="S208" s="9"/>
    </row>
    <row r="209" customFormat="false" ht="15" hidden="false" customHeight="true" outlineLevel="0" collapsed="false">
      <c r="A209" s="9" t="s">
        <v>375</v>
      </c>
      <c r="B209" s="9" t="n">
        <v>53794</v>
      </c>
      <c r="C209" s="9"/>
      <c r="D209" s="9" t="s">
        <v>62</v>
      </c>
      <c r="E209" s="9" t="s">
        <v>44</v>
      </c>
      <c r="F209" s="9" t="s">
        <v>45</v>
      </c>
      <c r="G209" s="9" t="s">
        <v>40</v>
      </c>
      <c r="H209" s="9"/>
      <c r="I209" s="9" t="s">
        <v>41</v>
      </c>
      <c r="J209" s="9" t="s">
        <v>47</v>
      </c>
      <c r="K209" s="9" t="n">
        <v>0</v>
      </c>
      <c r="L209" s="9" t="s">
        <v>42</v>
      </c>
      <c r="M209" s="9" t="s">
        <v>42</v>
      </c>
      <c r="N209" s="9" t="s">
        <v>42</v>
      </c>
      <c r="O209" s="9" t="s">
        <v>42</v>
      </c>
      <c r="P209" s="9" t="s">
        <v>42</v>
      </c>
      <c r="Q209" s="9" t="n">
        <v>479</v>
      </c>
      <c r="R209" s="9" t="s">
        <v>47</v>
      </c>
      <c r="S209" s="9"/>
    </row>
    <row r="210" customFormat="false" ht="15" hidden="false" customHeight="true" outlineLevel="0" collapsed="false">
      <c r="A210" s="9" t="s">
        <v>376</v>
      </c>
      <c r="B210" s="9" t="n">
        <v>16151</v>
      </c>
      <c r="C210" s="9"/>
      <c r="D210" s="9" t="s">
        <v>62</v>
      </c>
      <c r="E210" s="9" t="s">
        <v>38</v>
      </c>
      <c r="F210" s="9" t="s">
        <v>39</v>
      </c>
      <c r="G210" s="9" t="s">
        <v>47</v>
      </c>
      <c r="H210" s="9"/>
      <c r="I210" s="9" t="s">
        <v>41</v>
      </c>
      <c r="J210" s="9" t="s">
        <v>40</v>
      </c>
      <c r="K210" s="9" t="n">
        <v>1</v>
      </c>
      <c r="L210" s="9" t="s">
        <v>42</v>
      </c>
      <c r="M210" s="9" t="s">
        <v>42</v>
      </c>
      <c r="N210" s="9" t="s">
        <v>42</v>
      </c>
      <c r="O210" s="9" t="s">
        <v>42</v>
      </c>
      <c r="P210" s="9" t="s">
        <v>377</v>
      </c>
      <c r="Q210" s="9" t="n">
        <v>5000</v>
      </c>
      <c r="R210" s="9" t="s">
        <v>47</v>
      </c>
      <c r="S210" s="9"/>
    </row>
    <row r="211" customFormat="false" ht="15" hidden="false" customHeight="true" outlineLevel="0" collapsed="false">
      <c r="A211" s="9" t="s">
        <v>378</v>
      </c>
      <c r="B211" s="9" t="n">
        <v>24823</v>
      </c>
      <c r="C211" s="9"/>
      <c r="D211" s="9" t="s">
        <v>62</v>
      </c>
      <c r="E211" s="9" t="s">
        <v>38</v>
      </c>
      <c r="F211" s="9" t="s">
        <v>45</v>
      </c>
      <c r="G211" s="9" t="s">
        <v>47</v>
      </c>
      <c r="H211" s="9"/>
      <c r="I211" s="9"/>
      <c r="J211" s="9" t="s">
        <v>40</v>
      </c>
      <c r="K211" s="9" t="n">
        <v>0</v>
      </c>
      <c r="L211" s="9" t="s">
        <v>42</v>
      </c>
      <c r="M211" s="9" t="s">
        <v>100</v>
      </c>
      <c r="N211" s="9" t="s">
        <v>379</v>
      </c>
      <c r="O211" s="9" t="s">
        <v>63</v>
      </c>
      <c r="P211" s="9" t="s">
        <v>42</v>
      </c>
      <c r="Q211" s="9" t="n">
        <v>784</v>
      </c>
      <c r="R211" s="9" t="s">
        <v>47</v>
      </c>
      <c r="S211" s="9"/>
    </row>
    <row r="212" customFormat="false" ht="15" hidden="false" customHeight="true" outlineLevel="0" collapsed="false">
      <c r="A212" s="9" t="s">
        <v>380</v>
      </c>
      <c r="B212" s="9" t="n">
        <v>55084</v>
      </c>
      <c r="C212" s="9"/>
      <c r="D212" s="9" t="s">
        <v>62</v>
      </c>
      <c r="E212" s="9" t="s">
        <v>38</v>
      </c>
      <c r="F212" s="9" t="s">
        <v>45</v>
      </c>
      <c r="G212" s="9" t="s">
        <v>40</v>
      </c>
      <c r="H212" s="9"/>
      <c r="I212" s="9" t="s">
        <v>46</v>
      </c>
      <c r="J212" s="9" t="s">
        <v>40</v>
      </c>
      <c r="K212" s="9" t="n">
        <v>0</v>
      </c>
      <c r="L212" s="9" t="s">
        <v>42</v>
      </c>
      <c r="M212" s="9" t="s">
        <v>381</v>
      </c>
      <c r="N212" s="9" t="s">
        <v>42</v>
      </c>
      <c r="O212" s="9" t="s">
        <v>42</v>
      </c>
      <c r="P212" s="9" t="s">
        <v>42</v>
      </c>
      <c r="Q212" s="9" t="n">
        <v>60</v>
      </c>
      <c r="R212" s="9" t="s">
        <v>47</v>
      </c>
      <c r="S212" s="9"/>
    </row>
    <row r="213" customFormat="false" ht="15" hidden="false" customHeight="true" outlineLevel="0" collapsed="false">
      <c r="A213" s="9" t="s">
        <v>382</v>
      </c>
      <c r="B213" s="9" t="n">
        <v>99321</v>
      </c>
      <c r="C213" s="9"/>
      <c r="D213" s="9" t="s">
        <v>83</v>
      </c>
      <c r="E213" s="9" t="s">
        <v>38</v>
      </c>
      <c r="F213" s="9" t="s">
        <v>45</v>
      </c>
      <c r="G213" s="9" t="s">
        <v>47</v>
      </c>
      <c r="H213" s="9"/>
      <c r="I213" s="9" t="s">
        <v>41</v>
      </c>
      <c r="J213" s="9" t="s">
        <v>47</v>
      </c>
      <c r="K213" s="9" t="n">
        <v>1</v>
      </c>
      <c r="L213" s="9" t="s">
        <v>42</v>
      </c>
      <c r="M213" s="9" t="s">
        <v>42</v>
      </c>
      <c r="N213" s="9" t="s">
        <v>42</v>
      </c>
      <c r="O213" s="9" t="s">
        <v>42</v>
      </c>
      <c r="P213" s="9" t="s">
        <v>42</v>
      </c>
      <c r="Q213" s="9" t="n">
        <v>460</v>
      </c>
      <c r="R213" s="9" t="s">
        <v>47</v>
      </c>
      <c r="S213" s="9"/>
    </row>
    <row r="214" customFormat="false" ht="15" hidden="false" customHeight="true" outlineLevel="0" collapsed="false">
      <c r="A214" s="9" t="s">
        <v>383</v>
      </c>
      <c r="B214" s="9" t="n">
        <v>69128</v>
      </c>
      <c r="C214" s="9" t="n">
        <v>23</v>
      </c>
      <c r="D214" s="9"/>
      <c r="E214" s="9" t="s">
        <v>38</v>
      </c>
      <c r="F214" s="9" t="s">
        <v>39</v>
      </c>
      <c r="G214" s="9" t="s">
        <v>40</v>
      </c>
      <c r="H214" s="9"/>
      <c r="I214" s="9" t="s">
        <v>203</v>
      </c>
      <c r="J214" s="9" t="s">
        <v>47</v>
      </c>
      <c r="K214" s="9" t="n">
        <v>0</v>
      </c>
      <c r="L214" s="9" t="s">
        <v>42</v>
      </c>
      <c r="M214" s="9" t="s">
        <v>42</v>
      </c>
      <c r="N214" s="9" t="s">
        <v>42</v>
      </c>
      <c r="O214" s="9" t="s">
        <v>42</v>
      </c>
      <c r="P214" s="9" t="s">
        <v>42</v>
      </c>
      <c r="Q214" s="9" t="n">
        <v>540</v>
      </c>
      <c r="R214" s="9" t="s">
        <v>47</v>
      </c>
      <c r="S214" s="9" t="s">
        <v>384</v>
      </c>
    </row>
    <row r="215" customFormat="false" ht="15" hidden="false" customHeight="true" outlineLevel="0" collapsed="false">
      <c r="A215" s="9" t="s">
        <v>385</v>
      </c>
      <c r="B215" s="9" t="n">
        <v>48333</v>
      </c>
      <c r="C215" s="9" t="n">
        <v>42</v>
      </c>
      <c r="D215" s="9"/>
      <c r="E215" s="9" t="s">
        <v>38</v>
      </c>
      <c r="F215" s="9" t="s">
        <v>54</v>
      </c>
      <c r="G215" s="9" t="s">
        <v>47</v>
      </c>
      <c r="H215" s="9" t="s">
        <v>226</v>
      </c>
      <c r="I215" s="9" t="s">
        <v>41</v>
      </c>
      <c r="J215" s="9" t="s">
        <v>47</v>
      </c>
      <c r="K215" s="9" t="n">
        <v>13</v>
      </c>
      <c r="L215" s="9" t="s">
        <v>42</v>
      </c>
      <c r="M215" s="9" t="s">
        <v>42</v>
      </c>
      <c r="N215" s="9" t="s">
        <v>197</v>
      </c>
      <c r="O215" s="9" t="s">
        <v>42</v>
      </c>
      <c r="P215" s="9" t="s">
        <v>42</v>
      </c>
      <c r="Q215" s="9" t="n">
        <v>391</v>
      </c>
      <c r="R215" s="9" t="s">
        <v>47</v>
      </c>
      <c r="S215" s="9" t="s">
        <v>386</v>
      </c>
    </row>
    <row r="216" customFormat="false" ht="15" hidden="false" customHeight="true" outlineLevel="0" collapsed="false">
      <c r="A216" s="9" t="s">
        <v>387</v>
      </c>
      <c r="B216" s="9" t="n">
        <v>97848</v>
      </c>
      <c r="C216" s="9"/>
      <c r="D216" s="9" t="s">
        <v>62</v>
      </c>
      <c r="E216" s="9" t="s">
        <v>38</v>
      </c>
      <c r="F216" s="9" t="s">
        <v>388</v>
      </c>
      <c r="G216" s="9" t="s">
        <v>47</v>
      </c>
      <c r="H216" s="9" t="s">
        <v>159</v>
      </c>
      <c r="I216" s="9" t="s">
        <v>41</v>
      </c>
      <c r="J216" s="9" t="s">
        <v>47</v>
      </c>
      <c r="K216" s="9" t="n">
        <v>0</v>
      </c>
      <c r="L216" s="9" t="s">
        <v>42</v>
      </c>
      <c r="M216" s="9" t="s">
        <v>42</v>
      </c>
      <c r="N216" s="9" t="s">
        <v>42</v>
      </c>
      <c r="O216" s="9" t="s">
        <v>42</v>
      </c>
      <c r="P216" s="9" t="s">
        <v>42</v>
      </c>
      <c r="Q216" s="9" t="n">
        <v>80</v>
      </c>
      <c r="R216" s="9" t="s">
        <v>47</v>
      </c>
      <c r="S216" s="9"/>
    </row>
    <row r="217" customFormat="false" ht="15" hidden="false" customHeight="true" outlineLevel="0" collapsed="false">
      <c r="A217" s="9" t="s">
        <v>389</v>
      </c>
      <c r="B217" s="9" t="n">
        <v>53226</v>
      </c>
      <c r="C217" s="9" t="n">
        <v>31</v>
      </c>
      <c r="D217" s="9"/>
      <c r="E217" s="9" t="s">
        <v>38</v>
      </c>
      <c r="F217" s="9" t="s">
        <v>45</v>
      </c>
      <c r="G217" s="9" t="s">
        <v>40</v>
      </c>
      <c r="H217" s="9"/>
      <c r="I217" s="9" t="s">
        <v>41</v>
      </c>
      <c r="J217" s="9" t="s">
        <v>47</v>
      </c>
      <c r="K217" s="9" t="n">
        <v>0</v>
      </c>
      <c r="L217" s="9" t="s">
        <v>42</v>
      </c>
      <c r="M217" s="9" t="s">
        <v>42</v>
      </c>
      <c r="N217" s="9" t="s">
        <v>42</v>
      </c>
      <c r="O217" s="9" t="s">
        <v>42</v>
      </c>
      <c r="P217" s="9" t="s">
        <v>42</v>
      </c>
      <c r="Q217" s="9" t="n">
        <v>0</v>
      </c>
      <c r="R217" s="9" t="s">
        <v>40</v>
      </c>
      <c r="S217" s="9" t="s">
        <v>390</v>
      </c>
    </row>
    <row r="218" customFormat="false" ht="15" hidden="false" customHeight="true" outlineLevel="0" collapsed="false">
      <c r="A218" s="9" t="s">
        <v>391</v>
      </c>
      <c r="B218" s="9" t="n">
        <v>90265</v>
      </c>
      <c r="C218" s="9"/>
      <c r="D218" s="9" t="s">
        <v>62</v>
      </c>
      <c r="E218" s="9" t="s">
        <v>44</v>
      </c>
      <c r="F218" s="9" t="s">
        <v>39</v>
      </c>
      <c r="G218" s="9" t="s">
        <v>47</v>
      </c>
      <c r="H218" s="9"/>
      <c r="I218" s="9" t="s">
        <v>41</v>
      </c>
      <c r="J218" s="9" t="s">
        <v>40</v>
      </c>
      <c r="K218" s="9" t="n">
        <v>3</v>
      </c>
      <c r="L218" s="9" t="s">
        <v>42</v>
      </c>
      <c r="M218" s="9" t="s">
        <v>42</v>
      </c>
      <c r="N218" s="9" t="s">
        <v>42</v>
      </c>
      <c r="O218" s="9" t="s">
        <v>42</v>
      </c>
      <c r="P218" s="9" t="s">
        <v>42</v>
      </c>
      <c r="Q218" s="9" t="n">
        <v>0</v>
      </c>
      <c r="R218" s="9" t="s">
        <v>40</v>
      </c>
      <c r="S218" s="9"/>
    </row>
    <row r="219" customFormat="false" ht="15" hidden="false" customHeight="true" outlineLevel="0" collapsed="false">
      <c r="A219" s="9" t="s">
        <v>392</v>
      </c>
      <c r="B219" s="9" t="n">
        <v>44845</v>
      </c>
      <c r="C219" s="9" t="n">
        <v>39</v>
      </c>
      <c r="D219" s="9"/>
      <c r="E219" s="9" t="s">
        <v>44</v>
      </c>
      <c r="F219" s="9" t="s">
        <v>54</v>
      </c>
      <c r="G219" s="9" t="s">
        <v>47</v>
      </c>
      <c r="H219" s="9"/>
      <c r="I219" s="9" t="s">
        <v>41</v>
      </c>
      <c r="J219" s="9" t="s">
        <v>47</v>
      </c>
      <c r="K219" s="9" t="n">
        <v>0</v>
      </c>
      <c r="L219" s="9" t="s">
        <v>42</v>
      </c>
      <c r="M219" s="9" t="s">
        <v>42</v>
      </c>
      <c r="N219" s="9" t="s">
        <v>42</v>
      </c>
      <c r="O219" s="9" t="s">
        <v>42</v>
      </c>
      <c r="P219" s="9" t="s">
        <v>42</v>
      </c>
      <c r="Q219" s="9" t="n">
        <v>0</v>
      </c>
      <c r="R219" s="9" t="s">
        <v>40</v>
      </c>
      <c r="S219" s="9" t="s">
        <v>393</v>
      </c>
    </row>
    <row r="220" customFormat="false" ht="15" hidden="false" customHeight="true" outlineLevel="0" collapsed="false">
      <c r="A220" s="9" t="s">
        <v>394</v>
      </c>
      <c r="B220" s="9" t="n">
        <v>27871</v>
      </c>
      <c r="C220" s="9"/>
      <c r="D220" s="9" t="s">
        <v>62</v>
      </c>
      <c r="E220" s="9" t="s">
        <v>38</v>
      </c>
      <c r="F220" s="9" t="s">
        <v>45</v>
      </c>
      <c r="G220" s="9" t="s">
        <v>40</v>
      </c>
      <c r="H220" s="9"/>
      <c r="I220" s="9" t="s">
        <v>41</v>
      </c>
      <c r="J220" s="9" t="s">
        <v>40</v>
      </c>
      <c r="K220" s="9" t="n">
        <v>0</v>
      </c>
      <c r="L220" s="9" t="s">
        <v>42</v>
      </c>
      <c r="M220" s="9" t="s">
        <v>42</v>
      </c>
      <c r="N220" s="9" t="s">
        <v>42</v>
      </c>
      <c r="O220" s="9" t="s">
        <v>42</v>
      </c>
      <c r="P220" s="9" t="s">
        <v>42</v>
      </c>
      <c r="Q220" s="9" t="n">
        <v>85</v>
      </c>
      <c r="R220" s="9" t="s">
        <v>47</v>
      </c>
      <c r="S220" s="9"/>
    </row>
    <row r="221" customFormat="false" ht="15" hidden="false" customHeight="true" outlineLevel="0" collapsed="false">
      <c r="A221" s="9" t="s">
        <v>395</v>
      </c>
      <c r="B221" s="9" t="n">
        <v>69142</v>
      </c>
      <c r="C221" s="9"/>
      <c r="D221" s="9"/>
      <c r="E221" s="9" t="s">
        <v>44</v>
      </c>
      <c r="F221" s="9" t="s">
        <v>39</v>
      </c>
      <c r="G221" s="9" t="s">
        <v>40</v>
      </c>
      <c r="H221" s="9"/>
      <c r="I221" s="9" t="s">
        <v>41</v>
      </c>
      <c r="J221" s="9" t="s">
        <v>40</v>
      </c>
      <c r="K221" s="9" t="n">
        <v>1</v>
      </c>
      <c r="L221" s="9" t="s">
        <v>42</v>
      </c>
      <c r="M221" s="9" t="s">
        <v>42</v>
      </c>
      <c r="N221" s="9" t="s">
        <v>42</v>
      </c>
      <c r="O221" s="9" t="s">
        <v>42</v>
      </c>
      <c r="P221" s="9" t="s">
        <v>313</v>
      </c>
      <c r="Q221" s="9" t="n">
        <v>500</v>
      </c>
      <c r="R221" s="9" t="s">
        <v>47</v>
      </c>
      <c r="S221" s="9"/>
    </row>
    <row r="222" customFormat="false" ht="15" hidden="false" customHeight="true" outlineLevel="0" collapsed="false">
      <c r="A222" s="9" t="s">
        <v>396</v>
      </c>
      <c r="B222" s="9" t="n">
        <v>6784</v>
      </c>
      <c r="C222" s="9"/>
      <c r="D222" s="9"/>
      <c r="E222" s="9" t="s">
        <v>38</v>
      </c>
      <c r="F222" s="9" t="s">
        <v>54</v>
      </c>
      <c r="G222" s="9" t="s">
        <v>40</v>
      </c>
      <c r="H222" s="9"/>
      <c r="I222" s="9"/>
      <c r="J222" s="9" t="s">
        <v>40</v>
      </c>
      <c r="K222" s="9" t="n">
        <v>0</v>
      </c>
      <c r="L222" s="9" t="s">
        <v>42</v>
      </c>
      <c r="M222" s="9" t="s">
        <v>42</v>
      </c>
      <c r="N222" s="9" t="s">
        <v>42</v>
      </c>
      <c r="O222" s="9" t="s">
        <v>42</v>
      </c>
      <c r="P222" s="9" t="s">
        <v>42</v>
      </c>
      <c r="Q222" s="9" t="n">
        <v>25</v>
      </c>
      <c r="R222" s="9" t="s">
        <v>47</v>
      </c>
      <c r="S222" s="9"/>
    </row>
    <row r="223" customFormat="false" ht="15" hidden="false" customHeight="true" outlineLevel="0" collapsed="false">
      <c r="A223" s="9" t="s">
        <v>397</v>
      </c>
      <c r="B223" s="9" t="n">
        <v>65608</v>
      </c>
      <c r="C223" s="9"/>
      <c r="D223" s="9"/>
      <c r="E223" s="9" t="s">
        <v>38</v>
      </c>
      <c r="F223" s="9" t="s">
        <v>39</v>
      </c>
      <c r="G223" s="9" t="s">
        <v>40</v>
      </c>
      <c r="H223" s="9"/>
      <c r="I223" s="9" t="s">
        <v>41</v>
      </c>
      <c r="J223" s="9" t="s">
        <v>40</v>
      </c>
      <c r="K223" s="9" t="n">
        <v>7</v>
      </c>
      <c r="L223" s="9" t="s">
        <v>42</v>
      </c>
      <c r="M223" s="9" t="s">
        <v>198</v>
      </c>
      <c r="N223" s="9" t="s">
        <v>42</v>
      </c>
      <c r="O223" s="9" t="s">
        <v>42</v>
      </c>
      <c r="P223" s="9" t="s">
        <v>42</v>
      </c>
      <c r="Q223" s="9" t="n">
        <v>150</v>
      </c>
      <c r="R223" s="9" t="s">
        <v>47</v>
      </c>
      <c r="S223" s="9"/>
    </row>
    <row r="224" customFormat="false" ht="15" hidden="false" customHeight="true" outlineLevel="0" collapsed="false">
      <c r="A224" s="9" t="s">
        <v>398</v>
      </c>
      <c r="B224" s="9" t="n">
        <v>81247</v>
      </c>
      <c r="C224" s="9" t="n">
        <v>30</v>
      </c>
      <c r="D224" s="9"/>
      <c r="E224" s="9" t="s">
        <v>44</v>
      </c>
      <c r="F224" s="9" t="s">
        <v>54</v>
      </c>
      <c r="G224" s="9" t="s">
        <v>40</v>
      </c>
      <c r="H224" s="9"/>
      <c r="I224" s="9" t="s">
        <v>41</v>
      </c>
      <c r="J224" s="9" t="s">
        <v>47</v>
      </c>
      <c r="K224" s="9" t="n">
        <v>0</v>
      </c>
      <c r="L224" s="9" t="s">
        <v>42</v>
      </c>
      <c r="M224" s="9" t="s">
        <v>42</v>
      </c>
      <c r="N224" s="9" t="s">
        <v>42</v>
      </c>
      <c r="O224" s="9" t="s">
        <v>42</v>
      </c>
      <c r="P224" s="9" t="s">
        <v>42</v>
      </c>
      <c r="Q224" s="9" t="n">
        <v>30</v>
      </c>
      <c r="R224" s="9" t="s">
        <v>47</v>
      </c>
      <c r="S224" s="9" t="s">
        <v>399</v>
      </c>
    </row>
    <row r="225" customFormat="false" ht="15" hidden="false" customHeight="true" outlineLevel="0" collapsed="false">
      <c r="A225" s="9" t="s">
        <v>400</v>
      </c>
      <c r="B225" s="9" t="n">
        <v>93727</v>
      </c>
      <c r="C225" s="9" t="n">
        <v>85</v>
      </c>
      <c r="D225" s="9"/>
      <c r="E225" s="9" t="s">
        <v>38</v>
      </c>
      <c r="F225" s="9" t="s">
        <v>39</v>
      </c>
      <c r="G225" s="9" t="s">
        <v>40</v>
      </c>
      <c r="H225" s="9"/>
      <c r="I225" s="9" t="s">
        <v>41</v>
      </c>
      <c r="J225" s="9" t="s">
        <v>40</v>
      </c>
      <c r="K225" s="9" t="n">
        <v>0</v>
      </c>
      <c r="L225" s="9" t="s">
        <v>42</v>
      </c>
      <c r="M225" s="9" t="s">
        <v>42</v>
      </c>
      <c r="N225" s="9" t="s">
        <v>42</v>
      </c>
      <c r="O225" s="9" t="s">
        <v>42</v>
      </c>
      <c r="P225" s="9" t="s">
        <v>42</v>
      </c>
      <c r="Q225" s="9" t="n">
        <v>0</v>
      </c>
      <c r="R225" s="9" t="s">
        <v>40</v>
      </c>
      <c r="S225" s="9" t="s">
        <v>401</v>
      </c>
    </row>
    <row r="226" customFormat="false" ht="15" hidden="false" customHeight="true" outlineLevel="0" collapsed="false">
      <c r="A226" s="9" t="s">
        <v>402</v>
      </c>
      <c r="B226" s="9" t="n">
        <v>90265</v>
      </c>
      <c r="C226" s="9"/>
      <c r="D226" s="9" t="s">
        <v>62</v>
      </c>
      <c r="E226" s="9" t="s">
        <v>44</v>
      </c>
      <c r="F226" s="9" t="s">
        <v>45</v>
      </c>
      <c r="G226" s="9" t="s">
        <v>47</v>
      </c>
      <c r="H226" s="9"/>
      <c r="I226" s="9" t="s">
        <v>41</v>
      </c>
      <c r="J226" s="9" t="s">
        <v>40</v>
      </c>
      <c r="K226" s="9" t="n">
        <v>0</v>
      </c>
      <c r="L226" s="9" t="s">
        <v>42</v>
      </c>
      <c r="M226" s="9" t="s">
        <v>42</v>
      </c>
      <c r="N226" s="9" t="s">
        <v>42</v>
      </c>
      <c r="O226" s="9" t="s">
        <v>89</v>
      </c>
      <c r="P226" s="9" t="s">
        <v>42</v>
      </c>
      <c r="Q226" s="9" t="n">
        <v>50</v>
      </c>
      <c r="R226" s="9" t="s">
        <v>47</v>
      </c>
      <c r="S226" s="9"/>
    </row>
    <row r="227" customFormat="false" ht="15" hidden="false" customHeight="true" outlineLevel="0" collapsed="false">
      <c r="A227" s="9" t="s">
        <v>403</v>
      </c>
      <c r="B227" s="9" t="n">
        <v>52223</v>
      </c>
      <c r="C227" s="9" t="n">
        <v>63</v>
      </c>
      <c r="D227" s="9"/>
      <c r="E227" s="9" t="s">
        <v>44</v>
      </c>
      <c r="F227" s="9" t="s">
        <v>39</v>
      </c>
      <c r="G227" s="9" t="s">
        <v>40</v>
      </c>
      <c r="H227" s="9"/>
      <c r="I227" s="9" t="s">
        <v>41</v>
      </c>
      <c r="J227" s="9" t="s">
        <v>40</v>
      </c>
      <c r="K227" s="9" t="n">
        <v>0</v>
      </c>
      <c r="L227" s="9" t="s">
        <v>377</v>
      </c>
      <c r="M227" s="9" t="s">
        <v>42</v>
      </c>
      <c r="N227" s="9" t="s">
        <v>42</v>
      </c>
      <c r="O227" s="9" t="s">
        <v>42</v>
      </c>
      <c r="P227" s="9" t="s">
        <v>42</v>
      </c>
      <c r="Q227" s="9" t="n">
        <v>5000</v>
      </c>
      <c r="R227" s="9" t="s">
        <v>47</v>
      </c>
      <c r="S227" s="9" t="s">
        <v>404</v>
      </c>
    </row>
    <row r="228" customFormat="false" ht="15" hidden="false" customHeight="true" outlineLevel="0" collapsed="false">
      <c r="A228" s="9" t="s">
        <v>405</v>
      </c>
      <c r="B228" s="9" t="n">
        <v>43450</v>
      </c>
      <c r="C228" s="9"/>
      <c r="D228" s="9"/>
      <c r="E228" s="9" t="s">
        <v>44</v>
      </c>
      <c r="F228" s="9" t="s">
        <v>39</v>
      </c>
      <c r="G228" s="9" t="s">
        <v>40</v>
      </c>
      <c r="H228" s="9"/>
      <c r="I228" s="9" t="s">
        <v>41</v>
      </c>
      <c r="J228" s="9" t="s">
        <v>40</v>
      </c>
      <c r="K228" s="9" t="n">
        <v>1</v>
      </c>
      <c r="L228" s="9" t="s">
        <v>42</v>
      </c>
      <c r="M228" s="9" t="s">
        <v>42</v>
      </c>
      <c r="N228" s="9" t="s">
        <v>42</v>
      </c>
      <c r="O228" s="9" t="s">
        <v>42</v>
      </c>
      <c r="P228" s="9" t="s">
        <v>42</v>
      </c>
      <c r="Q228" s="9" t="n">
        <v>1055</v>
      </c>
      <c r="R228" s="9" t="s">
        <v>47</v>
      </c>
      <c r="S228" s="9"/>
    </row>
    <row r="229" customFormat="false" ht="15" hidden="false" customHeight="true" outlineLevel="0" collapsed="false">
      <c r="A229" s="9" t="s">
        <v>406</v>
      </c>
      <c r="B229" s="9" t="n">
        <v>23501</v>
      </c>
      <c r="C229" s="9"/>
      <c r="D229" s="9"/>
      <c r="E229" s="9" t="s">
        <v>38</v>
      </c>
      <c r="F229" s="9" t="s">
        <v>39</v>
      </c>
      <c r="G229" s="9" t="s">
        <v>40</v>
      </c>
      <c r="H229" s="9"/>
      <c r="I229" s="9" t="s">
        <v>41</v>
      </c>
      <c r="J229" s="9" t="s">
        <v>40</v>
      </c>
      <c r="K229" s="9" t="n">
        <v>1</v>
      </c>
      <c r="L229" s="9" t="s">
        <v>42</v>
      </c>
      <c r="M229" s="9" t="s">
        <v>42</v>
      </c>
      <c r="N229" s="9" t="s">
        <v>42</v>
      </c>
      <c r="O229" s="9" t="s">
        <v>407</v>
      </c>
      <c r="P229" s="9" t="s">
        <v>42</v>
      </c>
      <c r="Q229" s="9" t="n">
        <v>270</v>
      </c>
      <c r="R229" s="9" t="s">
        <v>47</v>
      </c>
      <c r="S229" s="9"/>
    </row>
    <row r="230" customFormat="false" ht="15" hidden="false" customHeight="true" outlineLevel="0" collapsed="false">
      <c r="A230" s="9" t="s">
        <v>408</v>
      </c>
      <c r="B230" s="9" t="n">
        <v>29046</v>
      </c>
      <c r="C230" s="9" t="n">
        <v>32</v>
      </c>
      <c r="D230" s="9"/>
      <c r="E230" s="9" t="s">
        <v>38</v>
      </c>
      <c r="F230" s="9" t="s">
        <v>39</v>
      </c>
      <c r="G230" s="9" t="s">
        <v>40</v>
      </c>
      <c r="H230" s="9"/>
      <c r="I230" s="9" t="s">
        <v>41</v>
      </c>
      <c r="J230" s="9" t="s">
        <v>47</v>
      </c>
      <c r="K230" s="9" t="n">
        <v>0</v>
      </c>
      <c r="L230" s="9" t="s">
        <v>42</v>
      </c>
      <c r="M230" s="9" t="s">
        <v>42</v>
      </c>
      <c r="N230" s="9" t="s">
        <v>42</v>
      </c>
      <c r="O230" s="9" t="s">
        <v>42</v>
      </c>
      <c r="P230" s="9" t="s">
        <v>42</v>
      </c>
      <c r="Q230" s="9" t="n">
        <v>1</v>
      </c>
      <c r="R230" s="9" t="s">
        <v>47</v>
      </c>
      <c r="S230" s="9" t="s">
        <v>409</v>
      </c>
    </row>
    <row r="231" customFormat="false" ht="15" hidden="false" customHeight="true" outlineLevel="0" collapsed="false">
      <c r="A231" s="9" t="s">
        <v>410</v>
      </c>
      <c r="B231" s="9" t="n">
        <v>68321</v>
      </c>
      <c r="C231" s="9"/>
      <c r="D231" s="9"/>
      <c r="E231" s="9"/>
      <c r="F231" s="9" t="s">
        <v>39</v>
      </c>
      <c r="G231" s="9" t="s">
        <v>40</v>
      </c>
      <c r="H231" s="9"/>
      <c r="I231" s="9" t="s">
        <v>41</v>
      </c>
      <c r="J231" s="9" t="s">
        <v>40</v>
      </c>
      <c r="K231" s="9" t="n">
        <v>1</v>
      </c>
      <c r="L231" s="9" t="s">
        <v>42</v>
      </c>
      <c r="M231" s="9" t="s">
        <v>42</v>
      </c>
      <c r="N231" s="9" t="s">
        <v>42</v>
      </c>
      <c r="O231" s="9" t="s">
        <v>42</v>
      </c>
      <c r="P231" s="9" t="s">
        <v>42</v>
      </c>
      <c r="Q231" s="9" t="n">
        <v>0</v>
      </c>
      <c r="R231" s="9" t="s">
        <v>40</v>
      </c>
      <c r="S231" s="9"/>
    </row>
    <row r="232" customFormat="false" ht="15" hidden="false" customHeight="true" outlineLevel="0" collapsed="false">
      <c r="A232" s="9" t="s">
        <v>411</v>
      </c>
      <c r="B232" s="9" t="n">
        <v>24613</v>
      </c>
      <c r="C232" s="9"/>
      <c r="D232" s="9"/>
      <c r="E232" s="9" t="s">
        <v>38</v>
      </c>
      <c r="F232" s="9" t="s">
        <v>45</v>
      </c>
      <c r="G232" s="9" t="s">
        <v>40</v>
      </c>
      <c r="H232" s="9"/>
      <c r="I232" s="9" t="s">
        <v>41</v>
      </c>
      <c r="J232" s="9" t="s">
        <v>47</v>
      </c>
      <c r="K232" s="9" t="n">
        <v>0</v>
      </c>
      <c r="L232" s="9" t="s">
        <v>42</v>
      </c>
      <c r="M232" s="9" t="s">
        <v>42</v>
      </c>
      <c r="N232" s="9" t="s">
        <v>42</v>
      </c>
      <c r="O232" s="9" t="s">
        <v>42</v>
      </c>
      <c r="P232" s="9" t="s">
        <v>42</v>
      </c>
      <c r="Q232" s="9" t="n">
        <v>0</v>
      </c>
      <c r="R232" s="9" t="s">
        <v>40</v>
      </c>
      <c r="S232" s="9"/>
    </row>
    <row r="233" customFormat="false" ht="15" hidden="false" customHeight="true" outlineLevel="0" collapsed="false">
      <c r="A233" s="9" t="s">
        <v>412</v>
      </c>
      <c r="B233" s="9" t="n">
        <v>96728</v>
      </c>
      <c r="C233" s="9" t="n">
        <v>20</v>
      </c>
      <c r="D233" s="9"/>
      <c r="E233" s="9" t="s">
        <v>38</v>
      </c>
      <c r="F233" s="9" t="s">
        <v>54</v>
      </c>
      <c r="G233" s="9" t="s">
        <v>40</v>
      </c>
      <c r="H233" s="9" t="s">
        <v>159</v>
      </c>
      <c r="I233" s="9" t="s">
        <v>41</v>
      </c>
      <c r="J233" s="9" t="s">
        <v>40</v>
      </c>
      <c r="K233" s="9" t="n">
        <v>1</v>
      </c>
      <c r="L233" s="9" t="s">
        <v>42</v>
      </c>
      <c r="M233" s="9" t="s">
        <v>42</v>
      </c>
      <c r="N233" s="9" t="s">
        <v>42</v>
      </c>
      <c r="O233" s="9" t="s">
        <v>42</v>
      </c>
      <c r="P233" s="9" t="s">
        <v>42</v>
      </c>
      <c r="Q233" s="9" t="n">
        <v>0</v>
      </c>
      <c r="R233" s="9" t="s">
        <v>40</v>
      </c>
      <c r="S233" s="9" t="s">
        <v>413</v>
      </c>
    </row>
    <row r="234" customFormat="false" ht="15" hidden="false" customHeight="true" outlineLevel="0" collapsed="false">
      <c r="A234" s="9" t="s">
        <v>414</v>
      </c>
      <c r="B234" s="9" t="n">
        <v>70537</v>
      </c>
      <c r="C234" s="9" t="n">
        <v>76</v>
      </c>
      <c r="D234" s="9" t="s">
        <v>62</v>
      </c>
      <c r="E234" s="9" t="s">
        <v>44</v>
      </c>
      <c r="F234" s="9" t="s">
        <v>39</v>
      </c>
      <c r="G234" s="9" t="s">
        <v>47</v>
      </c>
      <c r="H234" s="9" t="s">
        <v>226</v>
      </c>
      <c r="I234" s="9" t="s">
        <v>41</v>
      </c>
      <c r="J234" s="9" t="s">
        <v>40</v>
      </c>
      <c r="K234" s="9" t="n">
        <v>4</v>
      </c>
      <c r="L234" s="9" t="s">
        <v>42</v>
      </c>
      <c r="M234" s="9" t="s">
        <v>42</v>
      </c>
      <c r="N234" s="9" t="s">
        <v>42</v>
      </c>
      <c r="O234" s="9" t="s">
        <v>42</v>
      </c>
      <c r="P234" s="9" t="s">
        <v>42</v>
      </c>
      <c r="Q234" s="9" t="n">
        <v>40</v>
      </c>
      <c r="R234" s="9" t="s">
        <v>47</v>
      </c>
      <c r="S234" s="9" t="s">
        <v>415</v>
      </c>
    </row>
    <row r="235" customFormat="false" ht="15" hidden="false" customHeight="true" outlineLevel="0" collapsed="false">
      <c r="A235" s="9" t="s">
        <v>416</v>
      </c>
      <c r="B235" s="9" t="n">
        <v>90265</v>
      </c>
      <c r="C235" s="9"/>
      <c r="D235" s="9"/>
      <c r="E235" s="9" t="s">
        <v>44</v>
      </c>
      <c r="F235" s="9" t="s">
        <v>39</v>
      </c>
      <c r="G235" s="9" t="s">
        <v>40</v>
      </c>
      <c r="H235" s="9"/>
      <c r="I235" s="9" t="s">
        <v>41</v>
      </c>
      <c r="J235" s="9" t="s">
        <v>47</v>
      </c>
      <c r="K235" s="9" t="n">
        <v>1</v>
      </c>
      <c r="L235" s="9" t="s">
        <v>42</v>
      </c>
      <c r="M235" s="9" t="s">
        <v>42</v>
      </c>
      <c r="N235" s="9" t="s">
        <v>42</v>
      </c>
      <c r="O235" s="9" t="s">
        <v>42</v>
      </c>
      <c r="P235" s="9" t="s">
        <v>42</v>
      </c>
      <c r="Q235" s="9" t="n">
        <v>0</v>
      </c>
      <c r="R235" s="9" t="s">
        <v>40</v>
      </c>
      <c r="S235" s="9"/>
    </row>
    <row r="236" customFormat="false" ht="15" hidden="false" customHeight="true" outlineLevel="0" collapsed="false">
      <c r="A236" s="9" t="s">
        <v>417</v>
      </c>
      <c r="B236" s="9" t="n">
        <v>86046</v>
      </c>
      <c r="C236" s="9"/>
      <c r="D236" s="9"/>
      <c r="E236" s="9" t="s">
        <v>38</v>
      </c>
      <c r="F236" s="9" t="s">
        <v>39</v>
      </c>
      <c r="G236" s="9" t="s">
        <v>40</v>
      </c>
      <c r="H236" s="9"/>
      <c r="I236" s="9" t="s">
        <v>41</v>
      </c>
      <c r="J236" s="9" t="s">
        <v>40</v>
      </c>
      <c r="K236" s="9" t="n">
        <v>1</v>
      </c>
      <c r="L236" s="9" t="s">
        <v>42</v>
      </c>
      <c r="M236" s="9" t="s">
        <v>42</v>
      </c>
      <c r="N236" s="9" t="s">
        <v>42</v>
      </c>
      <c r="O236" s="9" t="s">
        <v>42</v>
      </c>
      <c r="P236" s="9" t="s">
        <v>42</v>
      </c>
      <c r="Q236" s="9" t="n">
        <v>0</v>
      </c>
      <c r="R236" s="9" t="s">
        <v>40</v>
      </c>
      <c r="S236" s="9"/>
    </row>
    <row r="237" customFormat="false" ht="15" hidden="false" customHeight="true" outlineLevel="0" collapsed="false">
      <c r="A237" s="9" t="s">
        <v>418</v>
      </c>
      <c r="B237" s="9" t="n">
        <v>96629</v>
      </c>
      <c r="C237" s="9" t="n">
        <v>35</v>
      </c>
      <c r="D237" s="9"/>
      <c r="E237" s="9" t="s">
        <v>38</v>
      </c>
      <c r="F237" s="9" t="s">
        <v>39</v>
      </c>
      <c r="G237" s="9" t="s">
        <v>40</v>
      </c>
      <c r="H237" s="9"/>
      <c r="I237" s="9" t="s">
        <v>41</v>
      </c>
      <c r="J237" s="9" t="s">
        <v>40</v>
      </c>
      <c r="K237" s="9" t="n">
        <v>0</v>
      </c>
      <c r="L237" s="9" t="s">
        <v>42</v>
      </c>
      <c r="M237" s="9" t="s">
        <v>42</v>
      </c>
      <c r="N237" s="9" t="s">
        <v>42</v>
      </c>
      <c r="O237" s="9" t="s">
        <v>42</v>
      </c>
      <c r="P237" s="9" t="s">
        <v>42</v>
      </c>
      <c r="Q237" s="9" t="n">
        <v>5</v>
      </c>
      <c r="R237" s="9" t="s">
        <v>47</v>
      </c>
      <c r="S237" s="9" t="s">
        <v>419</v>
      </c>
    </row>
    <row r="238" customFormat="false" ht="15" hidden="false" customHeight="true" outlineLevel="0" collapsed="false">
      <c r="A238" s="9" t="s">
        <v>420</v>
      </c>
      <c r="B238" s="9" t="n">
        <v>27110</v>
      </c>
      <c r="C238" s="9" t="n">
        <v>80</v>
      </c>
      <c r="D238" s="9" t="s">
        <v>62</v>
      </c>
      <c r="E238" s="9" t="s">
        <v>38</v>
      </c>
      <c r="F238" s="9" t="s">
        <v>54</v>
      </c>
      <c r="G238" s="9" t="s">
        <v>47</v>
      </c>
      <c r="H238" s="9"/>
      <c r="I238" s="9" t="s">
        <v>46</v>
      </c>
      <c r="J238" s="9" t="s">
        <v>40</v>
      </c>
      <c r="K238" s="9" t="n">
        <v>13</v>
      </c>
      <c r="L238" s="9" t="s">
        <v>42</v>
      </c>
      <c r="M238" s="9" t="s">
        <v>42</v>
      </c>
      <c r="N238" s="9" t="s">
        <v>42</v>
      </c>
      <c r="O238" s="9" t="s">
        <v>42</v>
      </c>
      <c r="P238" s="9" t="s">
        <v>42</v>
      </c>
      <c r="Q238" s="9" t="n">
        <v>4270</v>
      </c>
      <c r="R238" s="9" t="s">
        <v>47</v>
      </c>
      <c r="S238" s="9" t="s">
        <v>421</v>
      </c>
    </row>
    <row r="239" customFormat="false" ht="15" hidden="false" customHeight="true" outlineLevel="0" collapsed="false">
      <c r="A239" s="9" t="s">
        <v>422</v>
      </c>
      <c r="B239" s="9" t="n">
        <v>44864</v>
      </c>
      <c r="C239" s="9" t="n">
        <v>27</v>
      </c>
      <c r="D239" s="9"/>
      <c r="E239" s="9" t="s">
        <v>44</v>
      </c>
      <c r="F239" s="9" t="s">
        <v>54</v>
      </c>
      <c r="G239" s="9" t="s">
        <v>47</v>
      </c>
      <c r="H239" s="9"/>
      <c r="I239" s="9" t="s">
        <v>41</v>
      </c>
      <c r="J239" s="9" t="s">
        <v>47</v>
      </c>
      <c r="K239" s="9" t="n">
        <v>0</v>
      </c>
      <c r="L239" s="9" t="s">
        <v>42</v>
      </c>
      <c r="M239" s="9" t="s">
        <v>42</v>
      </c>
      <c r="N239" s="9" t="s">
        <v>42</v>
      </c>
      <c r="O239" s="9" t="s">
        <v>42</v>
      </c>
      <c r="P239" s="9" t="s">
        <v>42</v>
      </c>
      <c r="Q239" s="9" t="n">
        <v>25</v>
      </c>
      <c r="R239" s="9" t="s">
        <v>47</v>
      </c>
      <c r="S239" s="9" t="s">
        <v>423</v>
      </c>
    </row>
    <row r="240" customFormat="false" ht="15" hidden="false" customHeight="true" outlineLevel="0" collapsed="false">
      <c r="A240" s="9" t="s">
        <v>424</v>
      </c>
      <c r="B240" s="9" t="n">
        <v>19059</v>
      </c>
      <c r="C240" s="9"/>
      <c r="D240" s="9" t="s">
        <v>83</v>
      </c>
      <c r="E240" s="9" t="s">
        <v>38</v>
      </c>
      <c r="F240" s="9" t="s">
        <v>39</v>
      </c>
      <c r="G240" s="9" t="s">
        <v>47</v>
      </c>
      <c r="H240" s="9"/>
      <c r="I240" s="9" t="s">
        <v>46</v>
      </c>
      <c r="J240" s="9" t="s">
        <v>40</v>
      </c>
      <c r="K240" s="9" t="n">
        <v>0</v>
      </c>
      <c r="L240" s="9" t="s">
        <v>42</v>
      </c>
      <c r="M240" s="9" t="s">
        <v>57</v>
      </c>
      <c r="N240" s="9" t="s">
        <v>42</v>
      </c>
      <c r="O240" s="9" t="s">
        <v>42</v>
      </c>
      <c r="P240" s="9" t="s">
        <v>42</v>
      </c>
      <c r="Q240" s="9" t="n">
        <v>45</v>
      </c>
      <c r="R240" s="9" t="s">
        <v>47</v>
      </c>
      <c r="S240" s="9"/>
    </row>
    <row r="241" customFormat="false" ht="15" hidden="false" customHeight="true" outlineLevel="0" collapsed="false">
      <c r="A241" s="9" t="s">
        <v>425</v>
      </c>
      <c r="B241" s="9" t="n">
        <v>96805</v>
      </c>
      <c r="C241" s="9" t="n">
        <v>61</v>
      </c>
      <c r="D241" s="9"/>
      <c r="E241" s="9" t="s">
        <v>38</v>
      </c>
      <c r="F241" s="9" t="s">
        <v>39</v>
      </c>
      <c r="G241" s="9" t="s">
        <v>40</v>
      </c>
      <c r="H241" s="9"/>
      <c r="I241" s="9" t="s">
        <v>41</v>
      </c>
      <c r="J241" s="9" t="s">
        <v>40</v>
      </c>
      <c r="K241" s="9" t="n">
        <v>0</v>
      </c>
      <c r="L241" s="9" t="s">
        <v>42</v>
      </c>
      <c r="M241" s="9" t="s">
        <v>42</v>
      </c>
      <c r="N241" s="9" t="s">
        <v>42</v>
      </c>
      <c r="O241" s="9" t="s">
        <v>42</v>
      </c>
      <c r="P241" s="9" t="s">
        <v>42</v>
      </c>
      <c r="Q241" s="9" t="n">
        <v>50</v>
      </c>
      <c r="R241" s="9" t="s">
        <v>47</v>
      </c>
      <c r="S241" s="9" t="s">
        <v>426</v>
      </c>
    </row>
    <row r="242" customFormat="false" ht="15" hidden="false" customHeight="true" outlineLevel="0" collapsed="false">
      <c r="A242" s="9" t="s">
        <v>427</v>
      </c>
      <c r="B242" s="9" t="n">
        <v>68022</v>
      </c>
      <c r="C242" s="9" t="n">
        <v>84</v>
      </c>
      <c r="D242" s="9" t="s">
        <v>195</v>
      </c>
      <c r="E242" s="9" t="s">
        <v>38</v>
      </c>
      <c r="F242" s="9" t="s">
        <v>39</v>
      </c>
      <c r="G242" s="9" t="s">
        <v>47</v>
      </c>
      <c r="H242" s="9"/>
      <c r="I242" s="9" t="s">
        <v>41</v>
      </c>
      <c r="J242" s="9" t="s">
        <v>40</v>
      </c>
      <c r="K242" s="9" t="n">
        <v>2</v>
      </c>
      <c r="L242" s="9" t="s">
        <v>42</v>
      </c>
      <c r="M242" s="9" t="s">
        <v>171</v>
      </c>
      <c r="N242" s="9" t="s">
        <v>57</v>
      </c>
      <c r="O242" s="9" t="s">
        <v>42</v>
      </c>
      <c r="P242" s="9" t="s">
        <v>42</v>
      </c>
      <c r="Q242" s="9" t="n">
        <v>250</v>
      </c>
      <c r="R242" s="9" t="s">
        <v>47</v>
      </c>
      <c r="S242" s="9" t="s">
        <v>428</v>
      </c>
    </row>
    <row r="243" customFormat="false" ht="15" hidden="false" customHeight="true" outlineLevel="0" collapsed="false">
      <c r="A243" s="9" t="s">
        <v>429</v>
      </c>
      <c r="B243" s="9" t="n">
        <v>6373</v>
      </c>
      <c r="C243" s="9"/>
      <c r="D243" s="9"/>
      <c r="E243" s="9" t="s">
        <v>38</v>
      </c>
      <c r="F243" s="9" t="s">
        <v>39</v>
      </c>
      <c r="G243" s="9" t="s">
        <v>40</v>
      </c>
      <c r="H243" s="9"/>
      <c r="I243" s="9" t="s">
        <v>41</v>
      </c>
      <c r="J243" s="9" t="s">
        <v>40</v>
      </c>
      <c r="K243" s="9" t="n">
        <v>8</v>
      </c>
      <c r="L243" s="9" t="s">
        <v>42</v>
      </c>
      <c r="M243" s="9" t="s">
        <v>42</v>
      </c>
      <c r="N243" s="9" t="s">
        <v>42</v>
      </c>
      <c r="O243" s="9" t="s">
        <v>42</v>
      </c>
      <c r="P243" s="9" t="s">
        <v>42</v>
      </c>
      <c r="Q243" s="9" t="n">
        <v>664</v>
      </c>
      <c r="R243" s="9" t="s">
        <v>47</v>
      </c>
      <c r="S243" s="9"/>
    </row>
    <row r="244" customFormat="false" ht="15" hidden="false" customHeight="true" outlineLevel="0" collapsed="false">
      <c r="A244" s="9" t="s">
        <v>430</v>
      </c>
      <c r="B244" s="9" t="n">
        <v>68181</v>
      </c>
      <c r="C244" s="9"/>
      <c r="D244" s="9"/>
      <c r="E244" s="9" t="s">
        <v>38</v>
      </c>
      <c r="F244" s="9" t="s">
        <v>54</v>
      </c>
      <c r="G244" s="9" t="s">
        <v>40</v>
      </c>
      <c r="H244" s="9"/>
      <c r="I244" s="9" t="s">
        <v>41</v>
      </c>
      <c r="J244" s="9" t="s">
        <v>40</v>
      </c>
      <c r="K244" s="9" t="n">
        <v>5</v>
      </c>
      <c r="L244" s="9" t="s">
        <v>431</v>
      </c>
      <c r="M244" s="9" t="s">
        <v>42</v>
      </c>
      <c r="N244" s="9" t="s">
        <v>42</v>
      </c>
      <c r="O244" s="9" t="s">
        <v>42</v>
      </c>
      <c r="P244" s="9" t="s">
        <v>42</v>
      </c>
      <c r="Q244" s="9" t="n">
        <v>96</v>
      </c>
      <c r="R244" s="9" t="s">
        <v>47</v>
      </c>
      <c r="S244" s="9"/>
    </row>
    <row r="245" customFormat="false" ht="15" hidden="false" customHeight="true" outlineLevel="0" collapsed="false">
      <c r="A245" s="9" t="s">
        <v>432</v>
      </c>
      <c r="B245" s="9" t="n">
        <v>44114</v>
      </c>
      <c r="C245" s="9" t="n">
        <v>70</v>
      </c>
      <c r="D245" s="9"/>
      <c r="E245" s="9" t="s">
        <v>38</v>
      </c>
      <c r="F245" s="9" t="s">
        <v>39</v>
      </c>
      <c r="G245" s="9" t="s">
        <v>40</v>
      </c>
      <c r="H245" s="9"/>
      <c r="I245" s="9" t="s">
        <v>41</v>
      </c>
      <c r="J245" s="9" t="s">
        <v>47</v>
      </c>
      <c r="K245" s="9" t="n">
        <v>0</v>
      </c>
      <c r="L245" s="9" t="s">
        <v>42</v>
      </c>
      <c r="M245" s="9" t="s">
        <v>42</v>
      </c>
      <c r="N245" s="9" t="s">
        <v>42</v>
      </c>
      <c r="O245" s="9" t="s">
        <v>42</v>
      </c>
      <c r="P245" s="9" t="s">
        <v>42</v>
      </c>
      <c r="Q245" s="9" t="n">
        <v>75</v>
      </c>
      <c r="R245" s="9" t="s">
        <v>47</v>
      </c>
      <c r="S245" s="9" t="s">
        <v>433</v>
      </c>
    </row>
    <row r="246" customFormat="false" ht="15" hidden="false" customHeight="true" outlineLevel="0" collapsed="false">
      <c r="A246" s="9" t="s">
        <v>434</v>
      </c>
      <c r="B246" s="9" t="n">
        <v>8084</v>
      </c>
      <c r="C246" s="9" t="n">
        <v>61</v>
      </c>
      <c r="D246" s="9"/>
      <c r="E246" s="9" t="s">
        <v>44</v>
      </c>
      <c r="F246" s="9" t="s">
        <v>54</v>
      </c>
      <c r="G246" s="9" t="s">
        <v>40</v>
      </c>
      <c r="H246" s="9"/>
      <c r="I246" s="9" t="s">
        <v>46</v>
      </c>
      <c r="J246" s="9" t="s">
        <v>40</v>
      </c>
      <c r="K246" s="9" t="n">
        <v>0</v>
      </c>
      <c r="L246" s="9" t="s">
        <v>42</v>
      </c>
      <c r="M246" s="9" t="s">
        <v>42</v>
      </c>
      <c r="N246" s="9" t="s">
        <v>42</v>
      </c>
      <c r="O246" s="9" t="s">
        <v>42</v>
      </c>
      <c r="P246" s="9" t="s">
        <v>42</v>
      </c>
      <c r="Q246" s="9" t="n">
        <v>15</v>
      </c>
      <c r="R246" s="9" t="s">
        <v>47</v>
      </c>
      <c r="S246" s="9" t="s">
        <v>435</v>
      </c>
    </row>
    <row r="247" customFormat="false" ht="15" hidden="false" customHeight="true" outlineLevel="0" collapsed="false">
      <c r="A247" s="9" t="s">
        <v>436</v>
      </c>
      <c r="B247" s="9" t="n">
        <v>32727</v>
      </c>
      <c r="C247" s="9"/>
      <c r="D247" s="9" t="s">
        <v>62</v>
      </c>
      <c r="E247" s="9" t="s">
        <v>38</v>
      </c>
      <c r="F247" s="9" t="s">
        <v>39</v>
      </c>
      <c r="G247" s="9" t="s">
        <v>40</v>
      </c>
      <c r="H247" s="9"/>
      <c r="I247" s="9" t="s">
        <v>41</v>
      </c>
      <c r="J247" s="9" t="s">
        <v>40</v>
      </c>
      <c r="K247" s="9" t="n">
        <v>1</v>
      </c>
      <c r="L247" s="9" t="s">
        <v>42</v>
      </c>
      <c r="M247" s="9" t="s">
        <v>42</v>
      </c>
      <c r="N247" s="9" t="s">
        <v>42</v>
      </c>
      <c r="O247" s="9" t="s">
        <v>42</v>
      </c>
      <c r="P247" s="9" t="s">
        <v>42</v>
      </c>
      <c r="Q247" s="9" t="n">
        <v>0</v>
      </c>
      <c r="R247" s="9" t="s">
        <v>40</v>
      </c>
      <c r="S247" s="9"/>
    </row>
    <row r="248" customFormat="false" ht="15" hidden="false" customHeight="true" outlineLevel="0" collapsed="false">
      <c r="A248" s="9" t="s">
        <v>437</v>
      </c>
      <c r="B248" s="9" t="n">
        <v>15241</v>
      </c>
      <c r="C248" s="9" t="n">
        <v>21</v>
      </c>
      <c r="D248" s="9"/>
      <c r="E248" s="9" t="s">
        <v>38</v>
      </c>
      <c r="F248" s="9" t="s">
        <v>45</v>
      </c>
      <c r="G248" s="9" t="s">
        <v>40</v>
      </c>
      <c r="H248" s="9"/>
      <c r="I248" s="9" t="s">
        <v>41</v>
      </c>
      <c r="J248" s="9" t="s">
        <v>40</v>
      </c>
      <c r="K248" s="9" t="n">
        <v>0</v>
      </c>
      <c r="L248" s="9" t="s">
        <v>42</v>
      </c>
      <c r="M248" s="9" t="s">
        <v>42</v>
      </c>
      <c r="N248" s="9" t="s">
        <v>42</v>
      </c>
      <c r="O248" s="9" t="s">
        <v>42</v>
      </c>
      <c r="P248" s="9" t="s">
        <v>42</v>
      </c>
      <c r="Q248" s="9" t="n">
        <v>0</v>
      </c>
      <c r="R248" s="9" t="s">
        <v>40</v>
      </c>
      <c r="S248" s="9" t="s">
        <v>438</v>
      </c>
    </row>
    <row r="249" customFormat="false" ht="15" hidden="false" customHeight="true" outlineLevel="0" collapsed="false">
      <c r="A249" s="9" t="s">
        <v>439</v>
      </c>
      <c r="B249" s="9" t="n">
        <v>59934</v>
      </c>
      <c r="C249" s="9"/>
      <c r="D249" s="9"/>
      <c r="E249" s="9" t="s">
        <v>44</v>
      </c>
      <c r="F249" s="9" t="s">
        <v>39</v>
      </c>
      <c r="G249" s="9" t="s">
        <v>40</v>
      </c>
      <c r="H249" s="9"/>
      <c r="I249" s="9" t="s">
        <v>41</v>
      </c>
      <c r="J249" s="9" t="s">
        <v>40</v>
      </c>
      <c r="K249" s="9" t="n">
        <v>1</v>
      </c>
      <c r="L249" s="9" t="s">
        <v>42</v>
      </c>
      <c r="M249" s="9" t="s">
        <v>42</v>
      </c>
      <c r="N249" s="9" t="s">
        <v>42</v>
      </c>
      <c r="O249" s="9" t="s">
        <v>42</v>
      </c>
      <c r="P249" s="9" t="s">
        <v>42</v>
      </c>
      <c r="Q249" s="9" t="n">
        <v>100</v>
      </c>
      <c r="R249" s="9" t="s">
        <v>47</v>
      </c>
      <c r="S249" s="9"/>
    </row>
    <row r="250" customFormat="false" ht="15" hidden="false" customHeight="true" outlineLevel="0" collapsed="false">
      <c r="A250" s="9" t="s">
        <v>440</v>
      </c>
      <c r="B250" s="9" t="n">
        <v>47017</v>
      </c>
      <c r="C250" s="9"/>
      <c r="D250" s="9"/>
      <c r="E250" s="9" t="s">
        <v>38</v>
      </c>
      <c r="F250" s="9" t="s">
        <v>39</v>
      </c>
      <c r="G250" s="9" t="s">
        <v>40</v>
      </c>
      <c r="H250" s="9"/>
      <c r="I250" s="9" t="s">
        <v>41</v>
      </c>
      <c r="J250" s="9" t="s">
        <v>40</v>
      </c>
      <c r="K250" s="9" t="n">
        <v>1</v>
      </c>
      <c r="L250" s="9" t="s">
        <v>42</v>
      </c>
      <c r="M250" s="9" t="s">
        <v>42</v>
      </c>
      <c r="N250" s="9" t="s">
        <v>42</v>
      </c>
      <c r="O250" s="9" t="s">
        <v>293</v>
      </c>
      <c r="P250" s="9" t="s">
        <v>42</v>
      </c>
      <c r="Q250" s="9" t="n">
        <v>320</v>
      </c>
      <c r="R250" s="9" t="s">
        <v>47</v>
      </c>
      <c r="S250" s="9"/>
    </row>
    <row r="251" customFormat="false" ht="15" hidden="false" customHeight="true" outlineLevel="0" collapsed="false">
      <c r="A251" s="9" t="s">
        <v>441</v>
      </c>
      <c r="B251" s="9" t="n">
        <v>97539</v>
      </c>
      <c r="C251" s="9"/>
      <c r="D251" s="9" t="s">
        <v>83</v>
      </c>
      <c r="E251" s="9" t="s">
        <v>38</v>
      </c>
      <c r="F251" s="9" t="s">
        <v>39</v>
      </c>
      <c r="G251" s="9" t="s">
        <v>40</v>
      </c>
      <c r="H251" s="9"/>
      <c r="I251" s="9" t="s">
        <v>41</v>
      </c>
      <c r="J251" s="9" t="s">
        <v>40</v>
      </c>
      <c r="K251" s="9" t="n">
        <v>1</v>
      </c>
      <c r="L251" s="9" t="s">
        <v>42</v>
      </c>
      <c r="M251" s="9" t="s">
        <v>42</v>
      </c>
      <c r="N251" s="9" t="s">
        <v>42</v>
      </c>
      <c r="O251" s="9" t="s">
        <v>42</v>
      </c>
      <c r="P251" s="9" t="s">
        <v>42</v>
      </c>
      <c r="Q251" s="9" t="n">
        <v>50</v>
      </c>
      <c r="R251" s="9" t="s">
        <v>47</v>
      </c>
      <c r="S251" s="9"/>
    </row>
    <row r="252" customFormat="false" ht="15" hidden="false" customHeight="true" outlineLevel="0" collapsed="false">
      <c r="A252" s="9" t="s">
        <v>442</v>
      </c>
      <c r="B252" s="9" t="n">
        <v>59018</v>
      </c>
      <c r="C252" s="9"/>
      <c r="D252" s="9"/>
      <c r="E252" s="9" t="s">
        <v>44</v>
      </c>
      <c r="F252" s="9" t="s">
        <v>39</v>
      </c>
      <c r="G252" s="9" t="s">
        <v>40</v>
      </c>
      <c r="H252" s="9"/>
      <c r="I252" s="9" t="s">
        <v>41</v>
      </c>
      <c r="J252" s="9" t="s">
        <v>40</v>
      </c>
      <c r="K252" s="9" t="n">
        <v>3</v>
      </c>
      <c r="L252" s="9" t="s">
        <v>42</v>
      </c>
      <c r="M252" s="9" t="s">
        <v>42</v>
      </c>
      <c r="N252" s="9" t="s">
        <v>42</v>
      </c>
      <c r="O252" s="9" t="s">
        <v>42</v>
      </c>
      <c r="P252" s="9" t="s">
        <v>42</v>
      </c>
      <c r="Q252" s="9" t="n">
        <v>0</v>
      </c>
      <c r="R252" s="9" t="s">
        <v>40</v>
      </c>
      <c r="S252" s="9"/>
    </row>
    <row r="253" customFormat="false" ht="15" hidden="false" customHeight="true" outlineLevel="0" collapsed="false">
      <c r="A253" s="9" t="s">
        <v>443</v>
      </c>
      <c r="B253" s="9" t="n">
        <v>62432</v>
      </c>
      <c r="C253" s="9"/>
      <c r="D253" s="9" t="s">
        <v>62</v>
      </c>
      <c r="E253" s="9" t="s">
        <v>44</v>
      </c>
      <c r="F253" s="9" t="s">
        <v>39</v>
      </c>
      <c r="G253" s="9" t="s">
        <v>40</v>
      </c>
      <c r="H253" s="9"/>
      <c r="I253" s="9" t="s">
        <v>66</v>
      </c>
      <c r="J253" s="9" t="s">
        <v>40</v>
      </c>
      <c r="K253" s="9" t="n">
        <v>1</v>
      </c>
      <c r="L253" s="9" t="s">
        <v>42</v>
      </c>
      <c r="M253" s="9" t="s">
        <v>42</v>
      </c>
      <c r="N253" s="9" t="s">
        <v>42</v>
      </c>
      <c r="O253" s="9" t="s">
        <v>42</v>
      </c>
      <c r="P253" s="9" t="s">
        <v>42</v>
      </c>
      <c r="Q253" s="9" t="n">
        <v>204</v>
      </c>
      <c r="R253" s="9" t="s">
        <v>47</v>
      </c>
      <c r="S253" s="9"/>
    </row>
    <row r="254" customFormat="false" ht="15" hidden="false" customHeight="true" outlineLevel="0" collapsed="false">
      <c r="A254" s="9" t="s">
        <v>444</v>
      </c>
      <c r="B254" s="9" t="n">
        <v>19008</v>
      </c>
      <c r="C254" s="9" t="n">
        <v>37</v>
      </c>
      <c r="D254" s="9"/>
      <c r="E254" s="9" t="s">
        <v>38</v>
      </c>
      <c r="F254" s="9" t="s">
        <v>54</v>
      </c>
      <c r="G254" s="9" t="s">
        <v>47</v>
      </c>
      <c r="H254" s="9"/>
      <c r="I254" s="9" t="s">
        <v>66</v>
      </c>
      <c r="J254" s="9" t="s">
        <v>40</v>
      </c>
      <c r="K254" s="9" t="n">
        <v>0</v>
      </c>
      <c r="L254" s="9" t="s">
        <v>42</v>
      </c>
      <c r="M254" s="9" t="s">
        <v>42</v>
      </c>
      <c r="N254" s="9" t="s">
        <v>42</v>
      </c>
      <c r="O254" s="9" t="s">
        <v>42</v>
      </c>
      <c r="P254" s="9" t="s">
        <v>42</v>
      </c>
      <c r="Q254" s="9" t="n">
        <v>0</v>
      </c>
      <c r="R254" s="9" t="s">
        <v>40</v>
      </c>
      <c r="S254" s="9" t="s">
        <v>445</v>
      </c>
    </row>
    <row r="255" customFormat="false" ht="15" hidden="false" customHeight="true" outlineLevel="0" collapsed="false">
      <c r="A255" s="9" t="s">
        <v>446</v>
      </c>
      <c r="B255" s="9" t="n">
        <v>90265</v>
      </c>
      <c r="C255" s="9"/>
      <c r="D255" s="9"/>
      <c r="E255" s="9" t="s">
        <v>44</v>
      </c>
      <c r="F255" s="9" t="s">
        <v>39</v>
      </c>
      <c r="G255" s="9" t="s">
        <v>40</v>
      </c>
      <c r="H255" s="9"/>
      <c r="I255" s="9" t="s">
        <v>41</v>
      </c>
      <c r="J255" s="9" t="s">
        <v>40</v>
      </c>
      <c r="K255" s="9" t="n">
        <v>1</v>
      </c>
      <c r="L255" s="9" t="s">
        <v>42</v>
      </c>
      <c r="M255" s="9" t="s">
        <v>42</v>
      </c>
      <c r="N255" s="9" t="s">
        <v>42</v>
      </c>
      <c r="O255" s="9" t="s">
        <v>42</v>
      </c>
      <c r="P255" s="9" t="s">
        <v>42</v>
      </c>
      <c r="Q255" s="9" t="n">
        <v>0</v>
      </c>
      <c r="R255" s="9" t="s">
        <v>40</v>
      </c>
      <c r="S255" s="9"/>
    </row>
    <row r="256" customFormat="false" ht="15" hidden="false" customHeight="true" outlineLevel="0" collapsed="false">
      <c r="A256" s="9" t="s">
        <v>447</v>
      </c>
      <c r="B256" s="9" t="n">
        <v>33971</v>
      </c>
      <c r="C256" s="9" t="n">
        <v>39</v>
      </c>
      <c r="D256" s="9"/>
      <c r="E256" s="9" t="s">
        <v>38</v>
      </c>
      <c r="F256" s="9" t="s">
        <v>39</v>
      </c>
      <c r="G256" s="9" t="s">
        <v>47</v>
      </c>
      <c r="H256" s="9"/>
      <c r="I256" s="9" t="s">
        <v>41</v>
      </c>
      <c r="J256" s="9" t="s">
        <v>47</v>
      </c>
      <c r="K256" s="9" t="n">
        <v>0</v>
      </c>
      <c r="L256" s="9" t="s">
        <v>42</v>
      </c>
      <c r="M256" s="9" t="s">
        <v>42</v>
      </c>
      <c r="N256" s="9" t="s">
        <v>42</v>
      </c>
      <c r="O256" s="9" t="s">
        <v>42</v>
      </c>
      <c r="P256" s="9" t="s">
        <v>42</v>
      </c>
      <c r="Q256" s="9" t="n">
        <v>1700</v>
      </c>
      <c r="R256" s="9" t="s">
        <v>47</v>
      </c>
      <c r="S256" s="9" t="s">
        <v>52</v>
      </c>
    </row>
    <row r="257" customFormat="false" ht="15" hidden="false" customHeight="true" outlineLevel="0" collapsed="false">
      <c r="A257" s="9" t="s">
        <v>448</v>
      </c>
      <c r="B257" s="9" t="n">
        <v>4105</v>
      </c>
      <c r="C257" s="9" t="n">
        <v>36</v>
      </c>
      <c r="D257" s="9"/>
      <c r="E257" s="9" t="s">
        <v>38</v>
      </c>
      <c r="F257" s="9" t="s">
        <v>39</v>
      </c>
      <c r="G257" s="9" t="s">
        <v>40</v>
      </c>
      <c r="H257" s="9"/>
      <c r="I257" s="9" t="s">
        <v>41</v>
      </c>
      <c r="J257" s="9" t="s">
        <v>40</v>
      </c>
      <c r="K257" s="9" t="n">
        <v>0</v>
      </c>
      <c r="L257" s="9" t="s">
        <v>42</v>
      </c>
      <c r="M257" s="9" t="s">
        <v>42</v>
      </c>
      <c r="N257" s="9" t="s">
        <v>42</v>
      </c>
      <c r="O257" s="9" t="s">
        <v>42</v>
      </c>
      <c r="P257" s="9" t="s">
        <v>42</v>
      </c>
      <c r="Q257" s="9" t="n">
        <v>40</v>
      </c>
      <c r="R257" s="9" t="s">
        <v>47</v>
      </c>
      <c r="S257" s="9" t="s">
        <v>449</v>
      </c>
    </row>
    <row r="258" customFormat="false" ht="15" hidden="false" customHeight="true" outlineLevel="0" collapsed="false">
      <c r="A258" s="9" t="s">
        <v>450</v>
      </c>
      <c r="B258" s="9" t="n">
        <v>90265</v>
      </c>
      <c r="C258" s="9"/>
      <c r="D258" s="9"/>
      <c r="E258" s="9" t="s">
        <v>50</v>
      </c>
      <c r="F258" s="9" t="s">
        <v>39</v>
      </c>
      <c r="G258" s="9" t="s">
        <v>40</v>
      </c>
      <c r="H258" s="9"/>
      <c r="I258" s="9" t="s">
        <v>41</v>
      </c>
      <c r="J258" s="9" t="s">
        <v>47</v>
      </c>
      <c r="K258" s="9" t="n">
        <v>1</v>
      </c>
      <c r="L258" s="9" t="s">
        <v>42</v>
      </c>
      <c r="M258" s="9" t="s">
        <v>42</v>
      </c>
      <c r="N258" s="9" t="s">
        <v>42</v>
      </c>
      <c r="O258" s="9" t="s">
        <v>42</v>
      </c>
      <c r="P258" s="9" t="s">
        <v>42</v>
      </c>
      <c r="Q258" s="9" t="n">
        <v>840</v>
      </c>
      <c r="R258" s="9" t="s">
        <v>47</v>
      </c>
      <c r="S258" s="9"/>
    </row>
    <row r="259" customFormat="false" ht="15" hidden="false" customHeight="true" outlineLevel="0" collapsed="false">
      <c r="A259" s="9" t="s">
        <v>451</v>
      </c>
      <c r="B259" s="9" t="n">
        <v>96091</v>
      </c>
      <c r="C259" s="9" t="n">
        <v>45</v>
      </c>
      <c r="D259" s="9"/>
      <c r="E259" s="9" t="s">
        <v>44</v>
      </c>
      <c r="F259" s="9" t="s">
        <v>158</v>
      </c>
      <c r="G259" s="9" t="s">
        <v>47</v>
      </c>
      <c r="H259" s="9" t="s">
        <v>81</v>
      </c>
      <c r="I259" s="9" t="s">
        <v>41</v>
      </c>
      <c r="J259" s="9" t="s">
        <v>40</v>
      </c>
      <c r="K259" s="9" t="n">
        <v>0</v>
      </c>
      <c r="L259" s="9" t="s">
        <v>42</v>
      </c>
      <c r="M259" s="9" t="s">
        <v>42</v>
      </c>
      <c r="N259" s="9" t="s">
        <v>42</v>
      </c>
      <c r="O259" s="9" t="s">
        <v>42</v>
      </c>
      <c r="P259" s="9" t="s">
        <v>42</v>
      </c>
      <c r="Q259" s="9" t="n">
        <v>0</v>
      </c>
      <c r="R259" s="9" t="s">
        <v>40</v>
      </c>
      <c r="S259" s="9" t="s">
        <v>452</v>
      </c>
    </row>
    <row r="260" customFormat="false" ht="15" hidden="false" customHeight="true" outlineLevel="0" collapsed="false">
      <c r="A260" s="9" t="s">
        <v>453</v>
      </c>
      <c r="B260" s="9" t="n">
        <v>50430</v>
      </c>
      <c r="C260" s="9" t="n">
        <v>58</v>
      </c>
      <c r="D260" s="9"/>
      <c r="E260" s="9" t="s">
        <v>44</v>
      </c>
      <c r="F260" s="9" t="s">
        <v>39</v>
      </c>
      <c r="G260" s="9" t="s">
        <v>40</v>
      </c>
      <c r="H260" s="9"/>
      <c r="I260" s="9" t="s">
        <v>41</v>
      </c>
      <c r="J260" s="9" t="s">
        <v>40</v>
      </c>
      <c r="K260" s="9" t="n">
        <v>0</v>
      </c>
      <c r="L260" s="9" t="s">
        <v>42</v>
      </c>
      <c r="M260" s="9" t="s">
        <v>42</v>
      </c>
      <c r="N260" s="9" t="s">
        <v>42</v>
      </c>
      <c r="O260" s="9" t="s">
        <v>42</v>
      </c>
      <c r="P260" s="9" t="s">
        <v>42</v>
      </c>
      <c r="Q260" s="9" t="n">
        <v>0</v>
      </c>
      <c r="R260" s="9" t="s">
        <v>40</v>
      </c>
      <c r="S260" s="9" t="s">
        <v>454</v>
      </c>
    </row>
    <row r="261" customFormat="false" ht="15" hidden="false" customHeight="true" outlineLevel="0" collapsed="false">
      <c r="A261" s="9" t="s">
        <v>455</v>
      </c>
      <c r="B261" s="9" t="n">
        <v>12094</v>
      </c>
      <c r="C261" s="9" t="n">
        <v>42</v>
      </c>
      <c r="D261" s="9"/>
      <c r="E261" s="9" t="s">
        <v>38</v>
      </c>
      <c r="F261" s="9" t="s">
        <v>54</v>
      </c>
      <c r="G261" s="9" t="s">
        <v>47</v>
      </c>
      <c r="H261" s="9"/>
      <c r="I261" s="9" t="s">
        <v>41</v>
      </c>
      <c r="J261" s="9" t="s">
        <v>40</v>
      </c>
      <c r="K261" s="9" t="n">
        <v>1</v>
      </c>
      <c r="L261" s="9" t="s">
        <v>42</v>
      </c>
      <c r="M261" s="9" t="s">
        <v>42</v>
      </c>
      <c r="N261" s="9" t="s">
        <v>42</v>
      </c>
      <c r="O261" s="9" t="s">
        <v>42</v>
      </c>
      <c r="P261" s="9" t="s">
        <v>42</v>
      </c>
      <c r="Q261" s="9" t="n">
        <v>70</v>
      </c>
      <c r="R261" s="9" t="s">
        <v>47</v>
      </c>
      <c r="S261" s="9" t="s">
        <v>456</v>
      </c>
    </row>
    <row r="262" customFormat="false" ht="15" hidden="false" customHeight="true" outlineLevel="0" collapsed="false">
      <c r="A262" s="9" t="s">
        <v>457</v>
      </c>
      <c r="B262" s="9" t="n">
        <v>84724</v>
      </c>
      <c r="C262" s="9" t="n">
        <v>24</v>
      </c>
      <c r="D262" s="9"/>
      <c r="E262" s="9" t="s">
        <v>38</v>
      </c>
      <c r="F262" s="9" t="s">
        <v>54</v>
      </c>
      <c r="G262" s="9" t="s">
        <v>47</v>
      </c>
      <c r="H262" s="9"/>
      <c r="I262" s="9" t="s">
        <v>41</v>
      </c>
      <c r="J262" s="9" t="s">
        <v>47</v>
      </c>
      <c r="K262" s="9" t="n">
        <v>1</v>
      </c>
      <c r="L262" s="9" t="s">
        <v>42</v>
      </c>
      <c r="M262" s="9" t="s">
        <v>42</v>
      </c>
      <c r="N262" s="9" t="s">
        <v>42</v>
      </c>
      <c r="O262" s="9" t="s">
        <v>42</v>
      </c>
      <c r="P262" s="9" t="s">
        <v>42</v>
      </c>
      <c r="Q262" s="9" t="n">
        <v>0</v>
      </c>
      <c r="R262" s="9" t="s">
        <v>40</v>
      </c>
      <c r="S262" s="9" t="s">
        <v>458</v>
      </c>
    </row>
    <row r="263" customFormat="false" ht="15" hidden="false" customHeight="true" outlineLevel="0" collapsed="false">
      <c r="A263" s="9" t="s">
        <v>459</v>
      </c>
      <c r="B263" s="9" t="n">
        <v>63860</v>
      </c>
      <c r="C263" s="9" t="n">
        <v>51</v>
      </c>
      <c r="D263" s="9"/>
      <c r="E263" s="9"/>
      <c r="F263" s="9" t="s">
        <v>39</v>
      </c>
      <c r="G263" s="9" t="s">
        <v>40</v>
      </c>
      <c r="H263" s="9"/>
      <c r="I263" s="9" t="s">
        <v>41</v>
      </c>
      <c r="J263" s="9" t="s">
        <v>40</v>
      </c>
      <c r="K263" s="9" t="n">
        <v>0</v>
      </c>
      <c r="L263" s="9" t="s">
        <v>42</v>
      </c>
      <c r="M263" s="9" t="s">
        <v>42</v>
      </c>
      <c r="N263" s="9" t="s">
        <v>42</v>
      </c>
      <c r="O263" s="9" t="s">
        <v>42</v>
      </c>
      <c r="P263" s="9" t="s">
        <v>42</v>
      </c>
      <c r="Q263" s="9" t="n">
        <v>300</v>
      </c>
      <c r="R263" s="9" t="s">
        <v>47</v>
      </c>
      <c r="S263" s="9" t="s">
        <v>460</v>
      </c>
    </row>
    <row r="264" customFormat="false" ht="15" hidden="false" customHeight="true" outlineLevel="0" collapsed="false">
      <c r="A264" s="9" t="s">
        <v>461</v>
      </c>
      <c r="B264" s="9" t="n">
        <v>79944</v>
      </c>
      <c r="C264" s="9"/>
      <c r="D264" s="9" t="s">
        <v>62</v>
      </c>
      <c r="E264" s="9" t="s">
        <v>44</v>
      </c>
      <c r="F264" s="9" t="s">
        <v>39</v>
      </c>
      <c r="G264" s="9" t="s">
        <v>40</v>
      </c>
      <c r="H264" s="9"/>
      <c r="I264" s="9" t="s">
        <v>41</v>
      </c>
      <c r="J264" s="9" t="s">
        <v>40</v>
      </c>
      <c r="K264" s="9" t="n">
        <v>1</v>
      </c>
      <c r="L264" s="9" t="s">
        <v>42</v>
      </c>
      <c r="M264" s="9" t="s">
        <v>42</v>
      </c>
      <c r="N264" s="9" t="s">
        <v>42</v>
      </c>
      <c r="O264" s="9" t="s">
        <v>42</v>
      </c>
      <c r="P264" s="9" t="s">
        <v>42</v>
      </c>
      <c r="Q264" s="9" t="n">
        <v>528</v>
      </c>
      <c r="R264" s="9" t="s">
        <v>47</v>
      </c>
      <c r="S264" s="9"/>
    </row>
    <row r="265" customFormat="false" ht="15" hidden="false" customHeight="true" outlineLevel="0" collapsed="false">
      <c r="A265" s="9" t="s">
        <v>462</v>
      </c>
      <c r="B265" s="9" t="n">
        <v>76113</v>
      </c>
      <c r="C265" s="9" t="n">
        <v>55</v>
      </c>
      <c r="D265" s="9"/>
      <c r="E265" s="9" t="s">
        <v>44</v>
      </c>
      <c r="F265" s="9" t="s">
        <v>54</v>
      </c>
      <c r="G265" s="9" t="s">
        <v>47</v>
      </c>
      <c r="H265" s="9"/>
      <c r="I265" s="9" t="s">
        <v>41</v>
      </c>
      <c r="J265" s="9" t="s">
        <v>47</v>
      </c>
      <c r="K265" s="9" t="n">
        <v>2</v>
      </c>
      <c r="L265" s="9" t="s">
        <v>42</v>
      </c>
      <c r="M265" s="9" t="s">
        <v>42</v>
      </c>
      <c r="N265" s="9" t="s">
        <v>42</v>
      </c>
      <c r="O265" s="9" t="s">
        <v>42</v>
      </c>
      <c r="P265" s="9" t="s">
        <v>42</v>
      </c>
      <c r="Q265" s="9" t="n">
        <v>30</v>
      </c>
      <c r="R265" s="9" t="s">
        <v>47</v>
      </c>
      <c r="S265" s="9" t="s">
        <v>463</v>
      </c>
    </row>
    <row r="266" customFormat="false" ht="15" hidden="false" customHeight="true" outlineLevel="0" collapsed="false">
      <c r="A266" s="9" t="s">
        <v>464</v>
      </c>
      <c r="B266" s="9" t="n">
        <v>72110</v>
      </c>
      <c r="C266" s="9"/>
      <c r="D266" s="9" t="s">
        <v>83</v>
      </c>
      <c r="E266" s="9" t="s">
        <v>50</v>
      </c>
      <c r="F266" s="9" t="s">
        <v>39</v>
      </c>
      <c r="G266" s="9" t="s">
        <v>47</v>
      </c>
      <c r="H266" s="9"/>
      <c r="I266" s="9" t="s">
        <v>41</v>
      </c>
      <c r="J266" s="9" t="s">
        <v>40</v>
      </c>
      <c r="K266" s="9" t="n">
        <v>0</v>
      </c>
      <c r="L266" s="9" t="s">
        <v>42</v>
      </c>
      <c r="M266" s="9" t="s">
        <v>42</v>
      </c>
      <c r="N266" s="9" t="s">
        <v>42</v>
      </c>
      <c r="O266" s="9" t="s">
        <v>42</v>
      </c>
      <c r="P266" s="9" t="s">
        <v>42</v>
      </c>
      <c r="Q266" s="9" t="n">
        <v>0</v>
      </c>
      <c r="R266" s="9" t="s">
        <v>40</v>
      </c>
      <c r="S266" s="9"/>
    </row>
    <row r="267" customFormat="false" ht="15" hidden="false" customHeight="true" outlineLevel="0" collapsed="false">
      <c r="A267" s="9" t="s">
        <v>465</v>
      </c>
      <c r="B267" s="9" t="n">
        <v>6792</v>
      </c>
      <c r="C267" s="9"/>
      <c r="D267" s="9"/>
      <c r="E267" s="9" t="s">
        <v>44</v>
      </c>
      <c r="F267" s="9" t="s">
        <v>39</v>
      </c>
      <c r="G267" s="9" t="s">
        <v>40</v>
      </c>
      <c r="H267" s="9"/>
      <c r="I267" s="9" t="s">
        <v>41</v>
      </c>
      <c r="J267" s="9" t="s">
        <v>40</v>
      </c>
      <c r="K267" s="9" t="n">
        <v>1</v>
      </c>
      <c r="L267" s="9" t="s">
        <v>42</v>
      </c>
      <c r="M267" s="9" t="s">
        <v>42</v>
      </c>
      <c r="N267" s="9" t="s">
        <v>42</v>
      </c>
      <c r="O267" s="9" t="s">
        <v>42</v>
      </c>
      <c r="P267" s="9" t="s">
        <v>42</v>
      </c>
      <c r="Q267" s="9" t="n">
        <v>0</v>
      </c>
      <c r="R267" s="9" t="s">
        <v>40</v>
      </c>
      <c r="S267" s="9"/>
    </row>
    <row r="268" customFormat="false" ht="15" hidden="false" customHeight="true" outlineLevel="0" collapsed="false">
      <c r="A268" s="9" t="s">
        <v>466</v>
      </c>
      <c r="B268" s="9" t="n">
        <v>90265</v>
      </c>
      <c r="C268" s="9"/>
      <c r="D268" s="9"/>
      <c r="E268" s="9" t="s">
        <v>44</v>
      </c>
      <c r="F268" s="9" t="s">
        <v>39</v>
      </c>
      <c r="G268" s="9" t="s">
        <v>40</v>
      </c>
      <c r="H268" s="9"/>
      <c r="I268" s="9" t="s">
        <v>41</v>
      </c>
      <c r="J268" s="9" t="s">
        <v>40</v>
      </c>
      <c r="K268" s="9" t="n">
        <v>1</v>
      </c>
      <c r="L268" s="9" t="s">
        <v>42</v>
      </c>
      <c r="M268" s="9" t="s">
        <v>42</v>
      </c>
      <c r="N268" s="9" t="s">
        <v>42</v>
      </c>
      <c r="O268" s="9" t="s">
        <v>42</v>
      </c>
      <c r="P268" s="9" t="s">
        <v>42</v>
      </c>
      <c r="Q268" s="9" t="n">
        <v>0</v>
      </c>
      <c r="R268" s="9" t="s">
        <v>40</v>
      </c>
      <c r="S268" s="9"/>
    </row>
    <row r="269" customFormat="false" ht="15" hidden="false" customHeight="true" outlineLevel="0" collapsed="false">
      <c r="A269" s="9" t="s">
        <v>467</v>
      </c>
      <c r="B269" s="9" t="n">
        <v>90265</v>
      </c>
      <c r="C269" s="9"/>
      <c r="D269" s="9"/>
      <c r="E269" s="9" t="s">
        <v>38</v>
      </c>
      <c r="F269" s="9" t="s">
        <v>39</v>
      </c>
      <c r="G269" s="9" t="s">
        <v>40</v>
      </c>
      <c r="H269" s="9"/>
      <c r="I269" s="9" t="s">
        <v>41</v>
      </c>
      <c r="J269" s="9" t="s">
        <v>47</v>
      </c>
      <c r="K269" s="9" t="n">
        <v>1</v>
      </c>
      <c r="L269" s="9" t="s">
        <v>42</v>
      </c>
      <c r="M269" s="9" t="s">
        <v>42</v>
      </c>
      <c r="N269" s="9" t="s">
        <v>42</v>
      </c>
      <c r="O269" s="9" t="s">
        <v>42</v>
      </c>
      <c r="P269" s="9" t="s">
        <v>42</v>
      </c>
      <c r="Q269" s="9" t="n">
        <v>0</v>
      </c>
      <c r="R269" s="9" t="s">
        <v>40</v>
      </c>
      <c r="S269" s="9"/>
    </row>
    <row r="270" customFormat="false" ht="15" hidden="false" customHeight="true" outlineLevel="0" collapsed="false">
      <c r="A270" s="9" t="s">
        <v>468</v>
      </c>
      <c r="B270" s="9" t="n">
        <v>43523</v>
      </c>
      <c r="C270" s="9"/>
      <c r="D270" s="9"/>
      <c r="E270" s="9" t="s">
        <v>38</v>
      </c>
      <c r="F270" s="9" t="s">
        <v>39</v>
      </c>
      <c r="G270" s="9" t="s">
        <v>40</v>
      </c>
      <c r="H270" s="9"/>
      <c r="I270" s="9" t="s">
        <v>41</v>
      </c>
      <c r="J270" s="9" t="s">
        <v>40</v>
      </c>
      <c r="K270" s="9" t="n">
        <v>1</v>
      </c>
      <c r="L270" s="9" t="s">
        <v>42</v>
      </c>
      <c r="M270" s="9" t="s">
        <v>42</v>
      </c>
      <c r="N270" s="9" t="s">
        <v>42</v>
      </c>
      <c r="O270" s="9" t="s">
        <v>42</v>
      </c>
      <c r="P270" s="9" t="s">
        <v>42</v>
      </c>
      <c r="Q270" s="9" t="n">
        <v>25</v>
      </c>
      <c r="R270" s="9" t="s">
        <v>47</v>
      </c>
      <c r="S270" s="9"/>
    </row>
    <row r="271" customFormat="false" ht="15" hidden="false" customHeight="true" outlineLevel="0" collapsed="false">
      <c r="A271" s="9" t="s">
        <v>469</v>
      </c>
      <c r="B271" s="9" t="n">
        <v>90265</v>
      </c>
      <c r="C271" s="9" t="n">
        <v>45</v>
      </c>
      <c r="D271" s="9"/>
      <c r="E271" s="9" t="s">
        <v>44</v>
      </c>
      <c r="F271" s="9" t="s">
        <v>39</v>
      </c>
      <c r="G271" s="9" t="s">
        <v>40</v>
      </c>
      <c r="H271" s="9"/>
      <c r="I271" s="9" t="s">
        <v>41</v>
      </c>
      <c r="J271" s="9" t="s">
        <v>40</v>
      </c>
      <c r="K271" s="9" t="n">
        <v>0</v>
      </c>
      <c r="L271" s="9" t="s">
        <v>42</v>
      </c>
      <c r="M271" s="9" t="s">
        <v>42</v>
      </c>
      <c r="N271" s="9" t="s">
        <v>42</v>
      </c>
      <c r="O271" s="9" t="s">
        <v>42</v>
      </c>
      <c r="P271" s="9" t="s">
        <v>42</v>
      </c>
      <c r="Q271" s="9" t="n">
        <v>40</v>
      </c>
      <c r="R271" s="9" t="s">
        <v>47</v>
      </c>
      <c r="S271" s="9" t="s">
        <v>470</v>
      </c>
    </row>
    <row r="272" customFormat="false" ht="15" hidden="false" customHeight="true" outlineLevel="0" collapsed="false">
      <c r="A272" s="9" t="s">
        <v>471</v>
      </c>
      <c r="B272" s="9" t="n">
        <v>93451</v>
      </c>
      <c r="C272" s="9"/>
      <c r="D272" s="9"/>
      <c r="E272" s="9" t="s">
        <v>44</v>
      </c>
      <c r="F272" s="9" t="s">
        <v>39</v>
      </c>
      <c r="G272" s="9" t="s">
        <v>40</v>
      </c>
      <c r="H272" s="9"/>
      <c r="I272" s="9" t="s">
        <v>41</v>
      </c>
      <c r="J272" s="9" t="s">
        <v>40</v>
      </c>
      <c r="K272" s="9" t="n">
        <v>2</v>
      </c>
      <c r="L272" s="9" t="s">
        <v>42</v>
      </c>
      <c r="M272" s="9" t="s">
        <v>42</v>
      </c>
      <c r="N272" s="9" t="s">
        <v>42</v>
      </c>
      <c r="O272" s="9" t="s">
        <v>42</v>
      </c>
      <c r="P272" s="9" t="s">
        <v>42</v>
      </c>
      <c r="Q272" s="9" t="n">
        <v>0</v>
      </c>
      <c r="R272" s="9" t="s">
        <v>40</v>
      </c>
      <c r="S272" s="9"/>
    </row>
    <row r="273" customFormat="false" ht="15" hidden="false" customHeight="true" outlineLevel="0" collapsed="false">
      <c r="A273" s="9" t="s">
        <v>472</v>
      </c>
      <c r="B273" s="9" t="n">
        <v>90265</v>
      </c>
      <c r="C273" s="9"/>
      <c r="D273" s="9"/>
      <c r="E273" s="9" t="s">
        <v>44</v>
      </c>
      <c r="F273" s="9" t="s">
        <v>201</v>
      </c>
      <c r="G273" s="9" t="s">
        <v>40</v>
      </c>
      <c r="H273" s="9"/>
      <c r="I273" s="9" t="s">
        <v>41</v>
      </c>
      <c r="J273" s="9" t="s">
        <v>40</v>
      </c>
      <c r="K273" s="9" t="n">
        <v>4</v>
      </c>
      <c r="L273" s="9" t="s">
        <v>89</v>
      </c>
      <c r="M273" s="9" t="s">
        <v>42</v>
      </c>
      <c r="N273" s="9" t="s">
        <v>42</v>
      </c>
      <c r="O273" s="9" t="s">
        <v>42</v>
      </c>
      <c r="P273" s="9" t="s">
        <v>42</v>
      </c>
      <c r="Q273" s="9" t="n">
        <v>50</v>
      </c>
      <c r="R273" s="9" t="s">
        <v>47</v>
      </c>
      <c r="S273" s="9"/>
    </row>
    <row r="274" customFormat="false" ht="15" hidden="false" customHeight="true" outlineLevel="0" collapsed="false">
      <c r="A274" s="9" t="s">
        <v>473</v>
      </c>
      <c r="B274" s="9" t="n">
        <v>37131</v>
      </c>
      <c r="C274" s="9" t="n">
        <v>48</v>
      </c>
      <c r="D274" s="9"/>
      <c r="E274" s="9"/>
      <c r="F274" s="9" t="s">
        <v>39</v>
      </c>
      <c r="G274" s="9" t="s">
        <v>40</v>
      </c>
      <c r="H274" s="9"/>
      <c r="I274" s="9" t="s">
        <v>41</v>
      </c>
      <c r="J274" s="9" t="s">
        <v>40</v>
      </c>
      <c r="K274" s="9" t="n">
        <v>0</v>
      </c>
      <c r="L274" s="9" t="s">
        <v>42</v>
      </c>
      <c r="M274" s="9" t="s">
        <v>42</v>
      </c>
      <c r="N274" s="9" t="s">
        <v>42</v>
      </c>
      <c r="O274" s="9" t="s">
        <v>42</v>
      </c>
      <c r="P274" s="9" t="s">
        <v>42</v>
      </c>
      <c r="Q274" s="9" t="n">
        <v>246</v>
      </c>
      <c r="R274" s="9" t="s">
        <v>47</v>
      </c>
      <c r="S274" s="9" t="s">
        <v>474</v>
      </c>
    </row>
    <row r="275" customFormat="false" ht="15" hidden="false" customHeight="true" outlineLevel="0" collapsed="false">
      <c r="A275" s="9" t="s">
        <v>475</v>
      </c>
      <c r="B275" s="9" t="n">
        <v>90265</v>
      </c>
      <c r="C275" s="9" t="n">
        <v>37</v>
      </c>
      <c r="D275" s="9"/>
      <c r="E275" s="9" t="s">
        <v>38</v>
      </c>
      <c r="F275" s="9" t="s">
        <v>39</v>
      </c>
      <c r="G275" s="9" t="s">
        <v>40</v>
      </c>
      <c r="H275" s="9"/>
      <c r="I275" s="9" t="s">
        <v>41</v>
      </c>
      <c r="J275" s="9" t="s">
        <v>40</v>
      </c>
      <c r="K275" s="9" t="n">
        <v>0</v>
      </c>
      <c r="L275" s="9" t="s">
        <v>42</v>
      </c>
      <c r="M275" s="9" t="s">
        <v>42</v>
      </c>
      <c r="N275" s="9" t="s">
        <v>42</v>
      </c>
      <c r="O275" s="9" t="s">
        <v>42</v>
      </c>
      <c r="P275" s="9" t="s">
        <v>42</v>
      </c>
      <c r="Q275" s="9" t="n">
        <v>10</v>
      </c>
      <c r="R275" s="9" t="s">
        <v>47</v>
      </c>
      <c r="S275" s="9" t="s">
        <v>476</v>
      </c>
    </row>
    <row r="276" customFormat="false" ht="15" hidden="false" customHeight="true" outlineLevel="0" collapsed="false">
      <c r="A276" s="9" t="s">
        <v>477</v>
      </c>
      <c r="B276" s="9" t="n">
        <v>54217</v>
      </c>
      <c r="C276" s="9"/>
      <c r="D276" s="9"/>
      <c r="E276" s="9" t="s">
        <v>38</v>
      </c>
      <c r="F276" s="9" t="s">
        <v>39</v>
      </c>
      <c r="G276" s="9" t="s">
        <v>40</v>
      </c>
      <c r="H276" s="9"/>
      <c r="I276" s="9" t="s">
        <v>41</v>
      </c>
      <c r="J276" s="9" t="s">
        <v>40</v>
      </c>
      <c r="K276" s="9" t="n">
        <v>7</v>
      </c>
      <c r="L276" s="9" t="s">
        <v>42</v>
      </c>
      <c r="M276" s="9" t="s">
        <v>42</v>
      </c>
      <c r="N276" s="9" t="s">
        <v>42</v>
      </c>
      <c r="O276" s="9" t="s">
        <v>100</v>
      </c>
      <c r="P276" s="9" t="s">
        <v>42</v>
      </c>
      <c r="Q276" s="9" t="n">
        <v>555</v>
      </c>
      <c r="R276" s="9" t="s">
        <v>47</v>
      </c>
      <c r="S276" s="9"/>
    </row>
    <row r="277" customFormat="false" ht="15" hidden="false" customHeight="true" outlineLevel="0" collapsed="false">
      <c r="A277" s="9" t="s">
        <v>478</v>
      </c>
      <c r="B277" s="9" t="n">
        <v>67741</v>
      </c>
      <c r="C277" s="9" t="n">
        <v>26</v>
      </c>
      <c r="D277" s="9"/>
      <c r="E277" s="9" t="s">
        <v>38</v>
      </c>
      <c r="F277" s="9" t="s">
        <v>39</v>
      </c>
      <c r="G277" s="9" t="s">
        <v>40</v>
      </c>
      <c r="H277" s="9"/>
      <c r="I277" s="9" t="s">
        <v>41</v>
      </c>
      <c r="J277" s="9" t="s">
        <v>40</v>
      </c>
      <c r="K277" s="9" t="n">
        <v>0</v>
      </c>
      <c r="L277" s="9" t="s">
        <v>42</v>
      </c>
      <c r="M277" s="9" t="s">
        <v>42</v>
      </c>
      <c r="N277" s="9" t="s">
        <v>42</v>
      </c>
      <c r="O277" s="9" t="s">
        <v>42</v>
      </c>
      <c r="P277" s="9" t="s">
        <v>42</v>
      </c>
      <c r="Q277" s="9" t="n">
        <v>0</v>
      </c>
      <c r="R277" s="9" t="s">
        <v>40</v>
      </c>
      <c r="S277" s="9" t="s">
        <v>479</v>
      </c>
    </row>
    <row r="278" customFormat="false" ht="15" hidden="false" customHeight="true" outlineLevel="0" collapsed="false">
      <c r="A278" s="9" t="s">
        <v>480</v>
      </c>
      <c r="B278" s="9" t="n">
        <v>76908</v>
      </c>
      <c r="C278" s="9" t="n">
        <v>68</v>
      </c>
      <c r="D278" s="9"/>
      <c r="E278" s="9" t="s">
        <v>44</v>
      </c>
      <c r="F278" s="9" t="s">
        <v>39</v>
      </c>
      <c r="G278" s="9" t="s">
        <v>40</v>
      </c>
      <c r="H278" s="9"/>
      <c r="I278" s="9" t="s">
        <v>41</v>
      </c>
      <c r="J278" s="9" t="s">
        <v>40</v>
      </c>
      <c r="K278" s="9" t="n">
        <v>0</v>
      </c>
      <c r="L278" s="9" t="s">
        <v>42</v>
      </c>
      <c r="M278" s="9" t="s">
        <v>42</v>
      </c>
      <c r="N278" s="9" t="s">
        <v>42</v>
      </c>
      <c r="O278" s="9" t="s">
        <v>42</v>
      </c>
      <c r="P278" s="9" t="s">
        <v>42</v>
      </c>
      <c r="Q278" s="9" t="n">
        <v>191</v>
      </c>
      <c r="R278" s="9" t="s">
        <v>47</v>
      </c>
      <c r="S278" s="9" t="s">
        <v>481</v>
      </c>
    </row>
    <row r="279" customFormat="false" ht="15" hidden="false" customHeight="true" outlineLevel="0" collapsed="false">
      <c r="A279" s="9" t="s">
        <v>482</v>
      </c>
      <c r="B279" s="9" t="n">
        <v>70739</v>
      </c>
      <c r="C279" s="9"/>
      <c r="D279" s="9"/>
      <c r="E279" s="9" t="s">
        <v>44</v>
      </c>
      <c r="F279" s="9" t="s">
        <v>39</v>
      </c>
      <c r="G279" s="9" t="s">
        <v>40</v>
      </c>
      <c r="H279" s="9"/>
      <c r="I279" s="9" t="s">
        <v>41</v>
      </c>
      <c r="J279" s="9" t="s">
        <v>40</v>
      </c>
      <c r="K279" s="9" t="n">
        <v>1</v>
      </c>
      <c r="L279" s="9" t="s">
        <v>42</v>
      </c>
      <c r="M279" s="9" t="s">
        <v>42</v>
      </c>
      <c r="N279" s="9" t="s">
        <v>42</v>
      </c>
      <c r="O279" s="9" t="s">
        <v>42</v>
      </c>
      <c r="P279" s="9" t="s">
        <v>42</v>
      </c>
      <c r="Q279" s="9" t="n">
        <v>0</v>
      </c>
      <c r="R279" s="9" t="s">
        <v>40</v>
      </c>
      <c r="S279" s="9"/>
    </row>
    <row r="280" customFormat="false" ht="15" hidden="false" customHeight="true" outlineLevel="0" collapsed="false">
      <c r="A280" s="9" t="s">
        <v>483</v>
      </c>
      <c r="B280" s="9" t="n">
        <v>25849</v>
      </c>
      <c r="C280" s="9"/>
      <c r="D280" s="9"/>
      <c r="E280" s="9" t="s">
        <v>44</v>
      </c>
      <c r="F280" s="9" t="s">
        <v>39</v>
      </c>
      <c r="G280" s="9" t="s">
        <v>40</v>
      </c>
      <c r="H280" s="9"/>
      <c r="I280" s="9" t="s">
        <v>41</v>
      </c>
      <c r="J280" s="9" t="s">
        <v>47</v>
      </c>
      <c r="K280" s="9" t="n">
        <v>1</v>
      </c>
      <c r="L280" s="9" t="s">
        <v>42</v>
      </c>
      <c r="M280" s="9" t="s">
        <v>42</v>
      </c>
      <c r="N280" s="9" t="s">
        <v>42</v>
      </c>
      <c r="O280" s="9" t="s">
        <v>42</v>
      </c>
      <c r="P280" s="9" t="s">
        <v>42</v>
      </c>
      <c r="Q280" s="9" t="n">
        <v>0</v>
      </c>
      <c r="R280" s="9" t="s">
        <v>40</v>
      </c>
      <c r="S280" s="9"/>
    </row>
    <row r="281" customFormat="false" ht="15" hidden="false" customHeight="true" outlineLevel="0" collapsed="false">
      <c r="A281" s="9" t="s">
        <v>484</v>
      </c>
      <c r="B281" s="9" t="n">
        <v>75221</v>
      </c>
      <c r="C281" s="9" t="n">
        <v>28</v>
      </c>
      <c r="D281" s="9" t="s">
        <v>83</v>
      </c>
      <c r="E281" s="9" t="s">
        <v>44</v>
      </c>
      <c r="F281" s="9" t="s">
        <v>201</v>
      </c>
      <c r="G281" s="9" t="s">
        <v>40</v>
      </c>
      <c r="H281" s="9" t="s">
        <v>177</v>
      </c>
      <c r="I281" s="9" t="s">
        <v>41</v>
      </c>
      <c r="J281" s="9" t="s">
        <v>47</v>
      </c>
      <c r="K281" s="9" t="n">
        <v>0</v>
      </c>
      <c r="L281" s="9" t="s">
        <v>42</v>
      </c>
      <c r="M281" s="9" t="s">
        <v>42</v>
      </c>
      <c r="N281" s="9" t="s">
        <v>42</v>
      </c>
      <c r="O281" s="9" t="s">
        <v>42</v>
      </c>
      <c r="P281" s="9" t="s">
        <v>42</v>
      </c>
      <c r="Q281" s="9" t="n">
        <v>1159</v>
      </c>
      <c r="R281" s="9" t="s">
        <v>47</v>
      </c>
      <c r="S281" s="9" t="s">
        <v>485</v>
      </c>
    </row>
    <row r="282" customFormat="false" ht="15" hidden="false" customHeight="true" outlineLevel="0" collapsed="false">
      <c r="A282" s="9" t="s">
        <v>486</v>
      </c>
      <c r="B282" s="9" t="n">
        <v>90265</v>
      </c>
      <c r="C282" s="9"/>
      <c r="D282" s="9"/>
      <c r="E282" s="9" t="s">
        <v>38</v>
      </c>
      <c r="F282" s="9" t="s">
        <v>39</v>
      </c>
      <c r="G282" s="9" t="s">
        <v>40</v>
      </c>
      <c r="H282" s="9"/>
      <c r="I282" s="9"/>
      <c r="J282" s="9" t="s">
        <v>40</v>
      </c>
      <c r="K282" s="9" t="n">
        <v>10</v>
      </c>
      <c r="L282" s="9" t="s">
        <v>42</v>
      </c>
      <c r="M282" s="9" t="s">
        <v>42</v>
      </c>
      <c r="N282" s="9" t="s">
        <v>42</v>
      </c>
      <c r="O282" s="9" t="s">
        <v>42</v>
      </c>
      <c r="P282" s="9" t="s">
        <v>42</v>
      </c>
      <c r="Q282" s="9" t="n">
        <v>1805</v>
      </c>
      <c r="R282" s="9" t="s">
        <v>47</v>
      </c>
      <c r="S282" s="9"/>
    </row>
    <row r="283" customFormat="false" ht="15" hidden="false" customHeight="true" outlineLevel="0" collapsed="false">
      <c r="A283" s="9" t="s">
        <v>487</v>
      </c>
      <c r="B283" s="9" t="n">
        <v>66032</v>
      </c>
      <c r="C283" s="9" t="n">
        <v>70</v>
      </c>
      <c r="D283" s="9"/>
      <c r="E283" s="9" t="s">
        <v>44</v>
      </c>
      <c r="F283" s="9" t="s">
        <v>39</v>
      </c>
      <c r="G283" s="9" t="s">
        <v>47</v>
      </c>
      <c r="H283" s="9"/>
      <c r="I283" s="9" t="s">
        <v>41</v>
      </c>
      <c r="J283" s="9" t="s">
        <v>40</v>
      </c>
      <c r="K283" s="9" t="n">
        <v>1</v>
      </c>
      <c r="L283" s="9" t="s">
        <v>42</v>
      </c>
      <c r="M283" s="9" t="s">
        <v>42</v>
      </c>
      <c r="N283" s="9" t="s">
        <v>42</v>
      </c>
      <c r="O283" s="9" t="s">
        <v>42</v>
      </c>
      <c r="P283" s="9" t="s">
        <v>57</v>
      </c>
      <c r="Q283" s="9" t="n">
        <v>1335</v>
      </c>
      <c r="R283" s="9" t="s">
        <v>47</v>
      </c>
      <c r="S283" s="9" t="s">
        <v>488</v>
      </c>
    </row>
    <row r="284" customFormat="false" ht="15" hidden="false" customHeight="true" outlineLevel="0" collapsed="false">
      <c r="A284" s="9" t="s">
        <v>489</v>
      </c>
      <c r="B284" s="9" t="n">
        <v>53803</v>
      </c>
      <c r="C284" s="9" t="n">
        <v>34</v>
      </c>
      <c r="D284" s="9"/>
      <c r="E284" s="9" t="s">
        <v>44</v>
      </c>
      <c r="F284" s="9" t="s">
        <v>201</v>
      </c>
      <c r="G284" s="9" t="s">
        <v>40</v>
      </c>
      <c r="H284" s="9"/>
      <c r="I284" s="9" t="s">
        <v>41</v>
      </c>
      <c r="J284" s="9" t="s">
        <v>40</v>
      </c>
      <c r="K284" s="9" t="n">
        <v>0</v>
      </c>
      <c r="L284" s="9" t="s">
        <v>42</v>
      </c>
      <c r="M284" s="9" t="s">
        <v>42</v>
      </c>
      <c r="N284" s="9" t="s">
        <v>42</v>
      </c>
      <c r="O284" s="9" t="s">
        <v>42</v>
      </c>
      <c r="P284" s="9" t="s">
        <v>42</v>
      </c>
      <c r="Q284" s="9" t="n">
        <v>0</v>
      </c>
      <c r="R284" s="9" t="s">
        <v>40</v>
      </c>
      <c r="S284" s="9" t="s">
        <v>490</v>
      </c>
    </row>
    <row r="285" customFormat="false" ht="15" hidden="false" customHeight="true" outlineLevel="0" collapsed="false">
      <c r="A285" s="9" t="s">
        <v>491</v>
      </c>
      <c r="B285" s="9" t="n">
        <v>90265</v>
      </c>
      <c r="C285" s="9" t="n">
        <v>30</v>
      </c>
      <c r="D285" s="9"/>
      <c r="E285" s="9" t="s">
        <v>38</v>
      </c>
      <c r="F285" s="9" t="s">
        <v>54</v>
      </c>
      <c r="G285" s="9" t="s">
        <v>47</v>
      </c>
      <c r="H285" s="9"/>
      <c r="I285" s="9" t="s">
        <v>41</v>
      </c>
      <c r="J285" s="9" t="s">
        <v>47</v>
      </c>
      <c r="K285" s="9" t="n">
        <v>1</v>
      </c>
      <c r="L285" s="9" t="s">
        <v>42</v>
      </c>
      <c r="M285" s="9" t="s">
        <v>42</v>
      </c>
      <c r="N285" s="9" t="s">
        <v>197</v>
      </c>
      <c r="O285" s="9" t="s">
        <v>42</v>
      </c>
      <c r="P285" s="9" t="s">
        <v>42</v>
      </c>
      <c r="Q285" s="9" t="n">
        <v>5</v>
      </c>
      <c r="R285" s="9" t="s">
        <v>47</v>
      </c>
      <c r="S285" s="9" t="s">
        <v>492</v>
      </c>
    </row>
    <row r="286" customFormat="false" ht="15" hidden="false" customHeight="true" outlineLevel="0" collapsed="false">
      <c r="A286" s="9" t="s">
        <v>493</v>
      </c>
      <c r="B286" s="9" t="n">
        <v>39206</v>
      </c>
      <c r="C286" s="9"/>
      <c r="D286" s="9" t="s">
        <v>83</v>
      </c>
      <c r="E286" s="9" t="s">
        <v>44</v>
      </c>
      <c r="F286" s="9" t="s">
        <v>39</v>
      </c>
      <c r="G286" s="9" t="s">
        <v>40</v>
      </c>
      <c r="H286" s="9" t="s">
        <v>494</v>
      </c>
      <c r="I286" s="9"/>
      <c r="J286" s="9" t="s">
        <v>40</v>
      </c>
      <c r="K286" s="9" t="n">
        <v>0</v>
      </c>
      <c r="L286" s="9" t="s">
        <v>42</v>
      </c>
      <c r="M286" s="9" t="s">
        <v>42</v>
      </c>
      <c r="N286" s="9" t="s">
        <v>42</v>
      </c>
      <c r="O286" s="9" t="s">
        <v>495</v>
      </c>
      <c r="P286" s="9" t="s">
        <v>42</v>
      </c>
      <c r="Q286" s="9" t="n">
        <v>8772</v>
      </c>
      <c r="R286" s="9" t="s">
        <v>47</v>
      </c>
      <c r="S286" s="9"/>
    </row>
    <row r="287" customFormat="false" ht="15" hidden="false" customHeight="true" outlineLevel="0" collapsed="false">
      <c r="A287" s="9" t="s">
        <v>496</v>
      </c>
      <c r="B287" s="9" t="n">
        <v>35073</v>
      </c>
      <c r="C287" s="9"/>
      <c r="D287" s="9"/>
      <c r="E287" s="9" t="s">
        <v>38</v>
      </c>
      <c r="F287" s="9" t="s">
        <v>39</v>
      </c>
      <c r="G287" s="9" t="s">
        <v>40</v>
      </c>
      <c r="H287" s="9"/>
      <c r="I287" s="9" t="s">
        <v>41</v>
      </c>
      <c r="J287" s="9" t="s">
        <v>40</v>
      </c>
      <c r="K287" s="9" t="n">
        <v>1</v>
      </c>
      <c r="L287" s="9" t="s">
        <v>42</v>
      </c>
      <c r="M287" s="9" t="s">
        <v>42</v>
      </c>
      <c r="N287" s="9" t="s">
        <v>42</v>
      </c>
      <c r="O287" s="9" t="s">
        <v>42</v>
      </c>
      <c r="P287" s="9" t="s">
        <v>42</v>
      </c>
      <c r="Q287" s="9" t="n">
        <v>15</v>
      </c>
      <c r="R287" s="9" t="s">
        <v>47</v>
      </c>
      <c r="S287" s="9"/>
    </row>
    <row r="288" customFormat="false" ht="15" hidden="false" customHeight="true" outlineLevel="0" collapsed="false">
      <c r="A288" s="9" t="s">
        <v>497</v>
      </c>
      <c r="B288" s="9" t="n">
        <v>28692</v>
      </c>
      <c r="C288" s="9"/>
      <c r="D288" s="9" t="s">
        <v>62</v>
      </c>
      <c r="E288" s="9" t="s">
        <v>38</v>
      </c>
      <c r="F288" s="9" t="s">
        <v>39</v>
      </c>
      <c r="G288" s="9" t="s">
        <v>47</v>
      </c>
      <c r="H288" s="9"/>
      <c r="I288" s="9" t="s">
        <v>41</v>
      </c>
      <c r="J288" s="9" t="s">
        <v>40</v>
      </c>
      <c r="K288" s="9" t="n">
        <v>1</v>
      </c>
      <c r="L288" s="9" t="s">
        <v>42</v>
      </c>
      <c r="M288" s="9" t="s">
        <v>42</v>
      </c>
      <c r="N288" s="9" t="s">
        <v>498</v>
      </c>
      <c r="O288" s="9" t="s">
        <v>42</v>
      </c>
      <c r="P288" s="9" t="s">
        <v>381</v>
      </c>
      <c r="Q288" s="9" t="n">
        <v>190</v>
      </c>
      <c r="R288" s="9" t="s">
        <v>47</v>
      </c>
      <c r="S288" s="9"/>
    </row>
    <row r="289" customFormat="false" ht="15" hidden="false" customHeight="true" outlineLevel="0" collapsed="false">
      <c r="A289" s="9" t="s">
        <v>499</v>
      </c>
      <c r="B289" s="9" t="n">
        <v>52651</v>
      </c>
      <c r="C289" s="9"/>
      <c r="D289" s="9" t="s">
        <v>62</v>
      </c>
      <c r="E289" s="9" t="s">
        <v>38</v>
      </c>
      <c r="F289" s="9" t="s">
        <v>39</v>
      </c>
      <c r="G289" s="9" t="s">
        <v>40</v>
      </c>
      <c r="H289" s="9"/>
      <c r="I289" s="9" t="s">
        <v>41</v>
      </c>
      <c r="J289" s="9" t="s">
        <v>40</v>
      </c>
      <c r="K289" s="9" t="n">
        <v>1</v>
      </c>
      <c r="L289" s="9" t="s">
        <v>42</v>
      </c>
      <c r="M289" s="9" t="s">
        <v>42</v>
      </c>
      <c r="N289" s="9" t="s">
        <v>42</v>
      </c>
      <c r="O289" s="9" t="s">
        <v>42</v>
      </c>
      <c r="P289" s="9" t="s">
        <v>42</v>
      </c>
      <c r="Q289" s="9" t="n">
        <v>50</v>
      </c>
      <c r="R289" s="9" t="s">
        <v>47</v>
      </c>
      <c r="S289" s="9"/>
    </row>
    <row r="290" customFormat="false" ht="15" hidden="false" customHeight="true" outlineLevel="0" collapsed="false">
      <c r="A290" s="9" t="s">
        <v>500</v>
      </c>
      <c r="B290" s="9" t="n">
        <v>28352</v>
      </c>
      <c r="C290" s="9" t="n">
        <v>54</v>
      </c>
      <c r="D290" s="9"/>
      <c r="E290" s="9" t="s">
        <v>38</v>
      </c>
      <c r="F290" s="9" t="s">
        <v>39</v>
      </c>
      <c r="G290" s="9" t="s">
        <v>40</v>
      </c>
      <c r="H290" s="9"/>
      <c r="I290" s="9" t="s">
        <v>41</v>
      </c>
      <c r="J290" s="9" t="s">
        <v>40</v>
      </c>
      <c r="K290" s="9" t="n">
        <v>0</v>
      </c>
      <c r="L290" s="9" t="s">
        <v>42</v>
      </c>
      <c r="M290" s="9" t="s">
        <v>501</v>
      </c>
      <c r="N290" s="9" t="s">
        <v>42</v>
      </c>
      <c r="O290" s="9" t="s">
        <v>129</v>
      </c>
      <c r="P290" s="9" t="s">
        <v>42</v>
      </c>
      <c r="Q290" s="9" t="n">
        <v>1640</v>
      </c>
      <c r="R290" s="9" t="s">
        <v>47</v>
      </c>
      <c r="S290" s="9" t="s">
        <v>502</v>
      </c>
    </row>
    <row r="291" customFormat="false" ht="15" hidden="false" customHeight="true" outlineLevel="0" collapsed="false">
      <c r="A291" s="9" t="s">
        <v>503</v>
      </c>
      <c r="B291" s="9" t="n">
        <v>90265</v>
      </c>
      <c r="C291" s="9" t="n">
        <v>41</v>
      </c>
      <c r="D291" s="9"/>
      <c r="E291" s="9" t="s">
        <v>38</v>
      </c>
      <c r="F291" s="9" t="s">
        <v>54</v>
      </c>
      <c r="G291" s="9" t="s">
        <v>47</v>
      </c>
      <c r="H291" s="9"/>
      <c r="I291" s="9"/>
      <c r="J291" s="9" t="s">
        <v>47</v>
      </c>
      <c r="K291" s="9" t="n">
        <v>1</v>
      </c>
      <c r="L291" s="9" t="s">
        <v>42</v>
      </c>
      <c r="M291" s="9" t="s">
        <v>42</v>
      </c>
      <c r="N291" s="9" t="s">
        <v>42</v>
      </c>
      <c r="O291" s="9" t="s">
        <v>42</v>
      </c>
      <c r="P291" s="9" t="s">
        <v>42</v>
      </c>
      <c r="Q291" s="9" t="n">
        <v>0</v>
      </c>
      <c r="R291" s="9" t="s">
        <v>40</v>
      </c>
      <c r="S291" s="9" t="s">
        <v>504</v>
      </c>
    </row>
    <row r="292" customFormat="false" ht="15" hidden="false" customHeight="true" outlineLevel="0" collapsed="false">
      <c r="A292" s="9" t="s">
        <v>505</v>
      </c>
      <c r="B292" s="9" t="n">
        <v>63632</v>
      </c>
      <c r="C292" s="9"/>
      <c r="D292" s="9" t="s">
        <v>83</v>
      </c>
      <c r="E292" s="9" t="s">
        <v>38</v>
      </c>
      <c r="F292" s="9" t="s">
        <v>39</v>
      </c>
      <c r="G292" s="9" t="s">
        <v>40</v>
      </c>
      <c r="H292" s="9"/>
      <c r="I292" s="9" t="s">
        <v>41</v>
      </c>
      <c r="J292" s="9" t="s">
        <v>40</v>
      </c>
      <c r="K292" s="9" t="n">
        <v>1</v>
      </c>
      <c r="L292" s="9" t="s">
        <v>42</v>
      </c>
      <c r="M292" s="9" t="s">
        <v>42</v>
      </c>
      <c r="N292" s="9" t="s">
        <v>42</v>
      </c>
      <c r="O292" s="9" t="s">
        <v>42</v>
      </c>
      <c r="P292" s="9" t="s">
        <v>42</v>
      </c>
      <c r="Q292" s="9" t="n">
        <v>300</v>
      </c>
      <c r="R292" s="9" t="s">
        <v>47</v>
      </c>
      <c r="S292" s="9"/>
    </row>
    <row r="293" customFormat="false" ht="15" hidden="false" customHeight="true" outlineLevel="0" collapsed="false">
      <c r="A293" s="9" t="s">
        <v>506</v>
      </c>
      <c r="B293" s="9" t="n">
        <v>70356</v>
      </c>
      <c r="C293" s="9"/>
      <c r="D293" s="9"/>
      <c r="E293" s="9" t="s">
        <v>44</v>
      </c>
      <c r="F293" s="9" t="s">
        <v>54</v>
      </c>
      <c r="G293" s="9" t="s">
        <v>47</v>
      </c>
      <c r="H293" s="9"/>
      <c r="I293" s="9" t="s">
        <v>41</v>
      </c>
      <c r="J293" s="9" t="s">
        <v>40</v>
      </c>
      <c r="K293" s="9" t="n">
        <v>1</v>
      </c>
      <c r="L293" s="9" t="s">
        <v>42</v>
      </c>
      <c r="M293" s="9" t="s">
        <v>42</v>
      </c>
      <c r="N293" s="9" t="s">
        <v>42</v>
      </c>
      <c r="O293" s="9" t="s">
        <v>42</v>
      </c>
      <c r="P293" s="9" t="s">
        <v>42</v>
      </c>
      <c r="Q293" s="9" t="n">
        <v>60</v>
      </c>
      <c r="R293" s="9" t="s">
        <v>47</v>
      </c>
      <c r="S293" s="9"/>
    </row>
    <row r="294" customFormat="false" ht="15" hidden="false" customHeight="true" outlineLevel="0" collapsed="false">
      <c r="A294" s="9" t="s">
        <v>507</v>
      </c>
      <c r="B294" s="9" t="n">
        <v>29171</v>
      </c>
      <c r="C294" s="9"/>
      <c r="D294" s="9" t="s">
        <v>83</v>
      </c>
      <c r="E294" s="9" t="s">
        <v>38</v>
      </c>
      <c r="F294" s="9" t="s">
        <v>39</v>
      </c>
      <c r="G294" s="9" t="s">
        <v>47</v>
      </c>
      <c r="H294" s="9"/>
      <c r="I294" s="9" t="s">
        <v>41</v>
      </c>
      <c r="J294" s="9" t="s">
        <v>40</v>
      </c>
      <c r="K294" s="9" t="n">
        <v>0</v>
      </c>
      <c r="L294" s="9" t="s">
        <v>42</v>
      </c>
      <c r="M294" s="9" t="s">
        <v>42</v>
      </c>
      <c r="N294" s="9" t="s">
        <v>42</v>
      </c>
      <c r="O294" s="9" t="s">
        <v>42</v>
      </c>
      <c r="P294" s="9" t="s">
        <v>42</v>
      </c>
      <c r="Q294" s="9" t="n">
        <v>5</v>
      </c>
      <c r="R294" s="9" t="s">
        <v>47</v>
      </c>
      <c r="S294" s="9"/>
    </row>
    <row r="295" customFormat="false" ht="15" hidden="false" customHeight="true" outlineLevel="0" collapsed="false">
      <c r="A295" s="9" t="s">
        <v>508</v>
      </c>
      <c r="B295" s="9" t="n">
        <v>90265</v>
      </c>
      <c r="C295" s="9"/>
      <c r="D295" s="9"/>
      <c r="E295" s="9" t="s">
        <v>38</v>
      </c>
      <c r="F295" s="9" t="s">
        <v>39</v>
      </c>
      <c r="G295" s="9" t="s">
        <v>40</v>
      </c>
      <c r="H295" s="9" t="s">
        <v>177</v>
      </c>
      <c r="I295" s="9" t="s">
        <v>41</v>
      </c>
      <c r="J295" s="9" t="s">
        <v>40</v>
      </c>
      <c r="K295" s="9" t="n">
        <v>2</v>
      </c>
      <c r="L295" s="9" t="s">
        <v>42</v>
      </c>
      <c r="M295" s="9" t="s">
        <v>42</v>
      </c>
      <c r="N295" s="9" t="s">
        <v>57</v>
      </c>
      <c r="O295" s="9" t="s">
        <v>42</v>
      </c>
      <c r="P295" s="9" t="s">
        <v>42</v>
      </c>
      <c r="Q295" s="9" t="n">
        <v>1</v>
      </c>
      <c r="R295" s="9" t="s">
        <v>47</v>
      </c>
      <c r="S295" s="9"/>
    </row>
    <row r="296" customFormat="false" ht="15" hidden="false" customHeight="true" outlineLevel="0" collapsed="false">
      <c r="A296" s="9" t="s">
        <v>509</v>
      </c>
      <c r="B296" s="9" t="n">
        <v>73753</v>
      </c>
      <c r="C296" s="9" t="n">
        <v>34</v>
      </c>
      <c r="D296" s="9"/>
      <c r="E296" s="9" t="s">
        <v>38</v>
      </c>
      <c r="F296" s="9" t="s">
        <v>39</v>
      </c>
      <c r="G296" s="9" t="s">
        <v>40</v>
      </c>
      <c r="H296" s="9"/>
      <c r="I296" s="9" t="s">
        <v>41</v>
      </c>
      <c r="J296" s="9" t="s">
        <v>40</v>
      </c>
      <c r="K296" s="9" t="n">
        <v>0</v>
      </c>
      <c r="L296" s="9" t="s">
        <v>42</v>
      </c>
      <c r="M296" s="9" t="s">
        <v>42</v>
      </c>
      <c r="N296" s="9" t="s">
        <v>42</v>
      </c>
      <c r="O296" s="9" t="s">
        <v>42</v>
      </c>
      <c r="P296" s="9" t="s">
        <v>57</v>
      </c>
      <c r="Q296" s="9" t="n">
        <v>15</v>
      </c>
      <c r="R296" s="9" t="s">
        <v>47</v>
      </c>
      <c r="S296" s="9" t="s">
        <v>510</v>
      </c>
    </row>
    <row r="297" customFormat="false" ht="15" hidden="false" customHeight="true" outlineLevel="0" collapsed="false">
      <c r="A297" s="9" t="s">
        <v>511</v>
      </c>
      <c r="B297" s="9" t="n">
        <v>98847</v>
      </c>
      <c r="C297" s="9"/>
      <c r="D297" s="9"/>
      <c r="E297" s="9" t="s">
        <v>38</v>
      </c>
      <c r="F297" s="9" t="s">
        <v>39</v>
      </c>
      <c r="G297" s="9" t="s">
        <v>47</v>
      </c>
      <c r="H297" s="9"/>
      <c r="I297" s="9" t="s">
        <v>41</v>
      </c>
      <c r="J297" s="9" t="s">
        <v>40</v>
      </c>
      <c r="K297" s="9" t="n">
        <v>3</v>
      </c>
      <c r="L297" s="9" t="s">
        <v>72</v>
      </c>
      <c r="M297" s="9" t="s">
        <v>42</v>
      </c>
      <c r="N297" s="9" t="s">
        <v>42</v>
      </c>
      <c r="O297" s="9" t="s">
        <v>42</v>
      </c>
      <c r="P297" s="9" t="s">
        <v>42</v>
      </c>
      <c r="Q297" s="9" t="n">
        <v>25</v>
      </c>
      <c r="R297" s="9" t="s">
        <v>47</v>
      </c>
      <c r="S297" s="9"/>
    </row>
    <row r="298" customFormat="false" ht="15" hidden="false" customHeight="true" outlineLevel="0" collapsed="false">
      <c r="A298" s="9" t="s">
        <v>512</v>
      </c>
      <c r="B298" s="9" t="n">
        <v>12170</v>
      </c>
      <c r="C298" s="9" t="n">
        <v>40</v>
      </c>
      <c r="D298" s="9"/>
      <c r="E298" s="9" t="s">
        <v>44</v>
      </c>
      <c r="F298" s="9" t="s">
        <v>54</v>
      </c>
      <c r="G298" s="9" t="s">
        <v>47</v>
      </c>
      <c r="H298" s="9" t="s">
        <v>159</v>
      </c>
      <c r="I298" s="9" t="s">
        <v>41</v>
      </c>
      <c r="J298" s="9" t="s">
        <v>47</v>
      </c>
      <c r="K298" s="9" t="n">
        <v>0</v>
      </c>
      <c r="L298" s="9" t="s">
        <v>42</v>
      </c>
      <c r="M298" s="9" t="s">
        <v>42</v>
      </c>
      <c r="N298" s="9" t="s">
        <v>42</v>
      </c>
      <c r="O298" s="9" t="s">
        <v>42</v>
      </c>
      <c r="P298" s="9" t="s">
        <v>42</v>
      </c>
      <c r="Q298" s="9" t="n">
        <v>610</v>
      </c>
      <c r="R298" s="9" t="s">
        <v>47</v>
      </c>
      <c r="S298" s="9" t="s">
        <v>513</v>
      </c>
    </row>
    <row r="299" customFormat="false" ht="15" hidden="false" customHeight="true" outlineLevel="0" collapsed="false">
      <c r="A299" s="9" t="s">
        <v>514</v>
      </c>
      <c r="B299" s="9" t="n">
        <v>64674</v>
      </c>
      <c r="C299" s="9" t="n">
        <v>75</v>
      </c>
      <c r="D299" s="9"/>
      <c r="E299" s="9" t="s">
        <v>44</v>
      </c>
      <c r="F299" s="9" t="s">
        <v>158</v>
      </c>
      <c r="G299" s="9" t="s">
        <v>40</v>
      </c>
      <c r="H299" s="9"/>
      <c r="I299" s="9" t="s">
        <v>41</v>
      </c>
      <c r="J299" s="9" t="s">
        <v>40</v>
      </c>
      <c r="K299" s="9" t="n">
        <v>3</v>
      </c>
      <c r="L299" s="9" t="s">
        <v>42</v>
      </c>
      <c r="M299" s="9" t="s">
        <v>42</v>
      </c>
      <c r="N299" s="9" t="s">
        <v>42</v>
      </c>
      <c r="O299" s="9" t="s">
        <v>42</v>
      </c>
      <c r="P299" s="9" t="s">
        <v>515</v>
      </c>
      <c r="Q299" s="9" t="n">
        <v>630</v>
      </c>
      <c r="R299" s="9" t="s">
        <v>47</v>
      </c>
      <c r="S299" s="9" t="s">
        <v>516</v>
      </c>
    </row>
    <row r="300" customFormat="false" ht="15" hidden="false" customHeight="true" outlineLevel="0" collapsed="false">
      <c r="A300" s="9" t="s">
        <v>517</v>
      </c>
      <c r="B300" s="9" t="n">
        <v>40927</v>
      </c>
      <c r="C300" s="9"/>
      <c r="D300" s="9"/>
      <c r="E300" s="9" t="s">
        <v>38</v>
      </c>
      <c r="F300" s="9" t="s">
        <v>39</v>
      </c>
      <c r="G300" s="9" t="s">
        <v>40</v>
      </c>
      <c r="H300" s="9"/>
      <c r="I300" s="9" t="s">
        <v>41</v>
      </c>
      <c r="J300" s="9" t="s">
        <v>40</v>
      </c>
      <c r="K300" s="9" t="n">
        <v>2</v>
      </c>
      <c r="L300" s="9" t="s">
        <v>42</v>
      </c>
      <c r="M300" s="9" t="s">
        <v>42</v>
      </c>
      <c r="N300" s="9" t="s">
        <v>42</v>
      </c>
      <c r="O300" s="9" t="s">
        <v>42</v>
      </c>
      <c r="P300" s="9" t="s">
        <v>42</v>
      </c>
      <c r="Q300" s="9" t="n">
        <v>0</v>
      </c>
      <c r="R300" s="9" t="s">
        <v>40</v>
      </c>
      <c r="S300" s="9"/>
    </row>
    <row r="301" customFormat="false" ht="15" hidden="false" customHeight="true" outlineLevel="0" collapsed="false">
      <c r="A301" s="9" t="s">
        <v>518</v>
      </c>
      <c r="B301" s="9" t="n">
        <v>15370</v>
      </c>
      <c r="C301" s="9" t="n">
        <v>34</v>
      </c>
      <c r="D301" s="9"/>
      <c r="E301" s="9" t="s">
        <v>38</v>
      </c>
      <c r="F301" s="9" t="s">
        <v>39</v>
      </c>
      <c r="G301" s="9" t="s">
        <v>40</v>
      </c>
      <c r="H301" s="9"/>
      <c r="I301" s="9" t="s">
        <v>41</v>
      </c>
      <c r="J301" s="9" t="s">
        <v>40</v>
      </c>
      <c r="K301" s="9" t="n">
        <v>0</v>
      </c>
      <c r="L301" s="9" t="s">
        <v>42</v>
      </c>
      <c r="M301" s="9" t="s">
        <v>42</v>
      </c>
      <c r="N301" s="9" t="s">
        <v>42</v>
      </c>
      <c r="O301" s="9" t="s">
        <v>42</v>
      </c>
      <c r="P301" s="9" t="s">
        <v>42</v>
      </c>
      <c r="Q301" s="9" t="n">
        <v>330</v>
      </c>
      <c r="R301" s="9" t="s">
        <v>47</v>
      </c>
      <c r="S301" s="9" t="s">
        <v>519</v>
      </c>
    </row>
    <row r="302" customFormat="false" ht="15" hidden="false" customHeight="true" outlineLevel="0" collapsed="false">
      <c r="A302" s="9" t="s">
        <v>520</v>
      </c>
      <c r="B302" s="9" t="n">
        <v>71677</v>
      </c>
      <c r="C302" s="9" t="n">
        <v>35</v>
      </c>
      <c r="D302" s="9"/>
      <c r="E302" s="9" t="s">
        <v>38</v>
      </c>
      <c r="F302" s="9" t="s">
        <v>39</v>
      </c>
      <c r="G302" s="9" t="s">
        <v>40</v>
      </c>
      <c r="H302" s="9" t="s">
        <v>81</v>
      </c>
      <c r="I302" s="9" t="s">
        <v>41</v>
      </c>
      <c r="J302" s="9" t="s">
        <v>47</v>
      </c>
      <c r="K302" s="9" t="n">
        <v>0</v>
      </c>
      <c r="L302" s="9" t="s">
        <v>42</v>
      </c>
      <c r="M302" s="9" t="s">
        <v>42</v>
      </c>
      <c r="N302" s="9" t="s">
        <v>42</v>
      </c>
      <c r="O302" s="9" t="s">
        <v>521</v>
      </c>
      <c r="P302" s="9" t="s">
        <v>42</v>
      </c>
      <c r="Q302" s="9" t="n">
        <v>209</v>
      </c>
      <c r="R302" s="9" t="s">
        <v>47</v>
      </c>
      <c r="S302" s="9" t="s">
        <v>522</v>
      </c>
    </row>
    <row r="303" customFormat="false" ht="15" hidden="false" customHeight="true" outlineLevel="0" collapsed="false">
      <c r="A303" s="9" t="s">
        <v>523</v>
      </c>
      <c r="B303" s="9" t="n">
        <v>8079</v>
      </c>
      <c r="C303" s="9"/>
      <c r="D303" s="9"/>
      <c r="E303" s="9" t="s">
        <v>44</v>
      </c>
      <c r="F303" s="9" t="s">
        <v>54</v>
      </c>
      <c r="G303" s="9" t="s">
        <v>40</v>
      </c>
      <c r="H303" s="9"/>
      <c r="I303" s="9"/>
      <c r="J303" s="9" t="s">
        <v>40</v>
      </c>
      <c r="K303" s="9" t="n">
        <v>0</v>
      </c>
      <c r="L303" s="9" t="s">
        <v>171</v>
      </c>
      <c r="M303" s="9" t="s">
        <v>42</v>
      </c>
      <c r="N303" s="9" t="s">
        <v>42</v>
      </c>
      <c r="O303" s="9" t="s">
        <v>42</v>
      </c>
      <c r="P303" s="9" t="s">
        <v>42</v>
      </c>
      <c r="Q303" s="9" t="n">
        <v>15</v>
      </c>
      <c r="R303" s="9" t="s">
        <v>47</v>
      </c>
      <c r="S303" s="9"/>
    </row>
    <row r="304" customFormat="false" ht="15" hidden="false" customHeight="true" outlineLevel="0" collapsed="false">
      <c r="A304" s="9" t="s">
        <v>524</v>
      </c>
      <c r="B304" s="9" t="n">
        <v>10259</v>
      </c>
      <c r="C304" s="9"/>
      <c r="D304" s="9"/>
      <c r="E304" s="9" t="s">
        <v>38</v>
      </c>
      <c r="F304" s="9" t="s">
        <v>39</v>
      </c>
      <c r="G304" s="9" t="s">
        <v>40</v>
      </c>
      <c r="H304" s="9"/>
      <c r="I304" s="9"/>
      <c r="J304" s="9" t="s">
        <v>40</v>
      </c>
      <c r="K304" s="9" t="n">
        <v>2</v>
      </c>
      <c r="L304" s="9" t="s">
        <v>42</v>
      </c>
      <c r="M304" s="9" t="s">
        <v>42</v>
      </c>
      <c r="N304" s="9" t="s">
        <v>125</v>
      </c>
      <c r="O304" s="9" t="s">
        <v>42</v>
      </c>
      <c r="P304" s="9" t="s">
        <v>42</v>
      </c>
      <c r="Q304" s="9" t="n">
        <v>225</v>
      </c>
      <c r="R304" s="9" t="s">
        <v>47</v>
      </c>
      <c r="S304" s="9"/>
    </row>
    <row r="305" customFormat="false" ht="15" hidden="false" customHeight="true" outlineLevel="0" collapsed="false">
      <c r="A305" s="9" t="s">
        <v>525</v>
      </c>
      <c r="B305" s="9" t="n">
        <v>79845</v>
      </c>
      <c r="C305" s="9"/>
      <c r="D305" s="9" t="s">
        <v>62</v>
      </c>
      <c r="E305" s="9" t="s">
        <v>38</v>
      </c>
      <c r="F305" s="9" t="s">
        <v>39</v>
      </c>
      <c r="G305" s="9" t="s">
        <v>40</v>
      </c>
      <c r="H305" s="9"/>
      <c r="I305" s="9" t="s">
        <v>41</v>
      </c>
      <c r="J305" s="9" t="s">
        <v>40</v>
      </c>
      <c r="K305" s="9" t="n">
        <v>0</v>
      </c>
      <c r="L305" s="9" t="s">
        <v>42</v>
      </c>
      <c r="M305" s="9" t="s">
        <v>42</v>
      </c>
      <c r="N305" s="9" t="s">
        <v>42</v>
      </c>
      <c r="O305" s="9" t="s">
        <v>42</v>
      </c>
      <c r="P305" s="9" t="s">
        <v>42</v>
      </c>
      <c r="Q305" s="9" t="n">
        <v>0</v>
      </c>
      <c r="R305" s="9" t="s">
        <v>40</v>
      </c>
      <c r="S305" s="9"/>
    </row>
    <row r="306" customFormat="false" ht="15" hidden="false" customHeight="true" outlineLevel="0" collapsed="false">
      <c r="A306" s="9" t="s">
        <v>526</v>
      </c>
      <c r="B306" s="9" t="n">
        <v>34972</v>
      </c>
      <c r="C306" s="9"/>
      <c r="D306" s="9"/>
      <c r="E306" s="9" t="s">
        <v>38</v>
      </c>
      <c r="F306" s="9" t="s">
        <v>54</v>
      </c>
      <c r="G306" s="9" t="s">
        <v>40</v>
      </c>
      <c r="H306" s="9"/>
      <c r="I306" s="9"/>
      <c r="J306" s="9" t="s">
        <v>40</v>
      </c>
      <c r="K306" s="9" t="n">
        <v>0</v>
      </c>
      <c r="L306" s="9" t="s">
        <v>42</v>
      </c>
      <c r="M306" s="9" t="s">
        <v>42</v>
      </c>
      <c r="N306" s="9" t="s">
        <v>42</v>
      </c>
      <c r="O306" s="9" t="s">
        <v>42</v>
      </c>
      <c r="P306" s="9" t="s">
        <v>42</v>
      </c>
      <c r="Q306" s="9" t="n">
        <v>1500</v>
      </c>
      <c r="R306" s="9" t="s">
        <v>47</v>
      </c>
      <c r="S306" s="9"/>
    </row>
    <row r="307" customFormat="false" ht="15" hidden="false" customHeight="true" outlineLevel="0" collapsed="false">
      <c r="A307" s="9" t="s">
        <v>527</v>
      </c>
      <c r="B307" s="9" t="n">
        <v>13738</v>
      </c>
      <c r="C307" s="9"/>
      <c r="D307" s="9"/>
      <c r="E307" s="9" t="s">
        <v>44</v>
      </c>
      <c r="F307" s="9" t="s">
        <v>39</v>
      </c>
      <c r="G307" s="9" t="s">
        <v>40</v>
      </c>
      <c r="H307" s="9"/>
      <c r="I307" s="9" t="s">
        <v>41</v>
      </c>
      <c r="J307" s="9" t="s">
        <v>40</v>
      </c>
      <c r="K307" s="9" t="n">
        <v>3</v>
      </c>
      <c r="L307" s="9" t="s">
        <v>42</v>
      </c>
      <c r="M307" s="9" t="s">
        <v>42</v>
      </c>
      <c r="N307" s="9" t="s">
        <v>528</v>
      </c>
      <c r="O307" s="9" t="s">
        <v>42</v>
      </c>
      <c r="P307" s="9" t="s">
        <v>42</v>
      </c>
      <c r="Q307" s="9" t="n">
        <v>70</v>
      </c>
      <c r="R307" s="9" t="s">
        <v>47</v>
      </c>
      <c r="S307" s="9"/>
    </row>
    <row r="308" customFormat="false" ht="15" hidden="false" customHeight="true" outlineLevel="0" collapsed="false">
      <c r="A308" s="9" t="s">
        <v>529</v>
      </c>
      <c r="B308" s="9" t="n">
        <v>36543</v>
      </c>
      <c r="C308" s="9" t="n">
        <v>47</v>
      </c>
      <c r="D308" s="9"/>
      <c r="E308" s="9" t="s">
        <v>38</v>
      </c>
      <c r="F308" s="9" t="s">
        <v>54</v>
      </c>
      <c r="G308" s="9" t="s">
        <v>40</v>
      </c>
      <c r="H308" s="9"/>
      <c r="I308" s="9" t="s">
        <v>41</v>
      </c>
      <c r="J308" s="9" t="s">
        <v>40</v>
      </c>
      <c r="K308" s="9" t="n">
        <v>0</v>
      </c>
      <c r="L308" s="9" t="s">
        <v>42</v>
      </c>
      <c r="M308" s="9" t="s">
        <v>530</v>
      </c>
      <c r="N308" s="9" t="s">
        <v>42</v>
      </c>
      <c r="O308" s="9" t="s">
        <v>42</v>
      </c>
      <c r="P308" s="9" t="s">
        <v>42</v>
      </c>
      <c r="Q308" s="9" t="n">
        <v>328</v>
      </c>
      <c r="R308" s="9" t="s">
        <v>47</v>
      </c>
      <c r="S308" s="9" t="s">
        <v>531</v>
      </c>
    </row>
    <row r="309" customFormat="false" ht="15" hidden="false" customHeight="true" outlineLevel="0" collapsed="false">
      <c r="A309" s="9" t="s">
        <v>532</v>
      </c>
      <c r="B309" s="9" t="n">
        <v>73855</v>
      </c>
      <c r="C309" s="9" t="n">
        <v>37</v>
      </c>
      <c r="D309" s="9"/>
      <c r="E309" s="9" t="s">
        <v>44</v>
      </c>
      <c r="F309" s="9" t="s">
        <v>39</v>
      </c>
      <c r="G309" s="9" t="s">
        <v>47</v>
      </c>
      <c r="H309" s="9"/>
      <c r="I309" s="9" t="s">
        <v>41</v>
      </c>
      <c r="J309" s="9" t="s">
        <v>47</v>
      </c>
      <c r="K309" s="9" t="n">
        <v>0</v>
      </c>
      <c r="L309" s="9" t="s">
        <v>42</v>
      </c>
      <c r="M309" s="9" t="s">
        <v>63</v>
      </c>
      <c r="N309" s="9" t="s">
        <v>42</v>
      </c>
      <c r="O309" s="9" t="s">
        <v>42</v>
      </c>
      <c r="P309" s="9" t="s">
        <v>42</v>
      </c>
      <c r="Q309" s="9" t="n">
        <v>300</v>
      </c>
      <c r="R309" s="9" t="s">
        <v>47</v>
      </c>
      <c r="S309" s="9" t="s">
        <v>533</v>
      </c>
    </row>
    <row r="310" customFormat="false" ht="15" hidden="false" customHeight="true" outlineLevel="0" collapsed="false">
      <c r="A310" s="9" t="s">
        <v>534</v>
      </c>
      <c r="B310" s="9" t="n">
        <v>90408</v>
      </c>
      <c r="C310" s="9"/>
      <c r="D310" s="9"/>
      <c r="E310" s="9" t="s">
        <v>44</v>
      </c>
      <c r="F310" s="9" t="s">
        <v>39</v>
      </c>
      <c r="G310" s="9" t="s">
        <v>40</v>
      </c>
      <c r="H310" s="9"/>
      <c r="I310" s="9" t="s">
        <v>41</v>
      </c>
      <c r="J310" s="9" t="s">
        <v>40</v>
      </c>
      <c r="K310" s="9" t="n">
        <v>3</v>
      </c>
      <c r="L310" s="9" t="s">
        <v>72</v>
      </c>
      <c r="M310" s="9" t="s">
        <v>42</v>
      </c>
      <c r="N310" s="9" t="s">
        <v>42</v>
      </c>
      <c r="O310" s="9" t="s">
        <v>42</v>
      </c>
      <c r="P310" s="9" t="s">
        <v>42</v>
      </c>
      <c r="Q310" s="9" t="n">
        <v>25</v>
      </c>
      <c r="R310" s="9" t="s">
        <v>47</v>
      </c>
      <c r="S310" s="9"/>
    </row>
    <row r="311" customFormat="false" ht="15" hidden="false" customHeight="true" outlineLevel="0" collapsed="false">
      <c r="A311" s="9" t="s">
        <v>535</v>
      </c>
      <c r="B311" s="9" t="n">
        <v>3575</v>
      </c>
      <c r="C311" s="9"/>
      <c r="D311" s="9" t="s">
        <v>62</v>
      </c>
      <c r="E311" s="9" t="s">
        <v>44</v>
      </c>
      <c r="F311" s="9" t="s">
        <v>39</v>
      </c>
      <c r="G311" s="9" t="s">
        <v>40</v>
      </c>
      <c r="H311" s="9"/>
      <c r="I311" s="9" t="s">
        <v>41</v>
      </c>
      <c r="J311" s="9" t="s">
        <v>40</v>
      </c>
      <c r="K311" s="9" t="n">
        <v>8</v>
      </c>
      <c r="L311" s="9" t="s">
        <v>42</v>
      </c>
      <c r="M311" s="9" t="s">
        <v>42</v>
      </c>
      <c r="N311" s="9" t="s">
        <v>42</v>
      </c>
      <c r="O311" s="9" t="s">
        <v>42</v>
      </c>
      <c r="P311" s="9" t="s">
        <v>42</v>
      </c>
      <c r="Q311" s="9" t="n">
        <v>2040</v>
      </c>
      <c r="R311" s="9" t="s">
        <v>47</v>
      </c>
      <c r="S311" s="9"/>
    </row>
    <row r="312" customFormat="false" ht="15" hidden="false" customHeight="true" outlineLevel="0" collapsed="false">
      <c r="A312" s="9" t="s">
        <v>536</v>
      </c>
      <c r="B312" s="9" t="n">
        <v>9806</v>
      </c>
      <c r="C312" s="9"/>
      <c r="D312" s="9"/>
      <c r="E312" s="9" t="s">
        <v>38</v>
      </c>
      <c r="F312" s="9" t="s">
        <v>39</v>
      </c>
      <c r="G312" s="9" t="s">
        <v>40</v>
      </c>
      <c r="H312" s="9"/>
      <c r="I312" s="9" t="s">
        <v>41</v>
      </c>
      <c r="J312" s="9" t="s">
        <v>40</v>
      </c>
      <c r="K312" s="9" t="n">
        <v>1</v>
      </c>
      <c r="L312" s="9" t="s">
        <v>42</v>
      </c>
      <c r="M312" s="9" t="s">
        <v>42</v>
      </c>
      <c r="N312" s="9" t="s">
        <v>42</v>
      </c>
      <c r="O312" s="9" t="s">
        <v>42</v>
      </c>
      <c r="P312" s="9" t="s">
        <v>42</v>
      </c>
      <c r="Q312" s="9" t="n">
        <v>50</v>
      </c>
      <c r="R312" s="9" t="s">
        <v>47</v>
      </c>
      <c r="S312" s="9"/>
    </row>
    <row r="313" customFormat="false" ht="15" hidden="false" customHeight="true" outlineLevel="0" collapsed="false">
      <c r="A313" s="9" t="s">
        <v>537</v>
      </c>
      <c r="B313" s="9" t="n">
        <v>45835</v>
      </c>
      <c r="C313" s="9" t="n">
        <v>41</v>
      </c>
      <c r="D313" s="9"/>
      <c r="E313" s="9" t="s">
        <v>38</v>
      </c>
      <c r="F313" s="9" t="s">
        <v>158</v>
      </c>
      <c r="G313" s="9" t="s">
        <v>47</v>
      </c>
      <c r="H313" s="9"/>
      <c r="I313" s="9" t="s">
        <v>46</v>
      </c>
      <c r="J313" s="9" t="s">
        <v>40</v>
      </c>
      <c r="K313" s="9" t="n">
        <v>0</v>
      </c>
      <c r="L313" s="9" t="s">
        <v>42</v>
      </c>
      <c r="M313" s="9" t="s">
        <v>89</v>
      </c>
      <c r="N313" s="9" t="s">
        <v>42</v>
      </c>
      <c r="O313" s="9" t="s">
        <v>42</v>
      </c>
      <c r="P313" s="9" t="s">
        <v>42</v>
      </c>
      <c r="Q313" s="9" t="n">
        <v>50</v>
      </c>
      <c r="R313" s="9" t="s">
        <v>47</v>
      </c>
      <c r="S313" s="9" t="s">
        <v>538</v>
      </c>
    </row>
    <row r="314" customFormat="false" ht="15" hidden="false" customHeight="true" outlineLevel="0" collapsed="false">
      <c r="A314" s="9" t="s">
        <v>539</v>
      </c>
      <c r="B314" s="9" t="n">
        <v>13350</v>
      </c>
      <c r="C314" s="9"/>
      <c r="D314" s="9" t="s">
        <v>62</v>
      </c>
      <c r="E314" s="9" t="s">
        <v>38</v>
      </c>
      <c r="F314" s="9" t="s">
        <v>39</v>
      </c>
      <c r="G314" s="9" t="s">
        <v>40</v>
      </c>
      <c r="H314" s="9"/>
      <c r="I314" s="9" t="s">
        <v>41</v>
      </c>
      <c r="J314" s="9" t="s">
        <v>40</v>
      </c>
      <c r="K314" s="9" t="n">
        <v>0</v>
      </c>
      <c r="L314" s="9" t="s">
        <v>42</v>
      </c>
      <c r="M314" s="9" t="s">
        <v>42</v>
      </c>
      <c r="N314" s="9" t="s">
        <v>42</v>
      </c>
      <c r="O314" s="9" t="s">
        <v>42</v>
      </c>
      <c r="P314" s="9" t="s">
        <v>381</v>
      </c>
      <c r="Q314" s="9" t="n">
        <v>60</v>
      </c>
      <c r="R314" s="9" t="s">
        <v>47</v>
      </c>
      <c r="S314" s="9"/>
    </row>
    <row r="315" customFormat="false" ht="15" hidden="false" customHeight="true" outlineLevel="0" collapsed="false">
      <c r="A315" s="9" t="s">
        <v>540</v>
      </c>
      <c r="B315" s="9" t="n">
        <v>55375</v>
      </c>
      <c r="C315" s="9"/>
      <c r="D315" s="9"/>
      <c r="E315" s="9" t="s">
        <v>38</v>
      </c>
      <c r="F315" s="9" t="s">
        <v>39</v>
      </c>
      <c r="G315" s="9" t="s">
        <v>40</v>
      </c>
      <c r="H315" s="9"/>
      <c r="I315" s="9" t="s">
        <v>41</v>
      </c>
      <c r="J315" s="9" t="s">
        <v>47</v>
      </c>
      <c r="K315" s="9" t="n">
        <v>1</v>
      </c>
      <c r="L315" s="9" t="s">
        <v>42</v>
      </c>
      <c r="M315" s="9" t="s">
        <v>42</v>
      </c>
      <c r="N315" s="9" t="s">
        <v>42</v>
      </c>
      <c r="O315" s="9" t="s">
        <v>42</v>
      </c>
      <c r="P315" s="9" t="s">
        <v>42</v>
      </c>
      <c r="Q315" s="9" t="n">
        <v>0</v>
      </c>
      <c r="R315" s="9" t="s">
        <v>40</v>
      </c>
      <c r="S315" s="9"/>
    </row>
    <row r="316" customFormat="false" ht="15" hidden="false" customHeight="true" outlineLevel="0" collapsed="false">
      <c r="A316" s="9" t="s">
        <v>541</v>
      </c>
      <c r="B316" s="9" t="n">
        <v>16311</v>
      </c>
      <c r="C316" s="9" t="n">
        <v>37</v>
      </c>
      <c r="D316" s="9"/>
      <c r="E316" s="9" t="s">
        <v>38</v>
      </c>
      <c r="F316" s="9" t="s">
        <v>45</v>
      </c>
      <c r="G316" s="9" t="s">
        <v>40</v>
      </c>
      <c r="H316" s="9"/>
      <c r="I316" s="9" t="s">
        <v>41</v>
      </c>
      <c r="J316" s="9" t="s">
        <v>47</v>
      </c>
      <c r="K316" s="9" t="n">
        <v>0</v>
      </c>
      <c r="L316" s="9" t="s">
        <v>42</v>
      </c>
      <c r="M316" s="9" t="s">
        <v>42</v>
      </c>
      <c r="N316" s="9" t="s">
        <v>542</v>
      </c>
      <c r="O316" s="9" t="s">
        <v>543</v>
      </c>
      <c r="P316" s="9" t="s">
        <v>42</v>
      </c>
      <c r="Q316" s="9" t="n">
        <v>4000</v>
      </c>
      <c r="R316" s="9" t="s">
        <v>47</v>
      </c>
      <c r="S316" s="9" t="s">
        <v>544</v>
      </c>
    </row>
    <row r="317" customFormat="false" ht="15" hidden="false" customHeight="true" outlineLevel="0" collapsed="false">
      <c r="A317" s="9" t="s">
        <v>545</v>
      </c>
      <c r="B317" s="9" t="n">
        <v>21771</v>
      </c>
      <c r="C317" s="9"/>
      <c r="D317" s="9"/>
      <c r="E317" s="9" t="s">
        <v>38</v>
      </c>
      <c r="F317" s="9" t="s">
        <v>39</v>
      </c>
      <c r="G317" s="9" t="s">
        <v>40</v>
      </c>
      <c r="H317" s="9"/>
      <c r="I317" s="9" t="s">
        <v>41</v>
      </c>
      <c r="J317" s="9" t="s">
        <v>40</v>
      </c>
      <c r="K317" s="9" t="n">
        <v>5</v>
      </c>
      <c r="L317" s="9" t="s">
        <v>42</v>
      </c>
      <c r="M317" s="9" t="s">
        <v>42</v>
      </c>
      <c r="N317" s="9" t="s">
        <v>42</v>
      </c>
      <c r="O317" s="9" t="s">
        <v>42</v>
      </c>
      <c r="P317" s="9" t="s">
        <v>42</v>
      </c>
      <c r="Q317" s="9" t="n">
        <v>185</v>
      </c>
      <c r="R317" s="9" t="s">
        <v>47</v>
      </c>
      <c r="S317" s="9"/>
    </row>
    <row r="318" customFormat="false" ht="15" hidden="false" customHeight="true" outlineLevel="0" collapsed="false">
      <c r="A318" s="9" t="s">
        <v>546</v>
      </c>
      <c r="B318" s="9" t="n">
        <v>18015</v>
      </c>
      <c r="C318" s="9" t="n">
        <v>38</v>
      </c>
      <c r="D318" s="9"/>
      <c r="E318" s="9" t="s">
        <v>44</v>
      </c>
      <c r="F318" s="9" t="s">
        <v>54</v>
      </c>
      <c r="G318" s="9" t="s">
        <v>47</v>
      </c>
      <c r="H318" s="9"/>
      <c r="I318" s="9" t="s">
        <v>41</v>
      </c>
      <c r="J318" s="9" t="s">
        <v>47</v>
      </c>
      <c r="K318" s="9" t="n">
        <v>0</v>
      </c>
      <c r="L318" s="9" t="s">
        <v>42</v>
      </c>
      <c r="M318" s="9" t="s">
        <v>42</v>
      </c>
      <c r="N318" s="9" t="s">
        <v>42</v>
      </c>
      <c r="O318" s="9" t="s">
        <v>42</v>
      </c>
      <c r="P318" s="9" t="s">
        <v>42</v>
      </c>
      <c r="Q318" s="9" t="n">
        <v>100</v>
      </c>
      <c r="R318" s="9" t="s">
        <v>47</v>
      </c>
      <c r="S318" s="9" t="s">
        <v>547</v>
      </c>
    </row>
    <row r="319" customFormat="false" ht="15" hidden="false" customHeight="true" outlineLevel="0" collapsed="false">
      <c r="A319" s="9" t="s">
        <v>548</v>
      </c>
      <c r="B319" s="9" t="n">
        <v>90265</v>
      </c>
      <c r="C319" s="9"/>
      <c r="D319" s="9" t="s">
        <v>62</v>
      </c>
      <c r="E319" s="9" t="s">
        <v>44</v>
      </c>
      <c r="F319" s="9" t="s">
        <v>45</v>
      </c>
      <c r="G319" s="9" t="s">
        <v>40</v>
      </c>
      <c r="H319" s="9"/>
      <c r="I319" s="9" t="s">
        <v>41</v>
      </c>
      <c r="J319" s="9" t="s">
        <v>40</v>
      </c>
      <c r="K319" s="9" t="n">
        <v>0</v>
      </c>
      <c r="L319" s="9" t="s">
        <v>42</v>
      </c>
      <c r="M319" s="9" t="s">
        <v>42</v>
      </c>
      <c r="N319" s="9" t="s">
        <v>42</v>
      </c>
      <c r="O319" s="9" t="s">
        <v>42</v>
      </c>
      <c r="P319" s="9" t="s">
        <v>42</v>
      </c>
      <c r="Q319" s="9" t="n">
        <v>2</v>
      </c>
      <c r="R319" s="9" t="s">
        <v>47</v>
      </c>
      <c r="S319" s="9"/>
    </row>
    <row r="320" customFormat="false" ht="15" hidden="false" customHeight="true" outlineLevel="0" collapsed="false">
      <c r="A320" s="9" t="s">
        <v>549</v>
      </c>
      <c r="B320" s="9" t="n">
        <v>6144</v>
      </c>
      <c r="C320" s="9"/>
      <c r="D320" s="9"/>
      <c r="E320" s="9" t="s">
        <v>44</v>
      </c>
      <c r="F320" s="9" t="s">
        <v>39</v>
      </c>
      <c r="G320" s="9" t="s">
        <v>40</v>
      </c>
      <c r="H320" s="9"/>
      <c r="I320" s="9" t="s">
        <v>41</v>
      </c>
      <c r="J320" s="9" t="s">
        <v>40</v>
      </c>
      <c r="K320" s="9" t="n">
        <v>1</v>
      </c>
      <c r="L320" s="9" t="s">
        <v>42</v>
      </c>
      <c r="M320" s="9" t="s">
        <v>42</v>
      </c>
      <c r="N320" s="9" t="s">
        <v>42</v>
      </c>
      <c r="O320" s="9" t="s">
        <v>42</v>
      </c>
      <c r="P320" s="9" t="s">
        <v>63</v>
      </c>
      <c r="Q320" s="9" t="n">
        <v>100</v>
      </c>
      <c r="R320" s="9" t="s">
        <v>47</v>
      </c>
      <c r="S320" s="9"/>
    </row>
    <row r="321" customFormat="false" ht="15" hidden="false" customHeight="true" outlineLevel="0" collapsed="false">
      <c r="A321" s="9" t="s">
        <v>550</v>
      </c>
      <c r="B321" s="9" t="n">
        <v>14461</v>
      </c>
      <c r="C321" s="9"/>
      <c r="D321" s="9" t="s">
        <v>62</v>
      </c>
      <c r="E321" s="9" t="s">
        <v>38</v>
      </c>
      <c r="F321" s="9" t="s">
        <v>39</v>
      </c>
      <c r="G321" s="9" t="s">
        <v>40</v>
      </c>
      <c r="H321" s="9"/>
      <c r="I321" s="9" t="s">
        <v>41</v>
      </c>
      <c r="J321" s="9" t="s">
        <v>47</v>
      </c>
      <c r="K321" s="9" t="n">
        <v>0</v>
      </c>
      <c r="L321" s="9" t="s">
        <v>42</v>
      </c>
      <c r="M321" s="9" t="s">
        <v>42</v>
      </c>
      <c r="N321" s="9" t="s">
        <v>42</v>
      </c>
      <c r="O321" s="9" t="s">
        <v>42</v>
      </c>
      <c r="P321" s="9" t="s">
        <v>42</v>
      </c>
      <c r="Q321" s="9" t="n">
        <v>1240</v>
      </c>
      <c r="R321" s="9" t="s">
        <v>47</v>
      </c>
      <c r="S321" s="9"/>
    </row>
    <row r="322" customFormat="false" ht="15" hidden="false" customHeight="true" outlineLevel="0" collapsed="false">
      <c r="A322" s="9" t="s">
        <v>551</v>
      </c>
      <c r="B322" s="9" t="n">
        <v>80044</v>
      </c>
      <c r="C322" s="9" t="n">
        <v>27</v>
      </c>
      <c r="D322" s="9"/>
      <c r="E322" s="9" t="s">
        <v>38</v>
      </c>
      <c r="F322" s="9" t="s">
        <v>39</v>
      </c>
      <c r="G322" s="9" t="s">
        <v>40</v>
      </c>
      <c r="H322" s="9"/>
      <c r="I322" s="9" t="s">
        <v>41</v>
      </c>
      <c r="J322" s="9" t="s">
        <v>40</v>
      </c>
      <c r="K322" s="9" t="n">
        <v>0</v>
      </c>
      <c r="L322" s="9" t="s">
        <v>42</v>
      </c>
      <c r="M322" s="9" t="s">
        <v>42</v>
      </c>
      <c r="N322" s="9" t="s">
        <v>42</v>
      </c>
      <c r="O322" s="9" t="s">
        <v>42</v>
      </c>
      <c r="P322" s="9" t="s">
        <v>42</v>
      </c>
      <c r="Q322" s="9" t="n">
        <v>0</v>
      </c>
      <c r="R322" s="9" t="s">
        <v>40</v>
      </c>
      <c r="S322" s="9" t="s">
        <v>552</v>
      </c>
    </row>
    <row r="323" customFormat="false" ht="15" hidden="false" customHeight="true" outlineLevel="0" collapsed="false">
      <c r="A323" s="9" t="s">
        <v>553</v>
      </c>
      <c r="B323" s="9" t="n">
        <v>90265</v>
      </c>
      <c r="C323" s="9" t="n">
        <v>25</v>
      </c>
      <c r="D323" s="9"/>
      <c r="E323" s="9" t="s">
        <v>44</v>
      </c>
      <c r="F323" s="9" t="s">
        <v>39</v>
      </c>
      <c r="G323" s="9" t="s">
        <v>40</v>
      </c>
      <c r="H323" s="9"/>
      <c r="I323" s="9" t="s">
        <v>41</v>
      </c>
      <c r="J323" s="9" t="s">
        <v>47</v>
      </c>
      <c r="K323" s="9" t="n">
        <v>0</v>
      </c>
      <c r="L323" s="9" t="s">
        <v>42</v>
      </c>
      <c r="M323" s="9" t="s">
        <v>42</v>
      </c>
      <c r="N323" s="9" t="s">
        <v>42</v>
      </c>
      <c r="O323" s="9" t="s">
        <v>42</v>
      </c>
      <c r="P323" s="9" t="s">
        <v>42</v>
      </c>
      <c r="Q323" s="9" t="n">
        <v>355</v>
      </c>
      <c r="R323" s="9" t="s">
        <v>47</v>
      </c>
      <c r="S323" s="9" t="s">
        <v>554</v>
      </c>
    </row>
    <row r="324" customFormat="false" ht="15" hidden="false" customHeight="true" outlineLevel="0" collapsed="false">
      <c r="A324" s="9" t="s">
        <v>555</v>
      </c>
      <c r="B324" s="9" t="n">
        <v>83810</v>
      </c>
      <c r="C324" s="9"/>
      <c r="D324" s="9"/>
      <c r="E324" s="9" t="s">
        <v>44</v>
      </c>
      <c r="F324" s="9" t="s">
        <v>54</v>
      </c>
      <c r="G324" s="9" t="s">
        <v>40</v>
      </c>
      <c r="H324" s="9"/>
      <c r="I324" s="9"/>
      <c r="J324" s="9" t="s">
        <v>40</v>
      </c>
      <c r="K324" s="9" t="n">
        <v>0</v>
      </c>
      <c r="L324" s="9" t="s">
        <v>42</v>
      </c>
      <c r="M324" s="9" t="s">
        <v>42</v>
      </c>
      <c r="N324" s="9" t="s">
        <v>42</v>
      </c>
      <c r="O324" s="9" t="s">
        <v>42</v>
      </c>
      <c r="P324" s="9" t="s">
        <v>42</v>
      </c>
      <c r="Q324" s="9" t="n">
        <v>1</v>
      </c>
      <c r="R324" s="9" t="s">
        <v>47</v>
      </c>
      <c r="S324" s="9"/>
    </row>
    <row r="325" customFormat="false" ht="15" hidden="false" customHeight="true" outlineLevel="0" collapsed="false">
      <c r="A325" s="9" t="s">
        <v>556</v>
      </c>
      <c r="B325" s="9" t="n">
        <v>52101</v>
      </c>
      <c r="C325" s="9"/>
      <c r="D325" s="9" t="s">
        <v>62</v>
      </c>
      <c r="E325" s="9" t="s">
        <v>44</v>
      </c>
      <c r="F325" s="9" t="s">
        <v>45</v>
      </c>
      <c r="G325" s="9" t="s">
        <v>40</v>
      </c>
      <c r="H325" s="9"/>
      <c r="I325" s="9" t="s">
        <v>41</v>
      </c>
      <c r="J325" s="9" t="s">
        <v>40</v>
      </c>
      <c r="K325" s="9" t="n">
        <v>0</v>
      </c>
      <c r="L325" s="9" t="s">
        <v>42</v>
      </c>
      <c r="M325" s="9" t="s">
        <v>42</v>
      </c>
      <c r="N325" s="9" t="s">
        <v>42</v>
      </c>
      <c r="O325" s="9" t="s">
        <v>42</v>
      </c>
      <c r="P325" s="9" t="s">
        <v>42</v>
      </c>
      <c r="Q325" s="9" t="n">
        <v>0</v>
      </c>
      <c r="R325" s="9" t="s">
        <v>40</v>
      </c>
      <c r="S325" s="9"/>
    </row>
    <row r="326" customFormat="false" ht="15" hidden="false" customHeight="true" outlineLevel="0" collapsed="false">
      <c r="A326" s="9" t="s">
        <v>557</v>
      </c>
      <c r="B326" s="9" t="n">
        <v>81647</v>
      </c>
      <c r="C326" s="9"/>
      <c r="D326" s="9" t="s">
        <v>83</v>
      </c>
      <c r="E326" s="9" t="s">
        <v>38</v>
      </c>
      <c r="F326" s="9" t="s">
        <v>39</v>
      </c>
      <c r="G326" s="9" t="s">
        <v>40</v>
      </c>
      <c r="H326" s="9"/>
      <c r="I326" s="9" t="s">
        <v>41</v>
      </c>
      <c r="J326" s="9" t="s">
        <v>40</v>
      </c>
      <c r="K326" s="9" t="n">
        <v>0</v>
      </c>
      <c r="L326" s="9" t="s">
        <v>42</v>
      </c>
      <c r="M326" s="9" t="s">
        <v>42</v>
      </c>
      <c r="N326" s="9" t="s">
        <v>42</v>
      </c>
      <c r="O326" s="9" t="s">
        <v>42</v>
      </c>
      <c r="P326" s="9" t="s">
        <v>42</v>
      </c>
      <c r="Q326" s="9" t="n">
        <v>0</v>
      </c>
      <c r="R326" s="9" t="s">
        <v>40</v>
      </c>
      <c r="S326" s="9"/>
    </row>
    <row r="327" customFormat="false" ht="15" hidden="false" customHeight="true" outlineLevel="0" collapsed="false">
      <c r="A327" s="9" t="s">
        <v>558</v>
      </c>
      <c r="B327" s="9" t="n">
        <v>8212</v>
      </c>
      <c r="C327" s="9"/>
      <c r="D327" s="9"/>
      <c r="E327" s="9" t="s">
        <v>44</v>
      </c>
      <c r="F327" s="9" t="s">
        <v>39</v>
      </c>
      <c r="G327" s="9" t="s">
        <v>40</v>
      </c>
      <c r="H327" s="9"/>
      <c r="I327" s="9" t="s">
        <v>41</v>
      </c>
      <c r="J327" s="9" t="s">
        <v>40</v>
      </c>
      <c r="K327" s="9" t="n">
        <v>1</v>
      </c>
      <c r="L327" s="9" t="s">
        <v>42</v>
      </c>
      <c r="M327" s="9" t="s">
        <v>42</v>
      </c>
      <c r="N327" s="9" t="s">
        <v>42</v>
      </c>
      <c r="O327" s="9" t="s">
        <v>42</v>
      </c>
      <c r="P327" s="9" t="s">
        <v>42</v>
      </c>
      <c r="Q327" s="9" t="n">
        <v>144</v>
      </c>
      <c r="R327" s="9" t="s">
        <v>47</v>
      </c>
      <c r="S327" s="9"/>
    </row>
    <row r="328" customFormat="false" ht="15" hidden="false" customHeight="true" outlineLevel="0" collapsed="false">
      <c r="A328" s="9" t="s">
        <v>559</v>
      </c>
      <c r="B328" s="9" t="n">
        <v>41553</v>
      </c>
      <c r="C328" s="9" t="n">
        <v>24</v>
      </c>
      <c r="D328" s="9"/>
      <c r="E328" s="9" t="s">
        <v>44</v>
      </c>
      <c r="F328" s="9" t="s">
        <v>39</v>
      </c>
      <c r="G328" s="9" t="s">
        <v>40</v>
      </c>
      <c r="H328" s="9"/>
      <c r="I328" s="9" t="s">
        <v>203</v>
      </c>
      <c r="J328" s="9" t="s">
        <v>40</v>
      </c>
      <c r="K328" s="9" t="n">
        <v>0</v>
      </c>
      <c r="L328" s="9" t="s">
        <v>42</v>
      </c>
      <c r="M328" s="9" t="s">
        <v>42</v>
      </c>
      <c r="N328" s="9" t="s">
        <v>42</v>
      </c>
      <c r="O328" s="9" t="s">
        <v>42</v>
      </c>
      <c r="P328" s="9" t="s">
        <v>42</v>
      </c>
      <c r="Q328" s="9" t="n">
        <v>40</v>
      </c>
      <c r="R328" s="9" t="s">
        <v>47</v>
      </c>
      <c r="S328" s="9" t="s">
        <v>560</v>
      </c>
    </row>
    <row r="329" customFormat="false" ht="15" hidden="false" customHeight="true" outlineLevel="0" collapsed="false">
      <c r="A329" s="9" t="s">
        <v>561</v>
      </c>
      <c r="B329" s="9" t="n">
        <v>61031</v>
      </c>
      <c r="C329" s="9" t="n">
        <v>29</v>
      </c>
      <c r="D329" s="9"/>
      <c r="E329" s="9" t="s">
        <v>44</v>
      </c>
      <c r="F329" s="9" t="s">
        <v>39</v>
      </c>
      <c r="G329" s="9" t="s">
        <v>40</v>
      </c>
      <c r="H329" s="9"/>
      <c r="I329" s="9" t="s">
        <v>41</v>
      </c>
      <c r="J329" s="9" t="s">
        <v>40</v>
      </c>
      <c r="K329" s="9" t="n">
        <v>0</v>
      </c>
      <c r="L329" s="9" t="s">
        <v>42</v>
      </c>
      <c r="M329" s="9" t="s">
        <v>42</v>
      </c>
      <c r="N329" s="9" t="s">
        <v>42</v>
      </c>
      <c r="O329" s="9" t="s">
        <v>42</v>
      </c>
      <c r="P329" s="9" t="s">
        <v>42</v>
      </c>
      <c r="Q329" s="9" t="n">
        <v>50</v>
      </c>
      <c r="R329" s="9" t="s">
        <v>47</v>
      </c>
      <c r="S329" s="9" t="s">
        <v>562</v>
      </c>
    </row>
    <row r="330" customFormat="false" ht="15" hidden="false" customHeight="true" outlineLevel="0" collapsed="false">
      <c r="A330" s="9" t="s">
        <v>563</v>
      </c>
      <c r="B330" s="9" t="n">
        <v>90265</v>
      </c>
      <c r="C330" s="9"/>
      <c r="D330" s="9" t="s">
        <v>62</v>
      </c>
      <c r="E330" s="9" t="s">
        <v>38</v>
      </c>
      <c r="F330" s="9" t="s">
        <v>39</v>
      </c>
      <c r="G330" s="9" t="s">
        <v>40</v>
      </c>
      <c r="H330" s="9"/>
      <c r="I330" s="9" t="s">
        <v>41</v>
      </c>
      <c r="J330" s="9" t="s">
        <v>40</v>
      </c>
      <c r="K330" s="9" t="n">
        <v>0</v>
      </c>
      <c r="L330" s="9" t="s">
        <v>42</v>
      </c>
      <c r="M330" s="9" t="s">
        <v>42</v>
      </c>
      <c r="N330" s="9" t="s">
        <v>42</v>
      </c>
      <c r="O330" s="9" t="s">
        <v>42</v>
      </c>
      <c r="P330" s="9" t="s">
        <v>42</v>
      </c>
      <c r="Q330" s="9" t="n">
        <v>0</v>
      </c>
      <c r="R330" s="9" t="s">
        <v>40</v>
      </c>
      <c r="S330" s="9"/>
    </row>
    <row r="331" customFormat="false" ht="15" hidden="false" customHeight="true" outlineLevel="0" collapsed="false">
      <c r="A331" s="9" t="s">
        <v>564</v>
      </c>
      <c r="B331" s="9" t="n">
        <v>53779</v>
      </c>
      <c r="C331" s="9" t="n">
        <v>40</v>
      </c>
      <c r="D331" s="9"/>
      <c r="E331" s="9" t="s">
        <v>44</v>
      </c>
      <c r="F331" s="9" t="s">
        <v>54</v>
      </c>
      <c r="G331" s="9" t="s">
        <v>47</v>
      </c>
      <c r="H331" s="9"/>
      <c r="I331" s="9" t="s">
        <v>41</v>
      </c>
      <c r="J331" s="9" t="s">
        <v>47</v>
      </c>
      <c r="K331" s="9" t="n">
        <v>0</v>
      </c>
      <c r="L331" s="9" t="s">
        <v>42</v>
      </c>
      <c r="M331" s="9" t="s">
        <v>42</v>
      </c>
      <c r="N331" s="9" t="s">
        <v>42</v>
      </c>
      <c r="O331" s="9" t="s">
        <v>42</v>
      </c>
      <c r="P331" s="9" t="s">
        <v>42</v>
      </c>
      <c r="Q331" s="9" t="n">
        <v>190</v>
      </c>
      <c r="R331" s="9" t="s">
        <v>47</v>
      </c>
      <c r="S331" s="9" t="s">
        <v>565</v>
      </c>
    </row>
    <row r="332" customFormat="false" ht="15" hidden="false" customHeight="true" outlineLevel="0" collapsed="false">
      <c r="A332" s="9" t="s">
        <v>566</v>
      </c>
      <c r="B332" s="9" t="n">
        <v>10912</v>
      </c>
      <c r="C332" s="9"/>
      <c r="D332" s="9" t="s">
        <v>62</v>
      </c>
      <c r="E332" s="9" t="s">
        <v>38</v>
      </c>
      <c r="F332" s="9" t="s">
        <v>39</v>
      </c>
      <c r="G332" s="9" t="s">
        <v>40</v>
      </c>
      <c r="H332" s="9"/>
      <c r="I332" s="9" t="s">
        <v>41</v>
      </c>
      <c r="J332" s="9" t="s">
        <v>40</v>
      </c>
      <c r="K332" s="9" t="n">
        <v>0</v>
      </c>
      <c r="L332" s="9" t="s">
        <v>42</v>
      </c>
      <c r="M332" s="9" t="s">
        <v>42</v>
      </c>
      <c r="N332" s="9" t="s">
        <v>42</v>
      </c>
      <c r="O332" s="9" t="s">
        <v>42</v>
      </c>
      <c r="P332" s="9" t="s">
        <v>42</v>
      </c>
      <c r="Q332" s="9" t="n">
        <v>25</v>
      </c>
      <c r="R332" s="9" t="s">
        <v>47</v>
      </c>
      <c r="S332" s="9"/>
    </row>
    <row r="333" customFormat="false" ht="15" hidden="false" customHeight="true" outlineLevel="0" collapsed="false">
      <c r="A333" s="9" t="s">
        <v>567</v>
      </c>
      <c r="B333" s="9" t="n">
        <v>9094</v>
      </c>
      <c r="C333" s="9"/>
      <c r="D333" s="9" t="s">
        <v>62</v>
      </c>
      <c r="E333" s="9" t="s">
        <v>44</v>
      </c>
      <c r="F333" s="9" t="s">
        <v>39</v>
      </c>
      <c r="G333" s="9" t="s">
        <v>47</v>
      </c>
      <c r="H333" s="9"/>
      <c r="I333" s="9" t="s">
        <v>41</v>
      </c>
      <c r="J333" s="9" t="s">
        <v>40</v>
      </c>
      <c r="K333" s="9" t="n">
        <v>2</v>
      </c>
      <c r="L333" s="9" t="s">
        <v>42</v>
      </c>
      <c r="M333" s="9" t="s">
        <v>42</v>
      </c>
      <c r="N333" s="9" t="s">
        <v>42</v>
      </c>
      <c r="O333" s="9" t="s">
        <v>42</v>
      </c>
      <c r="P333" s="9" t="s">
        <v>42</v>
      </c>
      <c r="Q333" s="9" t="n">
        <v>1</v>
      </c>
      <c r="R333" s="9" t="s">
        <v>47</v>
      </c>
      <c r="S333" s="9"/>
    </row>
    <row r="334" customFormat="false" ht="15" hidden="false" customHeight="true" outlineLevel="0" collapsed="false">
      <c r="A334" s="9" t="s">
        <v>568</v>
      </c>
      <c r="B334" s="9" t="n">
        <v>4289</v>
      </c>
      <c r="C334" s="9"/>
      <c r="D334" s="9" t="s">
        <v>62</v>
      </c>
      <c r="E334" s="9" t="s">
        <v>38</v>
      </c>
      <c r="F334" s="9" t="s">
        <v>39</v>
      </c>
      <c r="G334" s="9" t="s">
        <v>40</v>
      </c>
      <c r="H334" s="9"/>
      <c r="I334" s="9" t="s">
        <v>41</v>
      </c>
      <c r="J334" s="9" t="s">
        <v>40</v>
      </c>
      <c r="K334" s="9" t="n">
        <v>5</v>
      </c>
      <c r="L334" s="9" t="s">
        <v>63</v>
      </c>
      <c r="M334" s="9" t="s">
        <v>42</v>
      </c>
      <c r="N334" s="9" t="s">
        <v>42</v>
      </c>
      <c r="O334" s="9" t="s">
        <v>42</v>
      </c>
      <c r="P334" s="9" t="s">
        <v>42</v>
      </c>
      <c r="Q334" s="9" t="n">
        <v>300</v>
      </c>
      <c r="R334" s="9" t="s">
        <v>47</v>
      </c>
      <c r="S334" s="9"/>
    </row>
    <row r="335" customFormat="false" ht="15" hidden="false" customHeight="true" outlineLevel="0" collapsed="false">
      <c r="A335" s="9" t="s">
        <v>569</v>
      </c>
      <c r="B335" s="9" t="n">
        <v>90265</v>
      </c>
      <c r="C335" s="9" t="n">
        <v>52</v>
      </c>
      <c r="D335" s="9"/>
      <c r="E335" s="9" t="s">
        <v>44</v>
      </c>
      <c r="F335" s="9" t="s">
        <v>39</v>
      </c>
      <c r="G335" s="9" t="s">
        <v>40</v>
      </c>
      <c r="H335" s="9"/>
      <c r="I335" s="9" t="s">
        <v>41</v>
      </c>
      <c r="J335" s="9" t="s">
        <v>40</v>
      </c>
      <c r="K335" s="9" t="n">
        <v>0</v>
      </c>
      <c r="L335" s="9" t="s">
        <v>42</v>
      </c>
      <c r="M335" s="9" t="s">
        <v>42</v>
      </c>
      <c r="N335" s="9" t="s">
        <v>42</v>
      </c>
      <c r="O335" s="9" t="s">
        <v>42</v>
      </c>
      <c r="P335" s="9" t="s">
        <v>42</v>
      </c>
      <c r="Q335" s="9" t="n">
        <v>55</v>
      </c>
      <c r="R335" s="9" t="s">
        <v>47</v>
      </c>
      <c r="S335" s="9" t="s">
        <v>570</v>
      </c>
    </row>
    <row r="336" customFormat="false" ht="15" hidden="false" customHeight="true" outlineLevel="0" collapsed="false">
      <c r="A336" s="9" t="s">
        <v>571</v>
      </c>
      <c r="B336" s="9" t="n">
        <v>24504</v>
      </c>
      <c r="C336" s="9" t="n">
        <v>18</v>
      </c>
      <c r="D336" s="9"/>
      <c r="E336" s="9" t="s">
        <v>44</v>
      </c>
      <c r="F336" s="9" t="s">
        <v>201</v>
      </c>
      <c r="G336" s="9" t="s">
        <v>40</v>
      </c>
      <c r="H336" s="9"/>
      <c r="I336" s="9" t="s">
        <v>41</v>
      </c>
      <c r="J336" s="9" t="s">
        <v>40</v>
      </c>
      <c r="K336" s="9" t="n">
        <v>0</v>
      </c>
      <c r="L336" s="9" t="s">
        <v>42</v>
      </c>
      <c r="M336" s="9" t="s">
        <v>42</v>
      </c>
      <c r="N336" s="9" t="s">
        <v>42</v>
      </c>
      <c r="O336" s="9" t="s">
        <v>42</v>
      </c>
      <c r="P336" s="9" t="s">
        <v>42</v>
      </c>
      <c r="Q336" s="9" t="n">
        <v>6</v>
      </c>
      <c r="R336" s="9" t="s">
        <v>47</v>
      </c>
      <c r="S336" s="9" t="s">
        <v>572</v>
      </c>
    </row>
    <row r="337" customFormat="false" ht="15" hidden="false" customHeight="true" outlineLevel="0" collapsed="false">
      <c r="A337" s="9" t="s">
        <v>573</v>
      </c>
      <c r="B337" s="9" t="n">
        <v>97876</v>
      </c>
      <c r="C337" s="9" t="n">
        <v>29</v>
      </c>
      <c r="D337" s="9"/>
      <c r="E337" s="9" t="s">
        <v>38</v>
      </c>
      <c r="F337" s="9" t="s">
        <v>54</v>
      </c>
      <c r="G337" s="9" t="s">
        <v>47</v>
      </c>
      <c r="H337" s="9"/>
      <c r="I337" s="9" t="s">
        <v>41</v>
      </c>
      <c r="J337" s="9" t="s">
        <v>47</v>
      </c>
      <c r="K337" s="9" t="n">
        <v>1</v>
      </c>
      <c r="L337" s="9" t="s">
        <v>42</v>
      </c>
      <c r="M337" s="9" t="s">
        <v>42</v>
      </c>
      <c r="N337" s="9" t="s">
        <v>42</v>
      </c>
      <c r="O337" s="9" t="s">
        <v>42</v>
      </c>
      <c r="P337" s="9" t="s">
        <v>42</v>
      </c>
      <c r="Q337" s="9" t="n">
        <v>25</v>
      </c>
      <c r="R337" s="9" t="s">
        <v>47</v>
      </c>
      <c r="S337" s="9" t="s">
        <v>574</v>
      </c>
    </row>
    <row r="338" customFormat="false" ht="15" hidden="false" customHeight="true" outlineLevel="0" collapsed="false">
      <c r="A338" s="9" t="s">
        <v>575</v>
      </c>
      <c r="B338" s="9" t="n">
        <v>42153</v>
      </c>
      <c r="C338" s="9"/>
      <c r="D338" s="9" t="s">
        <v>80</v>
      </c>
      <c r="E338" s="9"/>
      <c r="F338" s="9" t="s">
        <v>45</v>
      </c>
      <c r="G338" s="9" t="s">
        <v>40</v>
      </c>
      <c r="H338" s="9"/>
      <c r="I338" s="9" t="s">
        <v>41</v>
      </c>
      <c r="J338" s="9" t="s">
        <v>47</v>
      </c>
      <c r="K338" s="9" t="n">
        <v>0</v>
      </c>
      <c r="L338" s="9" t="s">
        <v>42</v>
      </c>
      <c r="M338" s="9" t="s">
        <v>42</v>
      </c>
      <c r="N338" s="9" t="s">
        <v>42</v>
      </c>
      <c r="O338" s="9" t="s">
        <v>42</v>
      </c>
      <c r="P338" s="9" t="s">
        <v>42</v>
      </c>
      <c r="Q338" s="9" t="n">
        <v>0</v>
      </c>
      <c r="R338" s="9" t="s">
        <v>40</v>
      </c>
      <c r="S338" s="9"/>
    </row>
    <row r="339" customFormat="false" ht="15" hidden="false" customHeight="true" outlineLevel="0" collapsed="false">
      <c r="A339" s="9" t="s">
        <v>576</v>
      </c>
      <c r="B339" s="9"/>
      <c r="C339" s="9"/>
      <c r="D339" s="9"/>
      <c r="E339" s="9" t="s">
        <v>38</v>
      </c>
      <c r="F339" s="9" t="s">
        <v>54</v>
      </c>
      <c r="G339" s="9" t="s">
        <v>40</v>
      </c>
      <c r="H339" s="9"/>
      <c r="I339" s="9"/>
      <c r="J339" s="9" t="s">
        <v>40</v>
      </c>
      <c r="K339" s="9" t="n">
        <v>0</v>
      </c>
      <c r="L339" s="9" t="s">
        <v>42</v>
      </c>
      <c r="M339" s="9" t="s">
        <v>42</v>
      </c>
      <c r="N339" s="9" t="s">
        <v>42</v>
      </c>
      <c r="O339" s="9" t="s">
        <v>42</v>
      </c>
      <c r="P339" s="9" t="s">
        <v>42</v>
      </c>
      <c r="Q339" s="9" t="n">
        <v>0</v>
      </c>
      <c r="R339" s="9" t="s">
        <v>40</v>
      </c>
      <c r="S339" s="9"/>
    </row>
    <row r="340" customFormat="false" ht="15" hidden="false" customHeight="true" outlineLevel="0" collapsed="false">
      <c r="A340" s="9" t="s">
        <v>577</v>
      </c>
      <c r="B340" s="9" t="n">
        <v>90265</v>
      </c>
      <c r="C340" s="9"/>
      <c r="D340" s="9"/>
      <c r="E340" s="9" t="s">
        <v>44</v>
      </c>
      <c r="F340" s="9" t="s">
        <v>54</v>
      </c>
      <c r="G340" s="9" t="s">
        <v>40</v>
      </c>
      <c r="H340" s="9"/>
      <c r="I340" s="9" t="s">
        <v>41</v>
      </c>
      <c r="J340" s="9" t="s">
        <v>47</v>
      </c>
      <c r="K340" s="9" t="n">
        <v>1</v>
      </c>
      <c r="L340" s="9" t="s">
        <v>42</v>
      </c>
      <c r="M340" s="9" t="s">
        <v>42</v>
      </c>
      <c r="N340" s="9" t="s">
        <v>72</v>
      </c>
      <c r="O340" s="9" t="s">
        <v>42</v>
      </c>
      <c r="P340" s="9" t="s">
        <v>42</v>
      </c>
      <c r="Q340" s="9" t="n">
        <v>100</v>
      </c>
      <c r="R340" s="9" t="s">
        <v>47</v>
      </c>
      <c r="S340" s="9"/>
    </row>
    <row r="341" customFormat="false" ht="15" hidden="false" customHeight="true" outlineLevel="0" collapsed="false">
      <c r="A341" s="9" t="s">
        <v>578</v>
      </c>
      <c r="B341" s="9" t="n">
        <v>62884</v>
      </c>
      <c r="C341" s="9"/>
      <c r="D341" s="9"/>
      <c r="E341" s="9" t="s">
        <v>38</v>
      </c>
      <c r="F341" s="9" t="s">
        <v>39</v>
      </c>
      <c r="G341" s="9" t="s">
        <v>47</v>
      </c>
      <c r="H341" s="9"/>
      <c r="I341" s="9" t="s">
        <v>46</v>
      </c>
      <c r="J341" s="9" t="s">
        <v>40</v>
      </c>
      <c r="K341" s="9" t="n">
        <v>0</v>
      </c>
      <c r="L341" s="9" t="s">
        <v>42</v>
      </c>
      <c r="M341" s="9" t="s">
        <v>42</v>
      </c>
      <c r="N341" s="9" t="s">
        <v>42</v>
      </c>
      <c r="O341" s="9" t="s">
        <v>42</v>
      </c>
      <c r="P341" s="9" t="s">
        <v>42</v>
      </c>
      <c r="Q341" s="9" t="n">
        <v>25</v>
      </c>
      <c r="R341" s="9" t="s">
        <v>47</v>
      </c>
      <c r="S341" s="9"/>
    </row>
    <row r="342" customFormat="false" ht="15" hidden="false" customHeight="true" outlineLevel="0" collapsed="false">
      <c r="A342" s="9" t="s">
        <v>579</v>
      </c>
      <c r="B342" s="9" t="n">
        <v>93024</v>
      </c>
      <c r="C342" s="9"/>
      <c r="D342" s="9" t="s">
        <v>62</v>
      </c>
      <c r="E342" s="9" t="s">
        <v>50</v>
      </c>
      <c r="F342" s="9" t="s">
        <v>39</v>
      </c>
      <c r="G342" s="9" t="s">
        <v>40</v>
      </c>
      <c r="H342" s="9"/>
      <c r="I342" s="9" t="s">
        <v>41</v>
      </c>
      <c r="J342" s="9" t="s">
        <v>40</v>
      </c>
      <c r="K342" s="9" t="n">
        <v>1</v>
      </c>
      <c r="L342" s="9" t="s">
        <v>42</v>
      </c>
      <c r="M342" s="9" t="s">
        <v>42</v>
      </c>
      <c r="N342" s="9" t="s">
        <v>42</v>
      </c>
      <c r="O342" s="9" t="s">
        <v>42</v>
      </c>
      <c r="P342" s="9" t="s">
        <v>42</v>
      </c>
      <c r="Q342" s="9" t="n">
        <v>35</v>
      </c>
      <c r="R342" s="9" t="s">
        <v>47</v>
      </c>
      <c r="S342" s="9"/>
    </row>
    <row r="343" customFormat="false" ht="15" hidden="false" customHeight="true" outlineLevel="0" collapsed="false">
      <c r="A343" s="9" t="s">
        <v>580</v>
      </c>
      <c r="B343" s="9" t="n">
        <v>30552</v>
      </c>
      <c r="C343" s="9"/>
      <c r="D343" s="9" t="s">
        <v>62</v>
      </c>
      <c r="E343" s="9" t="s">
        <v>44</v>
      </c>
      <c r="F343" s="9" t="s">
        <v>39</v>
      </c>
      <c r="G343" s="9" t="s">
        <v>40</v>
      </c>
      <c r="H343" s="9"/>
      <c r="I343" s="9" t="s">
        <v>41</v>
      </c>
      <c r="J343" s="9" t="s">
        <v>40</v>
      </c>
      <c r="K343" s="9" t="n">
        <v>0</v>
      </c>
      <c r="L343" s="9" t="s">
        <v>42</v>
      </c>
      <c r="M343" s="9" t="s">
        <v>42</v>
      </c>
      <c r="N343" s="9" t="s">
        <v>42</v>
      </c>
      <c r="O343" s="9" t="s">
        <v>42</v>
      </c>
      <c r="P343" s="9" t="s">
        <v>42</v>
      </c>
      <c r="Q343" s="9" t="n">
        <v>1</v>
      </c>
      <c r="R343" s="9" t="s">
        <v>47</v>
      </c>
      <c r="S343" s="9"/>
    </row>
    <row r="344" customFormat="false" ht="15" hidden="false" customHeight="true" outlineLevel="0" collapsed="false">
      <c r="A344" s="9" t="s">
        <v>581</v>
      </c>
      <c r="B344" s="9" t="n">
        <v>57003</v>
      </c>
      <c r="C344" s="9"/>
      <c r="D344" s="9" t="s">
        <v>62</v>
      </c>
      <c r="E344" s="9" t="s">
        <v>44</v>
      </c>
      <c r="F344" s="9" t="s">
        <v>39</v>
      </c>
      <c r="G344" s="9" t="s">
        <v>47</v>
      </c>
      <c r="H344" s="9"/>
      <c r="I344" s="9" t="s">
        <v>41</v>
      </c>
      <c r="J344" s="9" t="s">
        <v>40</v>
      </c>
      <c r="K344" s="9" t="n">
        <v>4</v>
      </c>
      <c r="L344" s="9" t="s">
        <v>582</v>
      </c>
      <c r="M344" s="9" t="s">
        <v>42</v>
      </c>
      <c r="N344" s="9" t="s">
        <v>42</v>
      </c>
      <c r="O344" s="9" t="s">
        <v>42</v>
      </c>
      <c r="P344" s="9" t="s">
        <v>42</v>
      </c>
      <c r="Q344" s="9" t="n">
        <v>1200</v>
      </c>
      <c r="R344" s="9" t="s">
        <v>47</v>
      </c>
      <c r="S344" s="9"/>
    </row>
    <row r="345" customFormat="false" ht="15" hidden="false" customHeight="true" outlineLevel="0" collapsed="false">
      <c r="A345" s="9" t="s">
        <v>583</v>
      </c>
      <c r="B345" s="9" t="n">
        <v>84129</v>
      </c>
      <c r="C345" s="9" t="n">
        <v>31</v>
      </c>
      <c r="D345" s="9"/>
      <c r="E345" s="9" t="s">
        <v>44</v>
      </c>
      <c r="F345" s="9" t="s">
        <v>39</v>
      </c>
      <c r="G345" s="9" t="s">
        <v>40</v>
      </c>
      <c r="H345" s="9"/>
      <c r="I345" s="9" t="s">
        <v>41</v>
      </c>
      <c r="J345" s="9" t="s">
        <v>40</v>
      </c>
      <c r="K345" s="9" t="n">
        <v>0</v>
      </c>
      <c r="L345" s="9" t="s">
        <v>42</v>
      </c>
      <c r="M345" s="9" t="s">
        <v>42</v>
      </c>
      <c r="N345" s="9" t="s">
        <v>42</v>
      </c>
      <c r="O345" s="9" t="s">
        <v>42</v>
      </c>
      <c r="P345" s="9" t="s">
        <v>42</v>
      </c>
      <c r="Q345" s="9" t="n">
        <v>0</v>
      </c>
      <c r="R345" s="9" t="s">
        <v>40</v>
      </c>
      <c r="S345" s="9" t="s">
        <v>584</v>
      </c>
    </row>
    <row r="346" customFormat="false" ht="15" hidden="false" customHeight="true" outlineLevel="0" collapsed="false">
      <c r="A346" s="9" t="s">
        <v>585</v>
      </c>
      <c r="B346" s="9" t="n">
        <v>90265</v>
      </c>
      <c r="C346" s="9" t="n">
        <v>56</v>
      </c>
      <c r="D346" s="9"/>
      <c r="E346" s="9" t="s">
        <v>38</v>
      </c>
      <c r="F346" s="9" t="s">
        <v>39</v>
      </c>
      <c r="G346" s="9" t="s">
        <v>40</v>
      </c>
      <c r="H346" s="9"/>
      <c r="I346" s="9" t="s">
        <v>41</v>
      </c>
      <c r="J346" s="9" t="s">
        <v>40</v>
      </c>
      <c r="K346" s="9" t="n">
        <v>0</v>
      </c>
      <c r="L346" s="9" t="s">
        <v>42</v>
      </c>
      <c r="M346" s="9" t="s">
        <v>42</v>
      </c>
      <c r="N346" s="9" t="s">
        <v>42</v>
      </c>
      <c r="O346" s="9" t="s">
        <v>42</v>
      </c>
      <c r="P346" s="9" t="s">
        <v>42</v>
      </c>
      <c r="Q346" s="9" t="n">
        <v>25</v>
      </c>
      <c r="R346" s="9" t="s">
        <v>47</v>
      </c>
      <c r="S346" s="9" t="s">
        <v>586</v>
      </c>
    </row>
    <row r="347" customFormat="false" ht="15" hidden="false" customHeight="true" outlineLevel="0" collapsed="false">
      <c r="A347" s="9" t="s">
        <v>587</v>
      </c>
      <c r="B347" s="9" t="n">
        <v>12563</v>
      </c>
      <c r="C347" s="9"/>
      <c r="D347" s="9"/>
      <c r="E347" s="9" t="s">
        <v>38</v>
      </c>
      <c r="F347" s="9" t="s">
        <v>39</v>
      </c>
      <c r="G347" s="9" t="s">
        <v>40</v>
      </c>
      <c r="H347" s="9"/>
      <c r="I347" s="9" t="s">
        <v>41</v>
      </c>
      <c r="J347" s="9" t="s">
        <v>40</v>
      </c>
      <c r="K347" s="9" t="n">
        <v>1</v>
      </c>
      <c r="L347" s="9" t="s">
        <v>42</v>
      </c>
      <c r="M347" s="9" t="s">
        <v>87</v>
      </c>
      <c r="N347" s="9" t="s">
        <v>42</v>
      </c>
      <c r="O347" s="9" t="s">
        <v>293</v>
      </c>
      <c r="P347" s="9" t="s">
        <v>42</v>
      </c>
      <c r="Q347" s="9" t="n">
        <v>210</v>
      </c>
      <c r="R347" s="9" t="s">
        <v>47</v>
      </c>
      <c r="S347" s="9"/>
    </row>
    <row r="348" customFormat="false" ht="15" hidden="false" customHeight="true" outlineLevel="0" collapsed="false">
      <c r="A348" s="9" t="s">
        <v>588</v>
      </c>
      <c r="B348" s="9" t="n">
        <v>90265</v>
      </c>
      <c r="C348" s="9"/>
      <c r="D348" s="9" t="s">
        <v>83</v>
      </c>
      <c r="E348" s="9" t="s">
        <v>38</v>
      </c>
      <c r="F348" s="9" t="s">
        <v>39</v>
      </c>
      <c r="G348" s="9" t="s">
        <v>40</v>
      </c>
      <c r="H348" s="9"/>
      <c r="I348" s="9" t="s">
        <v>41</v>
      </c>
      <c r="J348" s="9" t="s">
        <v>40</v>
      </c>
      <c r="K348" s="9" t="n">
        <v>1</v>
      </c>
      <c r="L348" s="9" t="s">
        <v>42</v>
      </c>
      <c r="M348" s="9" t="s">
        <v>42</v>
      </c>
      <c r="N348" s="9" t="s">
        <v>42</v>
      </c>
      <c r="O348" s="9" t="s">
        <v>42</v>
      </c>
      <c r="P348" s="9" t="s">
        <v>42</v>
      </c>
      <c r="Q348" s="9" t="n">
        <v>0</v>
      </c>
      <c r="R348" s="9" t="s">
        <v>40</v>
      </c>
      <c r="S348" s="9"/>
    </row>
    <row r="349" customFormat="false" ht="15" hidden="false" customHeight="true" outlineLevel="0" collapsed="false">
      <c r="A349" s="9" t="s">
        <v>589</v>
      </c>
      <c r="B349" s="9" t="n">
        <v>94720</v>
      </c>
      <c r="C349" s="9"/>
      <c r="D349" s="9"/>
      <c r="E349" s="9" t="s">
        <v>38</v>
      </c>
      <c r="F349" s="9" t="s">
        <v>39</v>
      </c>
      <c r="G349" s="9" t="s">
        <v>40</v>
      </c>
      <c r="H349" s="9"/>
      <c r="I349" s="9" t="s">
        <v>41</v>
      </c>
      <c r="J349" s="9" t="s">
        <v>40</v>
      </c>
      <c r="K349" s="9" t="n">
        <v>1</v>
      </c>
      <c r="L349" s="9" t="s">
        <v>42</v>
      </c>
      <c r="M349" s="9" t="s">
        <v>42</v>
      </c>
      <c r="N349" s="9" t="s">
        <v>42</v>
      </c>
      <c r="O349" s="9" t="s">
        <v>42</v>
      </c>
      <c r="P349" s="9" t="s">
        <v>42</v>
      </c>
      <c r="Q349" s="9" t="n">
        <v>50</v>
      </c>
      <c r="R349" s="9" t="s">
        <v>47</v>
      </c>
      <c r="S349" s="9"/>
    </row>
    <row r="350" customFormat="false" ht="15" hidden="false" customHeight="true" outlineLevel="0" collapsed="false">
      <c r="A350" s="9" t="s">
        <v>590</v>
      </c>
      <c r="B350" s="9" t="n">
        <v>12819</v>
      </c>
      <c r="C350" s="9" t="n">
        <v>27</v>
      </c>
      <c r="D350" s="9"/>
      <c r="E350" s="9" t="s">
        <v>38</v>
      </c>
      <c r="F350" s="9" t="s">
        <v>39</v>
      </c>
      <c r="G350" s="9" t="s">
        <v>40</v>
      </c>
      <c r="H350" s="9"/>
      <c r="I350" s="9" t="s">
        <v>41</v>
      </c>
      <c r="J350" s="9" t="s">
        <v>47</v>
      </c>
      <c r="K350" s="9" t="n">
        <v>0</v>
      </c>
      <c r="L350" s="9" t="s">
        <v>42</v>
      </c>
      <c r="M350" s="9" t="s">
        <v>42</v>
      </c>
      <c r="N350" s="9" t="s">
        <v>42</v>
      </c>
      <c r="O350" s="9" t="s">
        <v>42</v>
      </c>
      <c r="P350" s="9" t="s">
        <v>42</v>
      </c>
      <c r="Q350" s="9" t="n">
        <v>120</v>
      </c>
      <c r="R350" s="9" t="s">
        <v>47</v>
      </c>
      <c r="S350" s="9" t="s">
        <v>591</v>
      </c>
    </row>
    <row r="351" customFormat="false" ht="15" hidden="false" customHeight="true" outlineLevel="0" collapsed="false">
      <c r="A351" s="9" t="s">
        <v>592</v>
      </c>
      <c r="B351" s="9" t="n">
        <v>27427</v>
      </c>
      <c r="C351" s="9"/>
      <c r="D351" s="9"/>
      <c r="E351" s="9" t="s">
        <v>44</v>
      </c>
      <c r="F351" s="9" t="s">
        <v>54</v>
      </c>
      <c r="G351" s="9" t="s">
        <v>47</v>
      </c>
      <c r="H351" s="9" t="s">
        <v>177</v>
      </c>
      <c r="I351" s="9" t="s">
        <v>41</v>
      </c>
      <c r="J351" s="9" t="s">
        <v>40</v>
      </c>
      <c r="K351" s="9" t="n">
        <v>2</v>
      </c>
      <c r="L351" s="9" t="s">
        <v>42</v>
      </c>
      <c r="M351" s="9" t="s">
        <v>42</v>
      </c>
      <c r="N351" s="9" t="s">
        <v>42</v>
      </c>
      <c r="O351" s="9" t="s">
        <v>42</v>
      </c>
      <c r="P351" s="9" t="s">
        <v>42</v>
      </c>
      <c r="Q351" s="9" t="n">
        <v>1</v>
      </c>
      <c r="R351" s="9" t="s">
        <v>47</v>
      </c>
      <c r="S351" s="9"/>
    </row>
    <row r="352" customFormat="false" ht="15" hidden="false" customHeight="true" outlineLevel="0" collapsed="false">
      <c r="A352" s="9" t="s">
        <v>593</v>
      </c>
      <c r="B352" s="9" t="n">
        <v>98174</v>
      </c>
      <c r="C352" s="9" t="n">
        <v>46</v>
      </c>
      <c r="D352" s="9"/>
      <c r="E352" s="9" t="s">
        <v>44</v>
      </c>
      <c r="F352" s="9" t="s">
        <v>54</v>
      </c>
      <c r="G352" s="9" t="s">
        <v>47</v>
      </c>
      <c r="H352" s="9"/>
      <c r="I352" s="9" t="s">
        <v>41</v>
      </c>
      <c r="J352" s="9" t="s">
        <v>47</v>
      </c>
      <c r="K352" s="9" t="n">
        <v>1</v>
      </c>
      <c r="L352" s="9" t="s">
        <v>42</v>
      </c>
      <c r="M352" s="9" t="s">
        <v>42</v>
      </c>
      <c r="N352" s="9" t="s">
        <v>42</v>
      </c>
      <c r="O352" s="9" t="s">
        <v>42</v>
      </c>
      <c r="P352" s="9" t="s">
        <v>42</v>
      </c>
      <c r="Q352" s="9" t="n">
        <v>100</v>
      </c>
      <c r="R352" s="9" t="s">
        <v>47</v>
      </c>
      <c r="S352" s="9" t="s">
        <v>594</v>
      </c>
    </row>
    <row r="353" customFormat="false" ht="15" hidden="false" customHeight="true" outlineLevel="0" collapsed="false">
      <c r="A353" s="9" t="s">
        <v>595</v>
      </c>
      <c r="B353" s="9" t="n">
        <v>90265</v>
      </c>
      <c r="C353" s="9" t="n">
        <v>50</v>
      </c>
      <c r="D353" s="9"/>
      <c r="E353" s="9" t="s">
        <v>38</v>
      </c>
      <c r="F353" s="9" t="s">
        <v>54</v>
      </c>
      <c r="G353" s="9" t="s">
        <v>47</v>
      </c>
      <c r="H353" s="9"/>
      <c r="I353" s="9" t="s">
        <v>41</v>
      </c>
      <c r="J353" s="9" t="s">
        <v>40</v>
      </c>
      <c r="K353" s="9" t="n">
        <v>1</v>
      </c>
      <c r="L353" s="9" t="s">
        <v>42</v>
      </c>
      <c r="M353" s="9" t="s">
        <v>42</v>
      </c>
      <c r="N353" s="9" t="s">
        <v>42</v>
      </c>
      <c r="O353" s="9" t="s">
        <v>42</v>
      </c>
      <c r="P353" s="9" t="s">
        <v>42</v>
      </c>
      <c r="Q353" s="9" t="n">
        <v>240</v>
      </c>
      <c r="R353" s="9" t="s">
        <v>47</v>
      </c>
      <c r="S353" s="9" t="s">
        <v>596</v>
      </c>
    </row>
    <row r="354" customFormat="false" ht="15" hidden="false" customHeight="true" outlineLevel="0" collapsed="false">
      <c r="A354" s="9" t="s">
        <v>597</v>
      </c>
      <c r="B354" s="9" t="n">
        <v>72616</v>
      </c>
      <c r="C354" s="9"/>
      <c r="D354" s="9" t="s">
        <v>62</v>
      </c>
      <c r="E354" s="9" t="s">
        <v>38</v>
      </c>
      <c r="F354" s="9" t="s">
        <v>39</v>
      </c>
      <c r="G354" s="9" t="s">
        <v>40</v>
      </c>
      <c r="H354" s="9"/>
      <c r="I354" s="9" t="s">
        <v>41</v>
      </c>
      <c r="J354" s="9" t="s">
        <v>40</v>
      </c>
      <c r="K354" s="9" t="n">
        <v>4</v>
      </c>
      <c r="L354" s="9" t="s">
        <v>281</v>
      </c>
      <c r="M354" s="9" t="s">
        <v>42</v>
      </c>
      <c r="N354" s="9" t="s">
        <v>42</v>
      </c>
      <c r="O354" s="9" t="s">
        <v>42</v>
      </c>
      <c r="P354" s="9" t="s">
        <v>42</v>
      </c>
      <c r="Q354" s="9" t="n">
        <v>30</v>
      </c>
      <c r="R354" s="9" t="s">
        <v>47</v>
      </c>
      <c r="S354" s="9"/>
    </row>
    <row r="355" customFormat="false" ht="15" hidden="false" customHeight="true" outlineLevel="0" collapsed="false">
      <c r="A355" s="9" t="s">
        <v>598</v>
      </c>
      <c r="B355" s="9" t="n">
        <v>89007</v>
      </c>
      <c r="C355" s="9"/>
      <c r="D355" s="9" t="s">
        <v>62</v>
      </c>
      <c r="E355" s="9" t="s">
        <v>38</v>
      </c>
      <c r="F355" s="9" t="s">
        <v>45</v>
      </c>
      <c r="G355" s="9" t="s">
        <v>40</v>
      </c>
      <c r="H355" s="9"/>
      <c r="I355" s="9" t="s">
        <v>41</v>
      </c>
      <c r="J355" s="9" t="s">
        <v>47</v>
      </c>
      <c r="K355" s="9" t="n">
        <v>0</v>
      </c>
      <c r="L355" s="9" t="s">
        <v>42</v>
      </c>
      <c r="M355" s="9" t="s">
        <v>63</v>
      </c>
      <c r="N355" s="9" t="s">
        <v>42</v>
      </c>
      <c r="O355" s="9" t="s">
        <v>42</v>
      </c>
      <c r="P355" s="9" t="s">
        <v>42</v>
      </c>
      <c r="Q355" s="9" t="n">
        <v>340</v>
      </c>
      <c r="R355" s="9" t="s">
        <v>47</v>
      </c>
      <c r="S355" s="9"/>
    </row>
    <row r="356" customFormat="false" ht="15" hidden="false" customHeight="true" outlineLevel="0" collapsed="false">
      <c r="A356" s="9" t="s">
        <v>599</v>
      </c>
      <c r="B356" s="9" t="n">
        <v>27866</v>
      </c>
      <c r="C356" s="9"/>
      <c r="D356" s="9"/>
      <c r="E356" s="9"/>
      <c r="F356" s="9" t="s">
        <v>39</v>
      </c>
      <c r="G356" s="9" t="s">
        <v>40</v>
      </c>
      <c r="H356" s="9"/>
      <c r="I356" s="9" t="s">
        <v>41</v>
      </c>
      <c r="J356" s="9" t="s">
        <v>47</v>
      </c>
      <c r="K356" s="9" t="n">
        <v>1</v>
      </c>
      <c r="L356" s="9" t="s">
        <v>42</v>
      </c>
      <c r="M356" s="9" t="s">
        <v>42</v>
      </c>
      <c r="N356" s="9" t="s">
        <v>42</v>
      </c>
      <c r="O356" s="9" t="s">
        <v>42</v>
      </c>
      <c r="P356" s="9" t="s">
        <v>42</v>
      </c>
      <c r="Q356" s="9" t="n">
        <v>192</v>
      </c>
      <c r="R356" s="9" t="s">
        <v>47</v>
      </c>
      <c r="S356" s="9"/>
    </row>
    <row r="357" customFormat="false" ht="15" hidden="false" customHeight="true" outlineLevel="0" collapsed="false">
      <c r="A357" s="9" t="s">
        <v>600</v>
      </c>
      <c r="B357" s="9" t="n">
        <v>90265</v>
      </c>
      <c r="C357" s="9"/>
      <c r="D357" s="9" t="s">
        <v>62</v>
      </c>
      <c r="E357" s="9" t="s">
        <v>38</v>
      </c>
      <c r="F357" s="9" t="s">
        <v>45</v>
      </c>
      <c r="G357" s="9" t="s">
        <v>40</v>
      </c>
      <c r="H357" s="9"/>
      <c r="I357" s="9" t="s">
        <v>41</v>
      </c>
      <c r="J357" s="9" t="s">
        <v>40</v>
      </c>
      <c r="K357" s="9" t="n">
        <v>0</v>
      </c>
      <c r="L357" s="9" t="s">
        <v>42</v>
      </c>
      <c r="M357" s="9" t="s">
        <v>42</v>
      </c>
      <c r="N357" s="9" t="s">
        <v>42</v>
      </c>
      <c r="O357" s="9" t="s">
        <v>42</v>
      </c>
      <c r="P357" s="9" t="s">
        <v>42</v>
      </c>
      <c r="Q357" s="9" t="n">
        <v>50</v>
      </c>
      <c r="R357" s="9" t="s">
        <v>47</v>
      </c>
      <c r="S357" s="9"/>
    </row>
    <row r="358" customFormat="false" ht="15" hidden="false" customHeight="true" outlineLevel="0" collapsed="false">
      <c r="A358" s="9" t="s">
        <v>601</v>
      </c>
      <c r="B358" s="9" t="n">
        <v>6511</v>
      </c>
      <c r="C358" s="9"/>
      <c r="D358" s="9" t="s">
        <v>83</v>
      </c>
      <c r="E358" s="9" t="s">
        <v>38</v>
      </c>
      <c r="F358" s="9" t="s">
        <v>201</v>
      </c>
      <c r="G358" s="9" t="s">
        <v>40</v>
      </c>
      <c r="H358" s="9"/>
      <c r="I358" s="9" t="s">
        <v>41</v>
      </c>
      <c r="J358" s="9" t="s">
        <v>40</v>
      </c>
      <c r="K358" s="9" t="n">
        <v>5</v>
      </c>
      <c r="L358" s="9" t="s">
        <v>293</v>
      </c>
      <c r="M358" s="9" t="s">
        <v>42</v>
      </c>
      <c r="N358" s="9" t="s">
        <v>42</v>
      </c>
      <c r="O358" s="9" t="s">
        <v>42</v>
      </c>
      <c r="P358" s="9" t="s">
        <v>42</v>
      </c>
      <c r="Q358" s="9" t="n">
        <v>84</v>
      </c>
      <c r="R358" s="9" t="s">
        <v>47</v>
      </c>
      <c r="S358" s="9"/>
    </row>
    <row r="359" customFormat="false" ht="15" hidden="false" customHeight="true" outlineLevel="0" collapsed="false">
      <c r="A359" s="9" t="s">
        <v>602</v>
      </c>
      <c r="B359" s="9" t="n">
        <v>25988</v>
      </c>
      <c r="C359" s="9"/>
      <c r="D359" s="9"/>
      <c r="E359" s="9" t="s">
        <v>38</v>
      </c>
      <c r="F359" s="9" t="s">
        <v>39</v>
      </c>
      <c r="G359" s="9" t="s">
        <v>40</v>
      </c>
      <c r="H359" s="9"/>
      <c r="I359" s="9" t="s">
        <v>41</v>
      </c>
      <c r="J359" s="9" t="s">
        <v>40</v>
      </c>
      <c r="K359" s="9" t="n">
        <v>1</v>
      </c>
      <c r="L359" s="9" t="s">
        <v>42</v>
      </c>
      <c r="M359" s="9" t="s">
        <v>42</v>
      </c>
      <c r="N359" s="9" t="s">
        <v>42</v>
      </c>
      <c r="O359" s="9" t="s">
        <v>42</v>
      </c>
      <c r="P359" s="9" t="s">
        <v>42</v>
      </c>
      <c r="Q359" s="9" t="n">
        <v>105</v>
      </c>
      <c r="R359" s="9" t="s">
        <v>47</v>
      </c>
      <c r="S359" s="9"/>
    </row>
    <row r="360" customFormat="false" ht="15" hidden="false" customHeight="true" outlineLevel="0" collapsed="false">
      <c r="A360" s="9" t="s">
        <v>603</v>
      </c>
      <c r="B360" s="9" t="n">
        <v>4497</v>
      </c>
      <c r="C360" s="9"/>
      <c r="D360" s="9"/>
      <c r="E360" s="9" t="s">
        <v>44</v>
      </c>
      <c r="F360" s="9" t="s">
        <v>39</v>
      </c>
      <c r="G360" s="9" t="s">
        <v>40</v>
      </c>
      <c r="H360" s="9"/>
      <c r="I360" s="9"/>
      <c r="J360" s="9" t="s">
        <v>40</v>
      </c>
      <c r="K360" s="9" t="n">
        <v>0</v>
      </c>
      <c r="L360" s="9" t="s">
        <v>42</v>
      </c>
      <c r="M360" s="9" t="s">
        <v>42</v>
      </c>
      <c r="N360" s="9" t="s">
        <v>42</v>
      </c>
      <c r="O360" s="9" t="s">
        <v>42</v>
      </c>
      <c r="P360" s="9" t="s">
        <v>42</v>
      </c>
      <c r="Q360" s="9" t="n">
        <v>0</v>
      </c>
      <c r="R360" s="9" t="s">
        <v>40</v>
      </c>
      <c r="S360" s="9"/>
    </row>
    <row r="361" customFormat="false" ht="15" hidden="false" customHeight="true" outlineLevel="0" collapsed="false">
      <c r="A361" s="9" t="s">
        <v>604</v>
      </c>
      <c r="B361" s="9" t="n">
        <v>61759</v>
      </c>
      <c r="C361" s="9" t="n">
        <v>84</v>
      </c>
      <c r="D361" s="9"/>
      <c r="E361" s="9" t="s">
        <v>38</v>
      </c>
      <c r="F361" s="9" t="s">
        <v>39</v>
      </c>
      <c r="G361" s="9" t="s">
        <v>47</v>
      </c>
      <c r="H361" s="9"/>
      <c r="I361" s="9" t="s">
        <v>41</v>
      </c>
      <c r="J361" s="9" t="s">
        <v>40</v>
      </c>
      <c r="K361" s="9" t="n">
        <v>3</v>
      </c>
      <c r="L361" s="9" t="s">
        <v>605</v>
      </c>
      <c r="M361" s="9" t="s">
        <v>42</v>
      </c>
      <c r="N361" s="9" t="s">
        <v>42</v>
      </c>
      <c r="O361" s="9" t="s">
        <v>57</v>
      </c>
      <c r="P361" s="9" t="s">
        <v>42</v>
      </c>
      <c r="Q361" s="9" t="n">
        <v>376</v>
      </c>
      <c r="R361" s="9" t="s">
        <v>47</v>
      </c>
      <c r="S361" s="9" t="s">
        <v>428</v>
      </c>
    </row>
    <row r="362" customFormat="false" ht="15" hidden="false" customHeight="true" outlineLevel="0" collapsed="false">
      <c r="A362" s="9" t="s">
        <v>606</v>
      </c>
      <c r="B362" s="9" t="n">
        <v>70049</v>
      </c>
      <c r="C362" s="9"/>
      <c r="D362" s="9" t="s">
        <v>62</v>
      </c>
      <c r="E362" s="9" t="s">
        <v>44</v>
      </c>
      <c r="F362" s="9" t="s">
        <v>45</v>
      </c>
      <c r="G362" s="9" t="s">
        <v>40</v>
      </c>
      <c r="H362" s="9" t="s">
        <v>177</v>
      </c>
      <c r="I362" s="9" t="s">
        <v>41</v>
      </c>
      <c r="J362" s="9" t="s">
        <v>47</v>
      </c>
      <c r="K362" s="9" t="n">
        <v>0</v>
      </c>
      <c r="L362" s="9" t="s">
        <v>42</v>
      </c>
      <c r="M362" s="9" t="s">
        <v>42</v>
      </c>
      <c r="N362" s="9" t="s">
        <v>42</v>
      </c>
      <c r="O362" s="9" t="s">
        <v>42</v>
      </c>
      <c r="P362" s="9" t="s">
        <v>42</v>
      </c>
      <c r="Q362" s="9" t="n">
        <v>100</v>
      </c>
      <c r="R362" s="9" t="s">
        <v>47</v>
      </c>
      <c r="S362" s="9"/>
    </row>
    <row r="363" customFormat="false" ht="15" hidden="false" customHeight="true" outlineLevel="0" collapsed="false">
      <c r="A363" s="9" t="s">
        <v>607</v>
      </c>
      <c r="B363" s="9" t="n">
        <v>94164</v>
      </c>
      <c r="C363" s="9"/>
      <c r="D363" s="9" t="s">
        <v>62</v>
      </c>
      <c r="E363" s="9" t="s">
        <v>44</v>
      </c>
      <c r="F363" s="9" t="s">
        <v>39</v>
      </c>
      <c r="G363" s="9" t="s">
        <v>47</v>
      </c>
      <c r="H363" s="9"/>
      <c r="I363" s="9" t="s">
        <v>41</v>
      </c>
      <c r="J363" s="9" t="s">
        <v>40</v>
      </c>
      <c r="K363" s="9" t="n">
        <v>2</v>
      </c>
      <c r="L363" s="9" t="s">
        <v>42</v>
      </c>
      <c r="M363" s="9" t="s">
        <v>42</v>
      </c>
      <c r="N363" s="9" t="s">
        <v>42</v>
      </c>
      <c r="O363" s="9" t="s">
        <v>42</v>
      </c>
      <c r="P363" s="9" t="s">
        <v>42</v>
      </c>
      <c r="Q363" s="9" t="n">
        <v>100</v>
      </c>
      <c r="R363" s="9" t="s">
        <v>47</v>
      </c>
      <c r="S363" s="9"/>
    </row>
    <row r="364" customFormat="false" ht="15" hidden="false" customHeight="true" outlineLevel="0" collapsed="false">
      <c r="A364" s="9" t="s">
        <v>608</v>
      </c>
      <c r="B364" s="9" t="n">
        <v>95022</v>
      </c>
      <c r="C364" s="9"/>
      <c r="D364" s="9"/>
      <c r="E364" s="9" t="s">
        <v>44</v>
      </c>
      <c r="F364" s="9" t="s">
        <v>39</v>
      </c>
      <c r="G364" s="9" t="s">
        <v>47</v>
      </c>
      <c r="H364" s="9"/>
      <c r="I364" s="9" t="s">
        <v>41</v>
      </c>
      <c r="J364" s="9" t="s">
        <v>47</v>
      </c>
      <c r="K364" s="9" t="n">
        <v>4</v>
      </c>
      <c r="L364" s="9" t="s">
        <v>42</v>
      </c>
      <c r="M364" s="9" t="s">
        <v>42</v>
      </c>
      <c r="N364" s="9" t="s">
        <v>42</v>
      </c>
      <c r="O364" s="9" t="s">
        <v>42</v>
      </c>
      <c r="P364" s="9" t="s">
        <v>42</v>
      </c>
      <c r="Q364" s="9" t="n">
        <v>0</v>
      </c>
      <c r="R364" s="9" t="s">
        <v>40</v>
      </c>
      <c r="S364" s="9"/>
    </row>
    <row r="365" customFormat="false" ht="15" hidden="false" customHeight="true" outlineLevel="0" collapsed="false">
      <c r="A365" s="9" t="s">
        <v>609</v>
      </c>
      <c r="B365" s="9" t="n">
        <v>79110</v>
      </c>
      <c r="C365" s="9"/>
      <c r="D365" s="9"/>
      <c r="E365" s="9" t="s">
        <v>38</v>
      </c>
      <c r="F365" s="9" t="s">
        <v>39</v>
      </c>
      <c r="G365" s="9" t="s">
        <v>40</v>
      </c>
      <c r="H365" s="9"/>
      <c r="I365" s="9" t="s">
        <v>41</v>
      </c>
      <c r="J365" s="9" t="s">
        <v>40</v>
      </c>
      <c r="K365" s="9" t="n">
        <v>11</v>
      </c>
      <c r="L365" s="9" t="s">
        <v>42</v>
      </c>
      <c r="M365" s="9" t="s">
        <v>42</v>
      </c>
      <c r="N365" s="9" t="s">
        <v>42</v>
      </c>
      <c r="O365" s="9" t="s">
        <v>42</v>
      </c>
      <c r="P365" s="9" t="s">
        <v>42</v>
      </c>
      <c r="Q365" s="9" t="n">
        <v>2200</v>
      </c>
      <c r="R365" s="9" t="s">
        <v>47</v>
      </c>
      <c r="S365" s="9"/>
    </row>
    <row r="366" customFormat="false" ht="15" hidden="false" customHeight="true" outlineLevel="0" collapsed="false">
      <c r="A366" s="9" t="s">
        <v>610</v>
      </c>
      <c r="B366" s="9" t="n">
        <v>90265</v>
      </c>
      <c r="C366" s="9"/>
      <c r="D366" s="9"/>
      <c r="E366" s="9" t="s">
        <v>44</v>
      </c>
      <c r="F366" s="9" t="s">
        <v>39</v>
      </c>
      <c r="G366" s="9" t="s">
        <v>40</v>
      </c>
      <c r="H366" s="9"/>
      <c r="I366" s="9" t="s">
        <v>41</v>
      </c>
      <c r="J366" s="9" t="s">
        <v>47</v>
      </c>
      <c r="K366" s="9" t="n">
        <v>1</v>
      </c>
      <c r="L366" s="9" t="s">
        <v>42</v>
      </c>
      <c r="M366" s="9" t="s">
        <v>42</v>
      </c>
      <c r="N366" s="9" t="s">
        <v>42</v>
      </c>
      <c r="O366" s="9" t="s">
        <v>42</v>
      </c>
      <c r="P366" s="9" t="s">
        <v>42</v>
      </c>
      <c r="Q366" s="9" t="n">
        <v>0</v>
      </c>
      <c r="R366" s="9" t="s">
        <v>40</v>
      </c>
      <c r="S366" s="9"/>
    </row>
    <row r="367" customFormat="false" ht="15" hidden="false" customHeight="true" outlineLevel="0" collapsed="false">
      <c r="A367" s="9" t="s">
        <v>611</v>
      </c>
      <c r="B367" s="9" t="n">
        <v>20018</v>
      </c>
      <c r="C367" s="9" t="n">
        <v>46</v>
      </c>
      <c r="D367" s="9"/>
      <c r="E367" s="9" t="s">
        <v>38</v>
      </c>
      <c r="F367" s="9" t="s">
        <v>39</v>
      </c>
      <c r="G367" s="9" t="s">
        <v>40</v>
      </c>
      <c r="H367" s="9"/>
      <c r="I367" s="9" t="s">
        <v>41</v>
      </c>
      <c r="J367" s="9" t="s">
        <v>47</v>
      </c>
      <c r="K367" s="9" t="n">
        <v>0</v>
      </c>
      <c r="L367" s="9" t="s">
        <v>42</v>
      </c>
      <c r="M367" s="9" t="s">
        <v>42</v>
      </c>
      <c r="N367" s="9" t="s">
        <v>42</v>
      </c>
      <c r="O367" s="9" t="s">
        <v>42</v>
      </c>
      <c r="P367" s="9" t="s">
        <v>42</v>
      </c>
      <c r="Q367" s="9" t="n">
        <v>1526</v>
      </c>
      <c r="R367" s="9" t="s">
        <v>47</v>
      </c>
      <c r="S367" s="9" t="s">
        <v>612</v>
      </c>
    </row>
    <row r="368" customFormat="false" ht="15" hidden="false" customHeight="true" outlineLevel="0" collapsed="false">
      <c r="A368" s="9" t="s">
        <v>613</v>
      </c>
      <c r="B368" s="9" t="n">
        <v>53956</v>
      </c>
      <c r="C368" s="9"/>
      <c r="D368" s="9"/>
      <c r="E368" s="9" t="s">
        <v>44</v>
      </c>
      <c r="F368" s="9" t="s">
        <v>39</v>
      </c>
      <c r="G368" s="9" t="s">
        <v>40</v>
      </c>
      <c r="H368" s="9"/>
      <c r="I368" s="9" t="s">
        <v>41</v>
      </c>
      <c r="J368" s="9" t="s">
        <v>40</v>
      </c>
      <c r="K368" s="9" t="n">
        <v>1</v>
      </c>
      <c r="L368" s="9" t="s">
        <v>42</v>
      </c>
      <c r="M368" s="9" t="s">
        <v>42</v>
      </c>
      <c r="N368" s="9" t="s">
        <v>42</v>
      </c>
      <c r="O368" s="9" t="s">
        <v>42</v>
      </c>
      <c r="P368" s="9" t="s">
        <v>42</v>
      </c>
      <c r="Q368" s="9" t="n">
        <v>10</v>
      </c>
      <c r="R368" s="9" t="s">
        <v>47</v>
      </c>
      <c r="S368" s="9"/>
    </row>
    <row r="369" customFormat="false" ht="15" hidden="false" customHeight="true" outlineLevel="0" collapsed="false">
      <c r="A369" s="9" t="s">
        <v>614</v>
      </c>
      <c r="B369" s="9" t="n">
        <v>47246</v>
      </c>
      <c r="C369" s="9"/>
      <c r="D369" s="9"/>
      <c r="E369" s="9" t="s">
        <v>44</v>
      </c>
      <c r="F369" s="9" t="s">
        <v>39</v>
      </c>
      <c r="G369" s="9" t="s">
        <v>40</v>
      </c>
      <c r="H369" s="9"/>
      <c r="I369" s="9" t="s">
        <v>41</v>
      </c>
      <c r="J369" s="9" t="s">
        <v>47</v>
      </c>
      <c r="K369" s="9" t="n">
        <v>1</v>
      </c>
      <c r="L369" s="9" t="s">
        <v>42</v>
      </c>
      <c r="M369" s="9" t="s">
        <v>42</v>
      </c>
      <c r="N369" s="9" t="s">
        <v>42</v>
      </c>
      <c r="O369" s="9" t="s">
        <v>42</v>
      </c>
      <c r="P369" s="9" t="s">
        <v>42</v>
      </c>
      <c r="Q369" s="9" t="n">
        <v>0</v>
      </c>
      <c r="R369" s="9" t="s">
        <v>40</v>
      </c>
      <c r="S369" s="9"/>
    </row>
    <row r="370" customFormat="false" ht="15" hidden="false" customHeight="true" outlineLevel="0" collapsed="false">
      <c r="A370" s="9" t="s">
        <v>615</v>
      </c>
      <c r="B370" s="9" t="n">
        <v>7946</v>
      </c>
      <c r="C370" s="9"/>
      <c r="D370" s="9"/>
      <c r="E370" s="9" t="s">
        <v>44</v>
      </c>
      <c r="F370" s="9" t="s">
        <v>39</v>
      </c>
      <c r="G370" s="9" t="s">
        <v>40</v>
      </c>
      <c r="H370" s="9"/>
      <c r="I370" s="9" t="s">
        <v>41</v>
      </c>
      <c r="J370" s="9" t="s">
        <v>47</v>
      </c>
      <c r="K370" s="9" t="n">
        <v>1</v>
      </c>
      <c r="L370" s="9" t="s">
        <v>42</v>
      </c>
      <c r="M370" s="9" t="s">
        <v>42</v>
      </c>
      <c r="N370" s="9" t="s">
        <v>42</v>
      </c>
      <c r="O370" s="9" t="s">
        <v>42</v>
      </c>
      <c r="P370" s="9" t="s">
        <v>42</v>
      </c>
      <c r="Q370" s="9" t="n">
        <v>100</v>
      </c>
      <c r="R370" s="9" t="s">
        <v>47</v>
      </c>
      <c r="S370" s="9"/>
    </row>
    <row r="371" customFormat="false" ht="15" hidden="false" customHeight="true" outlineLevel="0" collapsed="false">
      <c r="A371" s="9" t="s">
        <v>616</v>
      </c>
      <c r="B371" s="9" t="n">
        <v>28388</v>
      </c>
      <c r="C371" s="9" t="n">
        <v>41</v>
      </c>
      <c r="D371" s="9"/>
      <c r="E371" s="9" t="s">
        <v>44</v>
      </c>
      <c r="F371" s="9" t="s">
        <v>39</v>
      </c>
      <c r="G371" s="9" t="s">
        <v>40</v>
      </c>
      <c r="H371" s="9"/>
      <c r="I371" s="9" t="s">
        <v>41</v>
      </c>
      <c r="J371" s="9" t="s">
        <v>40</v>
      </c>
      <c r="K371" s="9" t="n">
        <v>0</v>
      </c>
      <c r="L371" s="9" t="s">
        <v>42</v>
      </c>
      <c r="M371" s="9" t="s">
        <v>42</v>
      </c>
      <c r="N371" s="9" t="s">
        <v>42</v>
      </c>
      <c r="O371" s="9" t="s">
        <v>42</v>
      </c>
      <c r="P371" s="9" t="s">
        <v>42</v>
      </c>
      <c r="Q371" s="9" t="n">
        <v>0</v>
      </c>
      <c r="R371" s="9" t="s">
        <v>40</v>
      </c>
      <c r="S371" s="9" t="s">
        <v>504</v>
      </c>
    </row>
    <row r="372" customFormat="false" ht="15" hidden="false" customHeight="true" outlineLevel="0" collapsed="false">
      <c r="A372" s="9" t="s">
        <v>617</v>
      </c>
      <c r="B372" s="9" t="n">
        <v>47137</v>
      </c>
      <c r="C372" s="9"/>
      <c r="D372" s="9"/>
      <c r="E372" s="9" t="s">
        <v>38</v>
      </c>
      <c r="F372" s="9" t="s">
        <v>54</v>
      </c>
      <c r="G372" s="9" t="s">
        <v>47</v>
      </c>
      <c r="H372" s="9"/>
      <c r="I372" s="9" t="s">
        <v>41</v>
      </c>
      <c r="J372" s="9" t="s">
        <v>47</v>
      </c>
      <c r="K372" s="9" t="n">
        <v>1</v>
      </c>
      <c r="L372" s="9" t="s">
        <v>42</v>
      </c>
      <c r="M372" s="9" t="s">
        <v>42</v>
      </c>
      <c r="N372" s="9" t="s">
        <v>42</v>
      </c>
      <c r="O372" s="9" t="s">
        <v>42</v>
      </c>
      <c r="P372" s="9" t="s">
        <v>42</v>
      </c>
      <c r="Q372" s="9" t="n">
        <v>210</v>
      </c>
      <c r="R372" s="9" t="s">
        <v>47</v>
      </c>
      <c r="S372" s="9"/>
    </row>
    <row r="373" customFormat="false" ht="15" hidden="false" customHeight="true" outlineLevel="0" collapsed="false">
      <c r="A373" s="9" t="s">
        <v>618</v>
      </c>
      <c r="B373" s="9" t="n">
        <v>17760</v>
      </c>
      <c r="C373" s="9" t="n">
        <v>96</v>
      </c>
      <c r="D373" s="9"/>
      <c r="E373" s="9" t="s">
        <v>44</v>
      </c>
      <c r="F373" s="9" t="s">
        <v>158</v>
      </c>
      <c r="G373" s="9" t="s">
        <v>47</v>
      </c>
      <c r="H373" s="9"/>
      <c r="I373" s="9" t="s">
        <v>41</v>
      </c>
      <c r="J373" s="9" t="s">
        <v>40</v>
      </c>
      <c r="K373" s="9" t="n">
        <v>5</v>
      </c>
      <c r="L373" s="9" t="s">
        <v>42</v>
      </c>
      <c r="M373" s="9" t="s">
        <v>42</v>
      </c>
      <c r="N373" s="9" t="s">
        <v>42</v>
      </c>
      <c r="O373" s="9" t="s">
        <v>42</v>
      </c>
      <c r="P373" s="9" t="s">
        <v>42</v>
      </c>
      <c r="Q373" s="9" t="n">
        <v>255</v>
      </c>
      <c r="R373" s="9" t="s">
        <v>47</v>
      </c>
      <c r="S373" s="9" t="s">
        <v>619</v>
      </c>
    </row>
    <row r="374" customFormat="false" ht="15" hidden="false" customHeight="true" outlineLevel="0" collapsed="false">
      <c r="A374" s="9" t="s">
        <v>620</v>
      </c>
      <c r="B374" s="9" t="n">
        <v>57559</v>
      </c>
      <c r="C374" s="9"/>
      <c r="D374" s="9" t="s">
        <v>62</v>
      </c>
      <c r="E374" s="9" t="s">
        <v>38</v>
      </c>
      <c r="F374" s="9" t="s">
        <v>45</v>
      </c>
      <c r="G374" s="9" t="s">
        <v>40</v>
      </c>
      <c r="H374" s="9"/>
      <c r="I374" s="9" t="s">
        <v>46</v>
      </c>
      <c r="J374" s="9" t="s">
        <v>47</v>
      </c>
      <c r="K374" s="9" t="n">
        <v>0</v>
      </c>
      <c r="L374" s="9" t="s">
        <v>42</v>
      </c>
      <c r="M374" s="9" t="s">
        <v>42</v>
      </c>
      <c r="N374" s="9" t="s">
        <v>42</v>
      </c>
      <c r="O374" s="9" t="s">
        <v>42</v>
      </c>
      <c r="P374" s="9" t="s">
        <v>42</v>
      </c>
      <c r="Q374" s="9" t="n">
        <v>0</v>
      </c>
      <c r="R374" s="9" t="s">
        <v>40</v>
      </c>
      <c r="S374" s="9"/>
    </row>
    <row r="375" customFormat="false" ht="15" hidden="false" customHeight="true" outlineLevel="0" collapsed="false">
      <c r="A375" s="9" t="s">
        <v>621</v>
      </c>
      <c r="B375" s="9" t="n">
        <v>31903</v>
      </c>
      <c r="C375" s="9"/>
      <c r="D375" s="9"/>
      <c r="E375" s="9" t="s">
        <v>44</v>
      </c>
      <c r="F375" s="9" t="s">
        <v>39</v>
      </c>
      <c r="G375" s="9" t="s">
        <v>40</v>
      </c>
      <c r="H375" s="9"/>
      <c r="I375" s="9" t="s">
        <v>41</v>
      </c>
      <c r="J375" s="9" t="s">
        <v>47</v>
      </c>
      <c r="K375" s="9" t="n">
        <v>2</v>
      </c>
      <c r="L375" s="9" t="s">
        <v>42</v>
      </c>
      <c r="M375" s="9" t="s">
        <v>42</v>
      </c>
      <c r="N375" s="9" t="s">
        <v>42</v>
      </c>
      <c r="O375" s="9" t="s">
        <v>42</v>
      </c>
      <c r="P375" s="9" t="s">
        <v>42</v>
      </c>
      <c r="Q375" s="9" t="n">
        <v>0</v>
      </c>
      <c r="R375" s="9" t="s">
        <v>40</v>
      </c>
      <c r="S375" s="9"/>
    </row>
    <row r="376" customFormat="false" ht="15" hidden="false" customHeight="true" outlineLevel="0" collapsed="false">
      <c r="A376" s="9" t="s">
        <v>622</v>
      </c>
      <c r="B376" s="9" t="n">
        <v>90265</v>
      </c>
      <c r="C376" s="9" t="n">
        <v>32</v>
      </c>
      <c r="D376" s="9"/>
      <c r="E376" s="9" t="s">
        <v>44</v>
      </c>
      <c r="F376" s="9" t="s">
        <v>39</v>
      </c>
      <c r="G376" s="9" t="s">
        <v>40</v>
      </c>
      <c r="H376" s="9"/>
      <c r="I376" s="9" t="s">
        <v>203</v>
      </c>
      <c r="J376" s="9" t="s">
        <v>47</v>
      </c>
      <c r="K376" s="9" t="n">
        <v>0</v>
      </c>
      <c r="L376" s="9" t="s">
        <v>42</v>
      </c>
      <c r="M376" s="9" t="s">
        <v>42</v>
      </c>
      <c r="N376" s="9" t="s">
        <v>42</v>
      </c>
      <c r="O376" s="9" t="s">
        <v>42</v>
      </c>
      <c r="P376" s="9" t="s">
        <v>42</v>
      </c>
      <c r="Q376" s="9" t="n">
        <v>75</v>
      </c>
      <c r="R376" s="9" t="s">
        <v>47</v>
      </c>
      <c r="S376" s="9" t="s">
        <v>623</v>
      </c>
    </row>
    <row r="377" customFormat="false" ht="15" hidden="false" customHeight="true" outlineLevel="0" collapsed="false">
      <c r="A377" s="9" t="s">
        <v>624</v>
      </c>
      <c r="B377" s="9" t="n">
        <v>77075</v>
      </c>
      <c r="C377" s="9"/>
      <c r="D377" s="9" t="s">
        <v>62</v>
      </c>
      <c r="E377" s="9" t="s">
        <v>38</v>
      </c>
      <c r="F377" s="9" t="s">
        <v>39</v>
      </c>
      <c r="G377" s="9" t="s">
        <v>40</v>
      </c>
      <c r="H377" s="9"/>
      <c r="I377" s="9" t="s">
        <v>41</v>
      </c>
      <c r="J377" s="9" t="s">
        <v>40</v>
      </c>
      <c r="K377" s="9" t="n">
        <v>0</v>
      </c>
      <c r="L377" s="9" t="s">
        <v>42</v>
      </c>
      <c r="M377" s="9" t="s">
        <v>42</v>
      </c>
      <c r="N377" s="9" t="s">
        <v>42</v>
      </c>
      <c r="O377" s="9" t="s">
        <v>42</v>
      </c>
      <c r="P377" s="9" t="s">
        <v>42</v>
      </c>
      <c r="Q377" s="9" t="n">
        <v>1638</v>
      </c>
      <c r="R377" s="9" t="s">
        <v>47</v>
      </c>
      <c r="S377" s="9"/>
    </row>
    <row r="378" customFormat="false" ht="15" hidden="false" customHeight="true" outlineLevel="0" collapsed="false">
      <c r="A378" s="9" t="s">
        <v>625</v>
      </c>
      <c r="B378" s="9" t="n">
        <v>12458</v>
      </c>
      <c r="C378" s="9"/>
      <c r="D378" s="9" t="s">
        <v>83</v>
      </c>
      <c r="E378" s="9" t="s">
        <v>38</v>
      </c>
      <c r="F378" s="9" t="s">
        <v>39</v>
      </c>
      <c r="G378" s="9" t="s">
        <v>40</v>
      </c>
      <c r="H378" s="9"/>
      <c r="I378" s="9"/>
      <c r="J378" s="9" t="s">
        <v>40</v>
      </c>
      <c r="K378" s="9" t="n">
        <v>0</v>
      </c>
      <c r="L378" s="9" t="s">
        <v>42</v>
      </c>
      <c r="M378" s="9" t="s">
        <v>42</v>
      </c>
      <c r="N378" s="9" t="s">
        <v>42</v>
      </c>
      <c r="O378" s="9" t="s">
        <v>381</v>
      </c>
      <c r="P378" s="9" t="s">
        <v>42</v>
      </c>
      <c r="Q378" s="9" t="n">
        <v>60</v>
      </c>
      <c r="R378" s="9" t="s">
        <v>47</v>
      </c>
      <c r="S378" s="9"/>
    </row>
    <row r="379" customFormat="false" ht="15" hidden="false" customHeight="true" outlineLevel="0" collapsed="false">
      <c r="A379" s="9" t="s">
        <v>626</v>
      </c>
      <c r="B379" s="9" t="n">
        <v>24073</v>
      </c>
      <c r="C379" s="9"/>
      <c r="D379" s="9"/>
      <c r="E379" s="9" t="s">
        <v>38</v>
      </c>
      <c r="F379" s="9" t="s">
        <v>39</v>
      </c>
      <c r="G379" s="9" t="s">
        <v>40</v>
      </c>
      <c r="H379" s="9"/>
      <c r="I379" s="9" t="s">
        <v>41</v>
      </c>
      <c r="J379" s="9" t="s">
        <v>40</v>
      </c>
      <c r="K379" s="9" t="n">
        <v>1</v>
      </c>
      <c r="L379" s="9" t="s">
        <v>42</v>
      </c>
      <c r="M379" s="9" t="s">
        <v>42</v>
      </c>
      <c r="N379" s="9" t="s">
        <v>42</v>
      </c>
      <c r="O379" s="9" t="s">
        <v>42</v>
      </c>
      <c r="P379" s="9" t="s">
        <v>42</v>
      </c>
      <c r="Q379" s="9" t="n">
        <v>1000</v>
      </c>
      <c r="R379" s="9" t="s">
        <v>47</v>
      </c>
      <c r="S379" s="9"/>
    </row>
    <row r="380" customFormat="false" ht="15" hidden="false" customHeight="true" outlineLevel="0" collapsed="false">
      <c r="A380" s="9" t="s">
        <v>627</v>
      </c>
      <c r="B380" s="9" t="n">
        <v>51240</v>
      </c>
      <c r="C380" s="9"/>
      <c r="D380" s="9"/>
      <c r="E380" s="9" t="s">
        <v>44</v>
      </c>
      <c r="F380" s="9" t="s">
        <v>39</v>
      </c>
      <c r="G380" s="9" t="s">
        <v>40</v>
      </c>
      <c r="H380" s="9"/>
      <c r="I380" s="9" t="s">
        <v>41</v>
      </c>
      <c r="J380" s="9" t="s">
        <v>40</v>
      </c>
      <c r="K380" s="9" t="n">
        <v>1</v>
      </c>
      <c r="L380" s="9" t="s">
        <v>42</v>
      </c>
      <c r="M380" s="9" t="s">
        <v>42</v>
      </c>
      <c r="N380" s="9" t="s">
        <v>72</v>
      </c>
      <c r="O380" s="9" t="s">
        <v>42</v>
      </c>
      <c r="P380" s="9" t="s">
        <v>42</v>
      </c>
      <c r="Q380" s="9" t="n">
        <v>25</v>
      </c>
      <c r="R380" s="9" t="s">
        <v>47</v>
      </c>
      <c r="S380" s="9"/>
    </row>
    <row r="381" customFormat="false" ht="15" hidden="false" customHeight="true" outlineLevel="0" collapsed="false">
      <c r="A381" s="9" t="s">
        <v>628</v>
      </c>
      <c r="B381" s="9" t="n">
        <v>77096</v>
      </c>
      <c r="C381" s="9"/>
      <c r="D381" s="9"/>
      <c r="E381" s="9" t="s">
        <v>38</v>
      </c>
      <c r="F381" s="9" t="s">
        <v>39</v>
      </c>
      <c r="G381" s="9" t="s">
        <v>40</v>
      </c>
      <c r="H381" s="9"/>
      <c r="I381" s="9" t="s">
        <v>41</v>
      </c>
      <c r="J381" s="9" t="s">
        <v>40</v>
      </c>
      <c r="K381" s="9" t="n">
        <v>1</v>
      </c>
      <c r="L381" s="9" t="s">
        <v>42</v>
      </c>
      <c r="M381" s="9" t="s">
        <v>42</v>
      </c>
      <c r="N381" s="9" t="s">
        <v>42</v>
      </c>
      <c r="O381" s="9" t="s">
        <v>42</v>
      </c>
      <c r="P381" s="9" t="s">
        <v>42</v>
      </c>
      <c r="Q381" s="9" t="n">
        <v>0</v>
      </c>
      <c r="R381" s="9" t="s">
        <v>40</v>
      </c>
      <c r="S381" s="9"/>
    </row>
    <row r="382" customFormat="false" ht="15" hidden="false" customHeight="true" outlineLevel="0" collapsed="false">
      <c r="A382" s="9" t="s">
        <v>629</v>
      </c>
      <c r="B382" s="9" t="n">
        <v>95962</v>
      </c>
      <c r="C382" s="9"/>
      <c r="D382" s="9"/>
      <c r="E382" s="9" t="s">
        <v>38</v>
      </c>
      <c r="F382" s="9" t="s">
        <v>39</v>
      </c>
      <c r="G382" s="9" t="s">
        <v>40</v>
      </c>
      <c r="H382" s="9"/>
      <c r="I382" s="9" t="s">
        <v>41</v>
      </c>
      <c r="J382" s="9" t="s">
        <v>40</v>
      </c>
      <c r="K382" s="9" t="n">
        <v>0</v>
      </c>
      <c r="L382" s="9" t="s">
        <v>42</v>
      </c>
      <c r="M382" s="9" t="s">
        <v>42</v>
      </c>
      <c r="N382" s="9" t="s">
        <v>42</v>
      </c>
      <c r="O382" s="9" t="s">
        <v>42</v>
      </c>
      <c r="P382" s="9" t="s">
        <v>42</v>
      </c>
      <c r="Q382" s="9" t="n">
        <v>135</v>
      </c>
      <c r="R382" s="9" t="s">
        <v>47</v>
      </c>
      <c r="S382" s="9"/>
    </row>
    <row r="383" customFormat="false" ht="15" hidden="false" customHeight="true" outlineLevel="0" collapsed="false">
      <c r="A383" s="9" t="s">
        <v>630</v>
      </c>
      <c r="B383" s="9" t="n">
        <v>85746</v>
      </c>
      <c r="C383" s="9"/>
      <c r="D383" s="9" t="s">
        <v>83</v>
      </c>
      <c r="E383" s="9" t="s">
        <v>38</v>
      </c>
      <c r="F383" s="9" t="s">
        <v>39</v>
      </c>
      <c r="G383" s="9" t="s">
        <v>40</v>
      </c>
      <c r="H383" s="9"/>
      <c r="I383" s="9" t="s">
        <v>41</v>
      </c>
      <c r="J383" s="9" t="s">
        <v>40</v>
      </c>
      <c r="K383" s="9" t="n">
        <v>1</v>
      </c>
      <c r="L383" s="9" t="s">
        <v>42</v>
      </c>
      <c r="M383" s="9" t="s">
        <v>42</v>
      </c>
      <c r="N383" s="9" t="s">
        <v>57</v>
      </c>
      <c r="O383" s="9" t="s">
        <v>42</v>
      </c>
      <c r="P383" s="9" t="s">
        <v>42</v>
      </c>
      <c r="Q383" s="9" t="n">
        <v>180</v>
      </c>
      <c r="R383" s="9" t="s">
        <v>47</v>
      </c>
      <c r="S383" s="9"/>
    </row>
    <row r="384" customFormat="false" ht="15" hidden="false" customHeight="true" outlineLevel="0" collapsed="false">
      <c r="A384" s="9" t="s">
        <v>631</v>
      </c>
      <c r="B384" s="9" t="n">
        <v>91115</v>
      </c>
      <c r="C384" s="9" t="n">
        <v>36</v>
      </c>
      <c r="D384" s="9"/>
      <c r="E384" s="9" t="s">
        <v>44</v>
      </c>
      <c r="F384" s="9" t="s">
        <v>158</v>
      </c>
      <c r="G384" s="9" t="s">
        <v>47</v>
      </c>
      <c r="H384" s="9"/>
      <c r="I384" s="9" t="s">
        <v>41</v>
      </c>
      <c r="J384" s="9" t="s">
        <v>47</v>
      </c>
      <c r="K384" s="9" t="n">
        <v>3</v>
      </c>
      <c r="L384" s="9" t="s">
        <v>42</v>
      </c>
      <c r="M384" s="9" t="s">
        <v>42</v>
      </c>
      <c r="N384" s="9" t="s">
        <v>42</v>
      </c>
      <c r="O384" s="9" t="s">
        <v>42</v>
      </c>
      <c r="P384" s="9" t="s">
        <v>42</v>
      </c>
      <c r="Q384" s="9" t="n">
        <v>1765</v>
      </c>
      <c r="R384" s="9" t="s">
        <v>47</v>
      </c>
      <c r="S384" s="9" t="s">
        <v>632</v>
      </c>
    </row>
    <row r="385" customFormat="false" ht="15" hidden="false" customHeight="true" outlineLevel="0" collapsed="false">
      <c r="A385" s="9" t="s">
        <v>633</v>
      </c>
      <c r="B385" s="9" t="n">
        <v>62468</v>
      </c>
      <c r="C385" s="9" t="n">
        <v>35</v>
      </c>
      <c r="D385" s="9"/>
      <c r="E385" s="9" t="s">
        <v>38</v>
      </c>
      <c r="F385" s="9" t="s">
        <v>54</v>
      </c>
      <c r="G385" s="9" t="s">
        <v>47</v>
      </c>
      <c r="H385" s="9"/>
      <c r="I385" s="9" t="s">
        <v>41</v>
      </c>
      <c r="J385" s="9" t="s">
        <v>47</v>
      </c>
      <c r="K385" s="9" t="n">
        <v>0</v>
      </c>
      <c r="L385" s="9" t="s">
        <v>42</v>
      </c>
      <c r="M385" s="9" t="s">
        <v>42</v>
      </c>
      <c r="N385" s="9" t="s">
        <v>72</v>
      </c>
      <c r="O385" s="9" t="s">
        <v>634</v>
      </c>
      <c r="P385" s="9" t="s">
        <v>42</v>
      </c>
      <c r="Q385" s="9" t="n">
        <v>385</v>
      </c>
      <c r="R385" s="9" t="s">
        <v>47</v>
      </c>
      <c r="S385" s="9" t="s">
        <v>635</v>
      </c>
    </row>
    <row r="386" customFormat="false" ht="15" hidden="false" customHeight="true" outlineLevel="0" collapsed="false">
      <c r="A386" s="9" t="s">
        <v>636</v>
      </c>
      <c r="B386" s="9" t="n">
        <v>90265</v>
      </c>
      <c r="C386" s="9" t="n">
        <v>57</v>
      </c>
      <c r="D386" s="9"/>
      <c r="E386" s="9" t="s">
        <v>44</v>
      </c>
      <c r="F386" s="9" t="s">
        <v>54</v>
      </c>
      <c r="G386" s="9" t="s">
        <v>40</v>
      </c>
      <c r="H386" s="9" t="s">
        <v>177</v>
      </c>
      <c r="I386" s="9" t="s">
        <v>41</v>
      </c>
      <c r="J386" s="9" t="s">
        <v>47</v>
      </c>
      <c r="K386" s="9" t="n">
        <v>1</v>
      </c>
      <c r="L386" s="9" t="s">
        <v>42</v>
      </c>
      <c r="M386" s="9" t="s">
        <v>42</v>
      </c>
      <c r="N386" s="9" t="s">
        <v>42</v>
      </c>
      <c r="O386" s="9" t="s">
        <v>42</v>
      </c>
      <c r="P386" s="9" t="s">
        <v>42</v>
      </c>
      <c r="Q386" s="9" t="n">
        <v>0</v>
      </c>
      <c r="R386" s="9" t="s">
        <v>40</v>
      </c>
      <c r="S386" s="9" t="s">
        <v>637</v>
      </c>
    </row>
    <row r="387" customFormat="false" ht="15" hidden="false" customHeight="true" outlineLevel="0" collapsed="false">
      <c r="A387" s="9" t="s">
        <v>638</v>
      </c>
      <c r="B387" s="9" t="n">
        <v>90265</v>
      </c>
      <c r="C387" s="9"/>
      <c r="D387" s="9" t="s">
        <v>62</v>
      </c>
      <c r="E387" s="9" t="s">
        <v>44</v>
      </c>
      <c r="F387" s="9" t="s">
        <v>45</v>
      </c>
      <c r="G387" s="9" t="s">
        <v>40</v>
      </c>
      <c r="H387" s="9"/>
      <c r="I387" s="9" t="s">
        <v>41</v>
      </c>
      <c r="J387" s="9" t="s">
        <v>47</v>
      </c>
      <c r="K387" s="9" t="n">
        <v>0</v>
      </c>
      <c r="L387" s="9" t="s">
        <v>42</v>
      </c>
      <c r="M387" s="9" t="s">
        <v>42</v>
      </c>
      <c r="N387" s="9" t="s">
        <v>42</v>
      </c>
      <c r="O387" s="9" t="s">
        <v>42</v>
      </c>
      <c r="P387" s="9" t="s">
        <v>42</v>
      </c>
      <c r="Q387" s="9" t="n">
        <v>10</v>
      </c>
      <c r="R387" s="9" t="s">
        <v>47</v>
      </c>
      <c r="S387" s="9"/>
    </row>
    <row r="388" customFormat="false" ht="15" hidden="false" customHeight="true" outlineLevel="0" collapsed="false">
      <c r="A388" s="9" t="s">
        <v>639</v>
      </c>
      <c r="B388" s="9" t="n">
        <v>99033</v>
      </c>
      <c r="C388" s="9" t="n">
        <v>51</v>
      </c>
      <c r="D388" s="9"/>
      <c r="E388" s="9" t="s">
        <v>38</v>
      </c>
      <c r="F388" s="9" t="s">
        <v>39</v>
      </c>
      <c r="G388" s="9" t="s">
        <v>40</v>
      </c>
      <c r="H388" s="9"/>
      <c r="I388" s="9" t="s">
        <v>41</v>
      </c>
      <c r="J388" s="9" t="s">
        <v>47</v>
      </c>
      <c r="K388" s="9" t="n">
        <v>0</v>
      </c>
      <c r="L388" s="9" t="s">
        <v>42</v>
      </c>
      <c r="M388" s="9" t="s">
        <v>42</v>
      </c>
      <c r="N388" s="9" t="s">
        <v>42</v>
      </c>
      <c r="O388" s="9" t="s">
        <v>42</v>
      </c>
      <c r="P388" s="9" t="s">
        <v>42</v>
      </c>
      <c r="Q388" s="9" t="n">
        <v>500</v>
      </c>
      <c r="R388" s="9" t="s">
        <v>47</v>
      </c>
      <c r="S388" s="9" t="s">
        <v>640</v>
      </c>
    </row>
    <row r="389" customFormat="false" ht="15" hidden="false" customHeight="true" outlineLevel="0" collapsed="false">
      <c r="A389" s="9" t="s">
        <v>641</v>
      </c>
      <c r="B389" s="9" t="n">
        <v>32901</v>
      </c>
      <c r="C389" s="9"/>
      <c r="D389" s="9"/>
      <c r="E389" s="9" t="s">
        <v>44</v>
      </c>
      <c r="F389" s="9" t="s">
        <v>39</v>
      </c>
      <c r="G389" s="9" t="s">
        <v>40</v>
      </c>
      <c r="H389" s="9" t="s">
        <v>110</v>
      </c>
      <c r="I389" s="9" t="s">
        <v>41</v>
      </c>
      <c r="J389" s="9" t="s">
        <v>40</v>
      </c>
      <c r="K389" s="9" t="n">
        <v>1</v>
      </c>
      <c r="L389" s="9" t="s">
        <v>42</v>
      </c>
      <c r="M389" s="9" t="s">
        <v>42</v>
      </c>
      <c r="N389" s="9" t="s">
        <v>42</v>
      </c>
      <c r="O389" s="9" t="s">
        <v>42</v>
      </c>
      <c r="P389" s="9" t="s">
        <v>498</v>
      </c>
      <c r="Q389" s="9" t="n">
        <v>130</v>
      </c>
      <c r="R389" s="9" t="s">
        <v>47</v>
      </c>
      <c r="S389" s="9"/>
    </row>
    <row r="390" customFormat="false" ht="15" hidden="false" customHeight="true" outlineLevel="0" collapsed="false">
      <c r="A390" s="9" t="s">
        <v>642</v>
      </c>
      <c r="B390" s="9" t="n">
        <v>71343</v>
      </c>
      <c r="C390" s="9"/>
      <c r="D390" s="9"/>
      <c r="E390" s="9" t="s">
        <v>44</v>
      </c>
      <c r="F390" s="9" t="s">
        <v>39</v>
      </c>
      <c r="G390" s="9" t="s">
        <v>40</v>
      </c>
      <c r="H390" s="9"/>
      <c r="I390" s="9" t="s">
        <v>41</v>
      </c>
      <c r="J390" s="9" t="s">
        <v>40</v>
      </c>
      <c r="K390" s="9" t="n">
        <v>1</v>
      </c>
      <c r="L390" s="9" t="s">
        <v>42</v>
      </c>
      <c r="M390" s="9" t="s">
        <v>42</v>
      </c>
      <c r="N390" s="9" t="s">
        <v>42</v>
      </c>
      <c r="O390" s="9" t="s">
        <v>42</v>
      </c>
      <c r="P390" s="9" t="s">
        <v>42</v>
      </c>
      <c r="Q390" s="9" t="n">
        <v>50</v>
      </c>
      <c r="R390" s="9" t="s">
        <v>47</v>
      </c>
      <c r="S390" s="9"/>
    </row>
    <row r="391" customFormat="false" ht="15" hidden="false" customHeight="true" outlineLevel="0" collapsed="false">
      <c r="A391" s="9" t="s">
        <v>643</v>
      </c>
      <c r="B391" s="9" t="n">
        <v>78603</v>
      </c>
      <c r="C391" s="9" t="n">
        <v>52</v>
      </c>
      <c r="D391" s="9"/>
      <c r="E391" s="9" t="s">
        <v>38</v>
      </c>
      <c r="F391" s="9" t="s">
        <v>39</v>
      </c>
      <c r="G391" s="9" t="s">
        <v>40</v>
      </c>
      <c r="H391" s="9"/>
      <c r="I391" s="9" t="s">
        <v>41</v>
      </c>
      <c r="J391" s="9" t="s">
        <v>40</v>
      </c>
      <c r="K391" s="9" t="n">
        <v>0</v>
      </c>
      <c r="L391" s="9" t="s">
        <v>42</v>
      </c>
      <c r="M391" s="9" t="s">
        <v>42</v>
      </c>
      <c r="N391" s="9" t="s">
        <v>42</v>
      </c>
      <c r="O391" s="9" t="s">
        <v>42</v>
      </c>
      <c r="P391" s="9" t="s">
        <v>87</v>
      </c>
      <c r="Q391" s="9" t="n">
        <v>200</v>
      </c>
      <c r="R391" s="9" t="s">
        <v>47</v>
      </c>
      <c r="S391" s="9" t="s">
        <v>644</v>
      </c>
    </row>
    <row r="392" customFormat="false" ht="15" hidden="false" customHeight="true" outlineLevel="0" collapsed="false">
      <c r="A392" s="9" t="s">
        <v>645</v>
      </c>
      <c r="B392" s="9" t="n">
        <v>90265</v>
      </c>
      <c r="C392" s="9"/>
      <c r="D392" s="9"/>
      <c r="E392" s="9" t="s">
        <v>38</v>
      </c>
      <c r="F392" s="9" t="s">
        <v>54</v>
      </c>
      <c r="G392" s="9" t="s">
        <v>47</v>
      </c>
      <c r="H392" s="9"/>
      <c r="I392" s="9" t="s">
        <v>41</v>
      </c>
      <c r="J392" s="9" t="s">
        <v>47</v>
      </c>
      <c r="K392" s="9" t="n">
        <v>3</v>
      </c>
      <c r="L392" s="9" t="s">
        <v>187</v>
      </c>
      <c r="M392" s="9" t="s">
        <v>42</v>
      </c>
      <c r="N392" s="9" t="s">
        <v>42</v>
      </c>
      <c r="O392" s="9" t="s">
        <v>42</v>
      </c>
      <c r="P392" s="9" t="s">
        <v>42</v>
      </c>
      <c r="Q392" s="9" t="n">
        <v>120</v>
      </c>
      <c r="R392" s="9" t="s">
        <v>47</v>
      </c>
      <c r="S392" s="9"/>
    </row>
    <row r="393" customFormat="false" ht="15" hidden="false" customHeight="true" outlineLevel="0" collapsed="false">
      <c r="A393" s="9" t="s">
        <v>646</v>
      </c>
      <c r="B393" s="9" t="n">
        <v>35761</v>
      </c>
      <c r="C393" s="9" t="n">
        <v>35</v>
      </c>
      <c r="D393" s="9"/>
      <c r="E393" s="9" t="s">
        <v>44</v>
      </c>
      <c r="F393" s="9" t="s">
        <v>39</v>
      </c>
      <c r="G393" s="9" t="s">
        <v>40</v>
      </c>
      <c r="H393" s="9"/>
      <c r="I393" s="9" t="s">
        <v>41</v>
      </c>
      <c r="J393" s="9" t="s">
        <v>40</v>
      </c>
      <c r="K393" s="9" t="n">
        <v>0</v>
      </c>
      <c r="L393" s="9" t="s">
        <v>42</v>
      </c>
      <c r="M393" s="9" t="s">
        <v>42</v>
      </c>
      <c r="N393" s="9" t="s">
        <v>42</v>
      </c>
      <c r="O393" s="9" t="s">
        <v>42</v>
      </c>
      <c r="P393" s="9" t="s">
        <v>42</v>
      </c>
      <c r="Q393" s="9" t="n">
        <v>102</v>
      </c>
      <c r="R393" s="9" t="s">
        <v>47</v>
      </c>
      <c r="S393" s="9" t="s">
        <v>647</v>
      </c>
    </row>
    <row r="394" customFormat="false" ht="15" hidden="false" customHeight="true" outlineLevel="0" collapsed="false">
      <c r="A394" s="9" t="s">
        <v>648</v>
      </c>
      <c r="B394" s="9" t="n">
        <v>3766</v>
      </c>
      <c r="C394" s="9" t="n">
        <v>40</v>
      </c>
      <c r="D394" s="9"/>
      <c r="E394" s="9" t="s">
        <v>44</v>
      </c>
      <c r="F394" s="9" t="s">
        <v>54</v>
      </c>
      <c r="G394" s="9" t="s">
        <v>47</v>
      </c>
      <c r="H394" s="9" t="s">
        <v>110</v>
      </c>
      <c r="I394" s="9" t="s">
        <v>41</v>
      </c>
      <c r="J394" s="9" t="s">
        <v>47</v>
      </c>
      <c r="K394" s="9" t="n">
        <v>0</v>
      </c>
      <c r="L394" s="9" t="s">
        <v>42</v>
      </c>
      <c r="M394" s="9" t="s">
        <v>42</v>
      </c>
      <c r="N394" s="9" t="s">
        <v>42</v>
      </c>
      <c r="O394" s="9" t="s">
        <v>42</v>
      </c>
      <c r="P394" s="9" t="s">
        <v>42</v>
      </c>
      <c r="Q394" s="9" t="n">
        <v>0</v>
      </c>
      <c r="R394" s="9" t="s">
        <v>40</v>
      </c>
      <c r="S394" s="9" t="s">
        <v>649</v>
      </c>
    </row>
    <row r="395" customFormat="false" ht="15" hidden="false" customHeight="true" outlineLevel="0" collapsed="false">
      <c r="A395" s="9" t="s">
        <v>650</v>
      </c>
      <c r="B395" s="9" t="n">
        <v>3851</v>
      </c>
      <c r="C395" s="9" t="n">
        <v>67</v>
      </c>
      <c r="D395" s="9"/>
      <c r="E395" s="9" t="s">
        <v>44</v>
      </c>
      <c r="F395" s="9" t="s">
        <v>39</v>
      </c>
      <c r="G395" s="9" t="s">
        <v>40</v>
      </c>
      <c r="H395" s="9"/>
      <c r="I395" s="9" t="s">
        <v>41</v>
      </c>
      <c r="J395" s="9" t="s">
        <v>40</v>
      </c>
      <c r="K395" s="9" t="n">
        <v>0</v>
      </c>
      <c r="L395" s="9" t="s">
        <v>42</v>
      </c>
      <c r="M395" s="9" t="s">
        <v>42</v>
      </c>
      <c r="N395" s="9" t="s">
        <v>42</v>
      </c>
      <c r="O395" s="9" t="s">
        <v>42</v>
      </c>
      <c r="P395" s="9" t="s">
        <v>42</v>
      </c>
      <c r="Q395" s="9" t="n">
        <v>0</v>
      </c>
      <c r="R395" s="9" t="s">
        <v>40</v>
      </c>
      <c r="S395" s="9" t="s">
        <v>651</v>
      </c>
    </row>
    <row r="396" customFormat="false" ht="15" hidden="false" customHeight="true" outlineLevel="0" collapsed="false">
      <c r="A396" s="9" t="s">
        <v>652</v>
      </c>
      <c r="B396" s="9" t="n">
        <v>55129</v>
      </c>
      <c r="C396" s="9"/>
      <c r="D396" s="9" t="s">
        <v>62</v>
      </c>
      <c r="E396" s="9" t="s">
        <v>44</v>
      </c>
      <c r="F396" s="9" t="s">
        <v>45</v>
      </c>
      <c r="G396" s="9" t="s">
        <v>40</v>
      </c>
      <c r="H396" s="9"/>
      <c r="I396" s="9" t="s">
        <v>41</v>
      </c>
      <c r="J396" s="9" t="s">
        <v>40</v>
      </c>
      <c r="K396" s="9" t="n">
        <v>0</v>
      </c>
      <c r="L396" s="9" t="s">
        <v>42</v>
      </c>
      <c r="M396" s="9" t="s">
        <v>42</v>
      </c>
      <c r="N396" s="9" t="s">
        <v>42</v>
      </c>
      <c r="O396" s="9" t="s">
        <v>42</v>
      </c>
      <c r="P396" s="9" t="s">
        <v>42</v>
      </c>
      <c r="Q396" s="9" t="n">
        <v>400</v>
      </c>
      <c r="R396" s="9" t="s">
        <v>47</v>
      </c>
      <c r="S396" s="9"/>
    </row>
    <row r="397" customFormat="false" ht="15" hidden="false" customHeight="true" outlineLevel="0" collapsed="false">
      <c r="A397" s="9" t="s">
        <v>653</v>
      </c>
      <c r="B397" s="9" t="n">
        <v>91020</v>
      </c>
      <c r="C397" s="9"/>
      <c r="D397" s="9" t="s">
        <v>62</v>
      </c>
      <c r="E397" s="9" t="s">
        <v>44</v>
      </c>
      <c r="F397" s="9" t="s">
        <v>45</v>
      </c>
      <c r="G397" s="9" t="s">
        <v>40</v>
      </c>
      <c r="H397" s="9"/>
      <c r="I397" s="9" t="s">
        <v>41</v>
      </c>
      <c r="J397" s="9" t="s">
        <v>47</v>
      </c>
      <c r="K397" s="9" t="n">
        <v>0</v>
      </c>
      <c r="L397" s="9" t="s">
        <v>42</v>
      </c>
      <c r="M397" s="9" t="s">
        <v>42</v>
      </c>
      <c r="N397" s="9" t="s">
        <v>42</v>
      </c>
      <c r="O397" s="9" t="s">
        <v>57</v>
      </c>
      <c r="P397" s="9" t="s">
        <v>89</v>
      </c>
      <c r="Q397" s="9" t="n">
        <v>51</v>
      </c>
      <c r="R397" s="9" t="s">
        <v>47</v>
      </c>
      <c r="S397" s="9"/>
    </row>
    <row r="398" customFormat="false" ht="15" hidden="false" customHeight="true" outlineLevel="0" collapsed="false">
      <c r="A398" s="9" t="s">
        <v>654</v>
      </c>
      <c r="B398" s="9" t="n">
        <v>71820</v>
      </c>
      <c r="C398" s="9"/>
      <c r="D398" s="9" t="s">
        <v>62</v>
      </c>
      <c r="E398" s="9" t="s">
        <v>44</v>
      </c>
      <c r="F398" s="9" t="s">
        <v>39</v>
      </c>
      <c r="G398" s="9" t="s">
        <v>40</v>
      </c>
      <c r="H398" s="9"/>
      <c r="I398" s="9" t="s">
        <v>41</v>
      </c>
      <c r="J398" s="9" t="s">
        <v>40</v>
      </c>
      <c r="K398" s="9" t="n">
        <v>2</v>
      </c>
      <c r="L398" s="9" t="s">
        <v>42</v>
      </c>
      <c r="M398" s="9" t="s">
        <v>42</v>
      </c>
      <c r="N398" s="9" t="s">
        <v>42</v>
      </c>
      <c r="O398" s="9" t="s">
        <v>42</v>
      </c>
      <c r="P398" s="9" t="s">
        <v>42</v>
      </c>
      <c r="Q398" s="9" t="n">
        <v>0</v>
      </c>
      <c r="R398" s="9" t="s">
        <v>40</v>
      </c>
      <c r="S398" s="9"/>
    </row>
    <row r="399" customFormat="false" ht="15" hidden="false" customHeight="true" outlineLevel="0" collapsed="false">
      <c r="A399" s="9" t="s">
        <v>655</v>
      </c>
      <c r="B399" s="9" t="n">
        <v>6504</v>
      </c>
      <c r="C399" s="9" t="n">
        <v>35</v>
      </c>
      <c r="D399" s="9"/>
      <c r="E399" s="9" t="s">
        <v>38</v>
      </c>
      <c r="F399" s="9" t="s">
        <v>39</v>
      </c>
      <c r="G399" s="9" t="s">
        <v>40</v>
      </c>
      <c r="H399" s="9"/>
      <c r="I399" s="9" t="s">
        <v>41</v>
      </c>
      <c r="J399" s="9" t="s">
        <v>40</v>
      </c>
      <c r="K399" s="9" t="n">
        <v>0</v>
      </c>
      <c r="L399" s="9" t="s">
        <v>42</v>
      </c>
      <c r="M399" s="9" t="s">
        <v>42</v>
      </c>
      <c r="N399" s="9" t="s">
        <v>42</v>
      </c>
      <c r="O399" s="9" t="s">
        <v>42</v>
      </c>
      <c r="P399" s="9" t="s">
        <v>42</v>
      </c>
      <c r="Q399" s="9" t="n">
        <v>0</v>
      </c>
      <c r="R399" s="9" t="s">
        <v>40</v>
      </c>
      <c r="S399" s="9" t="s">
        <v>656</v>
      </c>
    </row>
    <row r="400" customFormat="false" ht="15" hidden="false" customHeight="true" outlineLevel="0" collapsed="false">
      <c r="A400" s="9" t="s">
        <v>657</v>
      </c>
      <c r="B400" s="9" t="n">
        <v>34206</v>
      </c>
      <c r="C400" s="9"/>
      <c r="D400" s="9" t="s">
        <v>62</v>
      </c>
      <c r="E400" s="9" t="s">
        <v>38</v>
      </c>
      <c r="F400" s="9" t="s">
        <v>39</v>
      </c>
      <c r="G400" s="9" t="s">
        <v>40</v>
      </c>
      <c r="H400" s="9"/>
      <c r="I400" s="9" t="s">
        <v>41</v>
      </c>
      <c r="J400" s="9" t="s">
        <v>40</v>
      </c>
      <c r="K400" s="9" t="n">
        <v>0</v>
      </c>
      <c r="L400" s="9" t="s">
        <v>42</v>
      </c>
      <c r="M400" s="9" t="s">
        <v>42</v>
      </c>
      <c r="N400" s="9" t="s">
        <v>42</v>
      </c>
      <c r="O400" s="9" t="s">
        <v>42</v>
      </c>
      <c r="P400" s="9" t="s">
        <v>42</v>
      </c>
      <c r="Q400" s="9" t="n">
        <v>0</v>
      </c>
      <c r="R400" s="9" t="s">
        <v>40</v>
      </c>
      <c r="S400" s="9"/>
    </row>
    <row r="401" customFormat="false" ht="15" hidden="false" customHeight="true" outlineLevel="0" collapsed="false">
      <c r="A401" s="9" t="s">
        <v>658</v>
      </c>
      <c r="B401" s="9" t="n">
        <v>37224</v>
      </c>
      <c r="C401" s="9"/>
      <c r="D401" s="9"/>
      <c r="E401" s="9" t="s">
        <v>44</v>
      </c>
      <c r="F401" s="9" t="s">
        <v>39</v>
      </c>
      <c r="G401" s="9" t="s">
        <v>40</v>
      </c>
      <c r="H401" s="9"/>
      <c r="I401" s="9" t="s">
        <v>41</v>
      </c>
      <c r="J401" s="9" t="s">
        <v>40</v>
      </c>
      <c r="K401" s="9" t="n">
        <v>1</v>
      </c>
      <c r="L401" s="9" t="s">
        <v>42</v>
      </c>
      <c r="M401" s="9" t="s">
        <v>42</v>
      </c>
      <c r="N401" s="9" t="s">
        <v>42</v>
      </c>
      <c r="O401" s="9" t="s">
        <v>528</v>
      </c>
      <c r="P401" s="9" t="s">
        <v>42</v>
      </c>
      <c r="Q401" s="9" t="n">
        <v>70</v>
      </c>
      <c r="R401" s="9" t="s">
        <v>47</v>
      </c>
      <c r="S401" s="9"/>
    </row>
    <row r="402" customFormat="false" ht="15" hidden="false" customHeight="true" outlineLevel="0" collapsed="false">
      <c r="A402" s="9" t="s">
        <v>659</v>
      </c>
      <c r="B402" s="9" t="n">
        <v>73136</v>
      </c>
      <c r="C402" s="9" t="n">
        <v>42</v>
      </c>
      <c r="D402" s="9"/>
      <c r="E402" s="9" t="s">
        <v>44</v>
      </c>
      <c r="F402" s="9" t="s">
        <v>54</v>
      </c>
      <c r="G402" s="9" t="s">
        <v>47</v>
      </c>
      <c r="H402" s="9"/>
      <c r="I402" s="9" t="s">
        <v>41</v>
      </c>
      <c r="J402" s="9" t="s">
        <v>47</v>
      </c>
      <c r="K402" s="9" t="n">
        <v>1</v>
      </c>
      <c r="L402" s="9" t="s">
        <v>42</v>
      </c>
      <c r="M402" s="9" t="s">
        <v>42</v>
      </c>
      <c r="N402" s="9" t="s">
        <v>42</v>
      </c>
      <c r="O402" s="9" t="s">
        <v>42</v>
      </c>
      <c r="P402" s="9" t="s">
        <v>42</v>
      </c>
      <c r="Q402" s="9" t="n">
        <v>250</v>
      </c>
      <c r="R402" s="9" t="s">
        <v>47</v>
      </c>
      <c r="S402" s="9" t="s">
        <v>660</v>
      </c>
    </row>
    <row r="403" customFormat="false" ht="15" hidden="false" customHeight="true" outlineLevel="0" collapsed="false">
      <c r="A403" s="9" t="s">
        <v>661</v>
      </c>
      <c r="B403" s="9" t="n">
        <v>65457</v>
      </c>
      <c r="C403" s="9"/>
      <c r="D403" s="9"/>
      <c r="E403" s="9" t="s">
        <v>38</v>
      </c>
      <c r="F403" s="9" t="s">
        <v>39</v>
      </c>
      <c r="G403" s="9" t="s">
        <v>40</v>
      </c>
      <c r="H403" s="9"/>
      <c r="I403" s="9" t="s">
        <v>41</v>
      </c>
      <c r="J403" s="9" t="s">
        <v>40</v>
      </c>
      <c r="K403" s="9" t="n">
        <v>1</v>
      </c>
      <c r="L403" s="9" t="s">
        <v>42</v>
      </c>
      <c r="M403" s="9" t="s">
        <v>42</v>
      </c>
      <c r="N403" s="9" t="s">
        <v>42</v>
      </c>
      <c r="O403" s="9" t="s">
        <v>42</v>
      </c>
      <c r="P403" s="9" t="s">
        <v>42</v>
      </c>
      <c r="Q403" s="9" t="n">
        <v>40</v>
      </c>
      <c r="R403" s="9" t="s">
        <v>47</v>
      </c>
      <c r="S403" s="9"/>
    </row>
    <row r="404" customFormat="false" ht="15" hidden="false" customHeight="true" outlineLevel="0" collapsed="false">
      <c r="A404" s="9" t="s">
        <v>662</v>
      </c>
      <c r="B404" s="9" t="n">
        <v>75252</v>
      </c>
      <c r="C404" s="9"/>
      <c r="D404" s="9"/>
      <c r="E404" s="9" t="s">
        <v>38</v>
      </c>
      <c r="F404" s="9" t="s">
        <v>39</v>
      </c>
      <c r="G404" s="9" t="s">
        <v>40</v>
      </c>
      <c r="H404" s="9"/>
      <c r="I404" s="9" t="s">
        <v>41</v>
      </c>
      <c r="J404" s="9" t="s">
        <v>40</v>
      </c>
      <c r="K404" s="9" t="n">
        <v>1</v>
      </c>
      <c r="L404" s="9" t="s">
        <v>42</v>
      </c>
      <c r="M404" s="9" t="s">
        <v>42</v>
      </c>
      <c r="N404" s="9" t="s">
        <v>42</v>
      </c>
      <c r="O404" s="9" t="s">
        <v>663</v>
      </c>
      <c r="P404" s="9" t="s">
        <v>42</v>
      </c>
      <c r="Q404" s="9" t="n">
        <v>180</v>
      </c>
      <c r="R404" s="9" t="s">
        <v>47</v>
      </c>
      <c r="S404" s="9"/>
    </row>
    <row r="405" customFormat="false" ht="15" hidden="false" customHeight="true" outlineLevel="0" collapsed="false">
      <c r="A405" s="9" t="s">
        <v>664</v>
      </c>
      <c r="B405" s="9" t="n">
        <v>96939</v>
      </c>
      <c r="C405" s="9" t="n">
        <v>32</v>
      </c>
      <c r="D405" s="9"/>
      <c r="E405" s="9" t="s">
        <v>38</v>
      </c>
      <c r="F405" s="9" t="s">
        <v>39</v>
      </c>
      <c r="G405" s="9" t="s">
        <v>40</v>
      </c>
      <c r="H405" s="9"/>
      <c r="I405" s="9" t="s">
        <v>41</v>
      </c>
      <c r="J405" s="9" t="s">
        <v>40</v>
      </c>
      <c r="K405" s="9" t="n">
        <v>0</v>
      </c>
      <c r="L405" s="9" t="s">
        <v>42</v>
      </c>
      <c r="M405" s="9" t="s">
        <v>42</v>
      </c>
      <c r="N405" s="9" t="s">
        <v>42</v>
      </c>
      <c r="O405" s="9" t="s">
        <v>42</v>
      </c>
      <c r="P405" s="9" t="s">
        <v>42</v>
      </c>
      <c r="Q405" s="9" t="n">
        <v>25</v>
      </c>
      <c r="R405" s="9" t="s">
        <v>47</v>
      </c>
      <c r="S405" s="9" t="s">
        <v>665</v>
      </c>
    </row>
    <row r="406" customFormat="false" ht="15" hidden="false" customHeight="true" outlineLevel="0" collapsed="false">
      <c r="A406" s="9" t="s">
        <v>666</v>
      </c>
      <c r="B406" s="9" t="n">
        <v>62027</v>
      </c>
      <c r="C406" s="9"/>
      <c r="D406" s="9"/>
      <c r="E406" s="9" t="s">
        <v>38</v>
      </c>
      <c r="F406" s="9" t="s">
        <v>39</v>
      </c>
      <c r="G406" s="9" t="s">
        <v>40</v>
      </c>
      <c r="H406" s="9"/>
      <c r="I406" s="9" t="s">
        <v>41</v>
      </c>
      <c r="J406" s="9" t="s">
        <v>40</v>
      </c>
      <c r="K406" s="9" t="n">
        <v>1</v>
      </c>
      <c r="L406" s="9" t="s">
        <v>42</v>
      </c>
      <c r="M406" s="9" t="s">
        <v>42</v>
      </c>
      <c r="N406" s="9" t="s">
        <v>42</v>
      </c>
      <c r="O406" s="9" t="s">
        <v>57</v>
      </c>
      <c r="P406" s="9" t="s">
        <v>42</v>
      </c>
      <c r="Q406" s="9" t="n">
        <v>1</v>
      </c>
      <c r="R406" s="9" t="s">
        <v>47</v>
      </c>
      <c r="S406" s="9"/>
    </row>
    <row r="407" customFormat="false" ht="15" hidden="false" customHeight="true" outlineLevel="0" collapsed="false">
      <c r="A407" s="9" t="s">
        <v>667</v>
      </c>
      <c r="B407" s="9" t="n">
        <v>38039</v>
      </c>
      <c r="C407" s="9" t="n">
        <v>60</v>
      </c>
      <c r="D407" s="9" t="s">
        <v>62</v>
      </c>
      <c r="E407" s="9" t="s">
        <v>44</v>
      </c>
      <c r="F407" s="9" t="s">
        <v>54</v>
      </c>
      <c r="G407" s="9" t="s">
        <v>47</v>
      </c>
      <c r="H407" s="9"/>
      <c r="I407" s="9" t="s">
        <v>41</v>
      </c>
      <c r="J407" s="9" t="s">
        <v>47</v>
      </c>
      <c r="K407" s="9" t="n">
        <v>2</v>
      </c>
      <c r="L407" s="9" t="s">
        <v>42</v>
      </c>
      <c r="M407" s="9" t="s">
        <v>42</v>
      </c>
      <c r="N407" s="9" t="s">
        <v>42</v>
      </c>
      <c r="O407" s="9" t="s">
        <v>42</v>
      </c>
      <c r="P407" s="9" t="s">
        <v>42</v>
      </c>
      <c r="Q407" s="9" t="n">
        <v>0</v>
      </c>
      <c r="R407" s="9" t="s">
        <v>40</v>
      </c>
      <c r="S407" s="9" t="s">
        <v>668</v>
      </c>
    </row>
    <row r="408" customFormat="false" ht="15" hidden="false" customHeight="true" outlineLevel="0" collapsed="false">
      <c r="A408" s="9" t="s">
        <v>669</v>
      </c>
      <c r="B408" s="9" t="n">
        <v>41465</v>
      </c>
      <c r="C408" s="9"/>
      <c r="D408" s="9" t="s">
        <v>62</v>
      </c>
      <c r="E408" s="9" t="s">
        <v>38</v>
      </c>
      <c r="F408" s="9" t="s">
        <v>39</v>
      </c>
      <c r="G408" s="9" t="s">
        <v>40</v>
      </c>
      <c r="H408" s="9"/>
      <c r="I408" s="9" t="s">
        <v>41</v>
      </c>
      <c r="J408" s="9" t="s">
        <v>40</v>
      </c>
      <c r="K408" s="9" t="n">
        <v>1</v>
      </c>
      <c r="L408" s="9" t="s">
        <v>42</v>
      </c>
      <c r="M408" s="9" t="s">
        <v>42</v>
      </c>
      <c r="N408" s="9" t="s">
        <v>42</v>
      </c>
      <c r="O408" s="9" t="s">
        <v>57</v>
      </c>
      <c r="P408" s="9" t="s">
        <v>42</v>
      </c>
      <c r="Q408" s="9" t="n">
        <v>1</v>
      </c>
      <c r="R408" s="9" t="s">
        <v>47</v>
      </c>
      <c r="S408" s="9"/>
    </row>
    <row r="409" customFormat="false" ht="15" hidden="false" customHeight="true" outlineLevel="0" collapsed="false">
      <c r="A409" s="9" t="s">
        <v>670</v>
      </c>
      <c r="B409" s="9" t="n">
        <v>90265</v>
      </c>
      <c r="C409" s="9"/>
      <c r="D409" s="9"/>
      <c r="E409" s="9" t="s">
        <v>38</v>
      </c>
      <c r="F409" s="9" t="s">
        <v>54</v>
      </c>
      <c r="G409" s="9" t="s">
        <v>40</v>
      </c>
      <c r="H409" s="9"/>
      <c r="I409" s="9" t="s">
        <v>41</v>
      </c>
      <c r="J409" s="9" t="s">
        <v>47</v>
      </c>
      <c r="K409" s="9" t="n">
        <v>3</v>
      </c>
      <c r="L409" s="9" t="s">
        <v>125</v>
      </c>
      <c r="M409" s="9" t="s">
        <v>42</v>
      </c>
      <c r="N409" s="9" t="s">
        <v>42</v>
      </c>
      <c r="O409" s="9" t="s">
        <v>42</v>
      </c>
      <c r="P409" s="9" t="s">
        <v>42</v>
      </c>
      <c r="Q409" s="9" t="n">
        <v>45</v>
      </c>
      <c r="R409" s="9" t="s">
        <v>47</v>
      </c>
      <c r="S409" s="9"/>
    </row>
    <row r="410" customFormat="false" ht="15" hidden="false" customHeight="true" outlineLevel="0" collapsed="false">
      <c r="A410" s="9" t="s">
        <v>671</v>
      </c>
      <c r="B410" s="9" t="n">
        <v>13808</v>
      </c>
      <c r="C410" s="9"/>
      <c r="D410" s="9" t="s">
        <v>83</v>
      </c>
      <c r="E410" s="9" t="s">
        <v>44</v>
      </c>
      <c r="F410" s="9" t="s">
        <v>39</v>
      </c>
      <c r="G410" s="9" t="s">
        <v>40</v>
      </c>
      <c r="H410" s="9"/>
      <c r="I410" s="9"/>
      <c r="J410" s="9" t="s">
        <v>40</v>
      </c>
      <c r="K410" s="9" t="n">
        <v>0</v>
      </c>
      <c r="L410" s="9" t="s">
        <v>42</v>
      </c>
      <c r="M410" s="9" t="s">
        <v>293</v>
      </c>
      <c r="N410" s="9" t="s">
        <v>42</v>
      </c>
      <c r="O410" s="9" t="s">
        <v>42</v>
      </c>
      <c r="P410" s="9" t="s">
        <v>42</v>
      </c>
      <c r="Q410" s="9" t="n">
        <v>10</v>
      </c>
      <c r="R410" s="9" t="s">
        <v>47</v>
      </c>
      <c r="S410" s="9"/>
    </row>
    <row r="411" customFormat="false" ht="15" hidden="false" customHeight="true" outlineLevel="0" collapsed="false">
      <c r="A411" s="9" t="s">
        <v>672</v>
      </c>
      <c r="B411" s="9" t="n">
        <v>90265</v>
      </c>
      <c r="C411" s="9" t="n">
        <v>28</v>
      </c>
      <c r="D411" s="9"/>
      <c r="E411" s="9" t="s">
        <v>38</v>
      </c>
      <c r="F411" s="9" t="s">
        <v>158</v>
      </c>
      <c r="G411" s="9" t="s">
        <v>47</v>
      </c>
      <c r="H411" s="9"/>
      <c r="I411" s="9" t="s">
        <v>41</v>
      </c>
      <c r="J411" s="9" t="s">
        <v>47</v>
      </c>
      <c r="K411" s="9" t="n">
        <v>0</v>
      </c>
      <c r="L411" s="9" t="s">
        <v>42</v>
      </c>
      <c r="M411" s="9" t="s">
        <v>42</v>
      </c>
      <c r="N411" s="9" t="s">
        <v>42</v>
      </c>
      <c r="O411" s="9" t="s">
        <v>42</v>
      </c>
      <c r="P411" s="9" t="s">
        <v>42</v>
      </c>
      <c r="Q411" s="9" t="n">
        <v>0</v>
      </c>
      <c r="R411" s="9" t="s">
        <v>40</v>
      </c>
      <c r="S411" s="9" t="s">
        <v>673</v>
      </c>
    </row>
    <row r="412" customFormat="false" ht="15" hidden="false" customHeight="true" outlineLevel="0" collapsed="false">
      <c r="A412" s="9" t="s">
        <v>674</v>
      </c>
      <c r="B412" s="9" t="n">
        <v>66020</v>
      </c>
      <c r="C412" s="9"/>
      <c r="D412" s="9" t="s">
        <v>195</v>
      </c>
      <c r="E412" s="9" t="s">
        <v>38</v>
      </c>
      <c r="F412" s="9" t="s">
        <v>39</v>
      </c>
      <c r="G412" s="9" t="s">
        <v>40</v>
      </c>
      <c r="H412" s="9"/>
      <c r="I412" s="9" t="s">
        <v>41</v>
      </c>
      <c r="J412" s="9" t="s">
        <v>40</v>
      </c>
      <c r="K412" s="9" t="n">
        <v>1</v>
      </c>
      <c r="L412" s="9" t="s">
        <v>42</v>
      </c>
      <c r="M412" s="9" t="s">
        <v>42</v>
      </c>
      <c r="N412" s="9" t="s">
        <v>42</v>
      </c>
      <c r="O412" s="9" t="s">
        <v>42</v>
      </c>
      <c r="P412" s="9" t="s">
        <v>42</v>
      </c>
      <c r="Q412" s="9" t="n">
        <v>0</v>
      </c>
      <c r="R412" s="9" t="s">
        <v>40</v>
      </c>
      <c r="S412" s="9"/>
    </row>
    <row r="413" customFormat="false" ht="15" hidden="false" customHeight="true" outlineLevel="0" collapsed="false">
      <c r="A413" s="9" t="s">
        <v>675</v>
      </c>
      <c r="B413" s="9" t="n">
        <v>8042</v>
      </c>
      <c r="C413" s="9" t="n">
        <v>31</v>
      </c>
      <c r="D413" s="9"/>
      <c r="E413" s="9" t="s">
        <v>38</v>
      </c>
      <c r="F413" s="9" t="s">
        <v>39</v>
      </c>
      <c r="G413" s="9" t="s">
        <v>40</v>
      </c>
      <c r="H413" s="9"/>
      <c r="I413" s="9" t="s">
        <v>41</v>
      </c>
      <c r="J413" s="9" t="s">
        <v>40</v>
      </c>
      <c r="K413" s="9" t="n">
        <v>0</v>
      </c>
      <c r="L413" s="9" t="s">
        <v>42</v>
      </c>
      <c r="M413" s="9" t="s">
        <v>42</v>
      </c>
      <c r="N413" s="9" t="s">
        <v>42</v>
      </c>
      <c r="O413" s="9" t="s">
        <v>676</v>
      </c>
      <c r="P413" s="9" t="s">
        <v>42</v>
      </c>
      <c r="Q413" s="9" t="n">
        <v>8</v>
      </c>
      <c r="R413" s="9" t="s">
        <v>47</v>
      </c>
      <c r="S413" s="9" t="s">
        <v>677</v>
      </c>
    </row>
    <row r="414" customFormat="false" ht="15" hidden="false" customHeight="true" outlineLevel="0" collapsed="false">
      <c r="A414" s="9" t="s">
        <v>678</v>
      </c>
      <c r="B414" s="9" t="n">
        <v>30597</v>
      </c>
      <c r="C414" s="9" t="n">
        <v>64</v>
      </c>
      <c r="D414" s="9"/>
      <c r="E414" s="9" t="s">
        <v>44</v>
      </c>
      <c r="F414" s="9" t="s">
        <v>39</v>
      </c>
      <c r="G414" s="9" t="s">
        <v>40</v>
      </c>
      <c r="H414" s="9" t="s">
        <v>110</v>
      </c>
      <c r="I414" s="9" t="s">
        <v>203</v>
      </c>
      <c r="J414" s="9" t="s">
        <v>47</v>
      </c>
      <c r="K414" s="9" t="n">
        <v>0</v>
      </c>
      <c r="L414" s="9" t="s">
        <v>42</v>
      </c>
      <c r="M414" s="9" t="s">
        <v>89</v>
      </c>
      <c r="N414" s="9" t="s">
        <v>42</v>
      </c>
      <c r="O414" s="9" t="s">
        <v>42</v>
      </c>
      <c r="P414" s="9" t="s">
        <v>679</v>
      </c>
      <c r="Q414" s="9" t="n">
        <v>240</v>
      </c>
      <c r="R414" s="9" t="s">
        <v>47</v>
      </c>
      <c r="S414" s="9" t="s">
        <v>680</v>
      </c>
    </row>
    <row r="415" customFormat="false" ht="15" hidden="false" customHeight="true" outlineLevel="0" collapsed="false">
      <c r="A415" s="9" t="s">
        <v>681</v>
      </c>
      <c r="B415" s="9" t="n">
        <v>15209</v>
      </c>
      <c r="C415" s="9" t="n">
        <v>30</v>
      </c>
      <c r="D415" s="9"/>
      <c r="E415" s="9" t="s">
        <v>44</v>
      </c>
      <c r="F415" s="9" t="s">
        <v>54</v>
      </c>
      <c r="G415" s="9" t="s">
        <v>47</v>
      </c>
      <c r="H415" s="9" t="s">
        <v>110</v>
      </c>
      <c r="I415" s="9" t="s">
        <v>41</v>
      </c>
      <c r="J415" s="9" t="s">
        <v>47</v>
      </c>
      <c r="K415" s="9" t="n">
        <v>0</v>
      </c>
      <c r="L415" s="9" t="s">
        <v>42</v>
      </c>
      <c r="M415" s="9" t="s">
        <v>42</v>
      </c>
      <c r="N415" s="9" t="s">
        <v>42</v>
      </c>
      <c r="O415" s="9" t="s">
        <v>42</v>
      </c>
      <c r="P415" s="9" t="s">
        <v>42</v>
      </c>
      <c r="Q415" s="9" t="n">
        <v>25</v>
      </c>
      <c r="R415" s="9" t="s">
        <v>47</v>
      </c>
      <c r="S415" s="9" t="s">
        <v>682</v>
      </c>
    </row>
    <row r="416" customFormat="false" ht="15" hidden="false" customHeight="true" outlineLevel="0" collapsed="false">
      <c r="A416" s="9" t="s">
        <v>683</v>
      </c>
      <c r="B416" s="9" t="n">
        <v>50003</v>
      </c>
      <c r="C416" s="9"/>
      <c r="D416" s="9" t="s">
        <v>62</v>
      </c>
      <c r="E416" s="9" t="s">
        <v>44</v>
      </c>
      <c r="F416" s="9" t="s">
        <v>45</v>
      </c>
      <c r="G416" s="9" t="s">
        <v>40</v>
      </c>
      <c r="H416" s="9"/>
      <c r="I416" s="9" t="s">
        <v>41</v>
      </c>
      <c r="J416" s="9" t="s">
        <v>40</v>
      </c>
      <c r="K416" s="9" t="n">
        <v>0</v>
      </c>
      <c r="L416" s="9" t="s">
        <v>42</v>
      </c>
      <c r="M416" s="9" t="s">
        <v>381</v>
      </c>
      <c r="N416" s="9" t="s">
        <v>42</v>
      </c>
      <c r="O416" s="9" t="s">
        <v>42</v>
      </c>
      <c r="P416" s="9" t="s">
        <v>42</v>
      </c>
      <c r="Q416" s="9" t="n">
        <v>60</v>
      </c>
      <c r="R416" s="9" t="s">
        <v>47</v>
      </c>
      <c r="S416" s="9"/>
    </row>
    <row r="417" customFormat="false" ht="15" hidden="false" customHeight="true" outlineLevel="0" collapsed="false">
      <c r="A417" s="9" t="s">
        <v>684</v>
      </c>
      <c r="B417" s="9" t="n">
        <v>15144</v>
      </c>
      <c r="C417" s="9" t="n">
        <v>37</v>
      </c>
      <c r="D417" s="9"/>
      <c r="E417" s="9" t="s">
        <v>44</v>
      </c>
      <c r="F417" s="9" t="s">
        <v>54</v>
      </c>
      <c r="G417" s="9" t="s">
        <v>47</v>
      </c>
      <c r="H417" s="9"/>
      <c r="I417" s="9" t="s">
        <v>41</v>
      </c>
      <c r="J417" s="9" t="s">
        <v>47</v>
      </c>
      <c r="K417" s="9" t="n">
        <v>1</v>
      </c>
      <c r="L417" s="9" t="s">
        <v>42</v>
      </c>
      <c r="M417" s="9" t="s">
        <v>42</v>
      </c>
      <c r="N417" s="9" t="s">
        <v>42</v>
      </c>
      <c r="O417" s="9" t="s">
        <v>42</v>
      </c>
      <c r="P417" s="9" t="s">
        <v>42</v>
      </c>
      <c r="Q417" s="9" t="n">
        <v>40</v>
      </c>
      <c r="R417" s="9" t="s">
        <v>47</v>
      </c>
      <c r="S417" s="9" t="s">
        <v>685</v>
      </c>
    </row>
    <row r="418" customFormat="false" ht="15" hidden="false" customHeight="true" outlineLevel="0" collapsed="false">
      <c r="A418" s="9" t="s">
        <v>686</v>
      </c>
      <c r="B418" s="9" t="n">
        <v>93239</v>
      </c>
      <c r="C418" s="9"/>
      <c r="D418" s="9" t="s">
        <v>83</v>
      </c>
      <c r="E418" s="9" t="s">
        <v>44</v>
      </c>
      <c r="F418" s="9" t="s">
        <v>39</v>
      </c>
      <c r="G418" s="9" t="s">
        <v>40</v>
      </c>
      <c r="H418" s="9"/>
      <c r="I418" s="9"/>
      <c r="J418" s="9" t="s">
        <v>40</v>
      </c>
      <c r="K418" s="9" t="n">
        <v>0</v>
      </c>
      <c r="L418" s="9" t="s">
        <v>42</v>
      </c>
      <c r="M418" s="9" t="s">
        <v>42</v>
      </c>
      <c r="N418" s="9" t="s">
        <v>42</v>
      </c>
      <c r="O418" s="9" t="s">
        <v>42</v>
      </c>
      <c r="P418" s="9" t="s">
        <v>42</v>
      </c>
      <c r="Q418" s="9" t="n">
        <v>75</v>
      </c>
      <c r="R418" s="9" t="s">
        <v>47</v>
      </c>
      <c r="S418" s="9"/>
    </row>
    <row r="419" customFormat="false" ht="15" hidden="false" customHeight="true" outlineLevel="0" collapsed="false">
      <c r="A419" s="9" t="s">
        <v>687</v>
      </c>
      <c r="B419" s="9" t="n">
        <v>27429</v>
      </c>
      <c r="C419" s="9"/>
      <c r="D419" s="9"/>
      <c r="E419" s="9" t="s">
        <v>38</v>
      </c>
      <c r="F419" s="9" t="s">
        <v>54</v>
      </c>
      <c r="G419" s="9" t="s">
        <v>47</v>
      </c>
      <c r="H419" s="9"/>
      <c r="I419" s="9" t="s">
        <v>41</v>
      </c>
      <c r="J419" s="9" t="s">
        <v>47</v>
      </c>
      <c r="K419" s="9" t="n">
        <v>4</v>
      </c>
      <c r="L419" s="9" t="s">
        <v>125</v>
      </c>
      <c r="M419" s="9" t="s">
        <v>42</v>
      </c>
      <c r="N419" s="9" t="s">
        <v>42</v>
      </c>
      <c r="O419" s="9" t="s">
        <v>42</v>
      </c>
      <c r="P419" s="9" t="s">
        <v>42</v>
      </c>
      <c r="Q419" s="9" t="n">
        <v>20</v>
      </c>
      <c r="R419" s="9" t="s">
        <v>47</v>
      </c>
      <c r="S419" s="9"/>
    </row>
    <row r="420" customFormat="false" ht="15" hidden="false" customHeight="true" outlineLevel="0" collapsed="false">
      <c r="A420" s="9" t="s">
        <v>688</v>
      </c>
      <c r="B420" s="9" t="n">
        <v>90265</v>
      </c>
      <c r="C420" s="9" t="n">
        <v>31</v>
      </c>
      <c r="D420" s="9"/>
      <c r="E420" s="9" t="s">
        <v>38</v>
      </c>
      <c r="F420" s="9" t="s">
        <v>39</v>
      </c>
      <c r="G420" s="9" t="s">
        <v>40</v>
      </c>
      <c r="H420" s="9"/>
      <c r="I420" s="9" t="s">
        <v>41</v>
      </c>
      <c r="J420" s="9" t="s">
        <v>40</v>
      </c>
      <c r="K420" s="9" t="n">
        <v>0</v>
      </c>
      <c r="L420" s="9" t="s">
        <v>42</v>
      </c>
      <c r="M420" s="9" t="s">
        <v>42</v>
      </c>
      <c r="N420" s="9" t="s">
        <v>42</v>
      </c>
      <c r="O420" s="9" t="s">
        <v>42</v>
      </c>
      <c r="P420" s="9" t="s">
        <v>42</v>
      </c>
      <c r="Q420" s="9" t="n">
        <v>307</v>
      </c>
      <c r="R420" s="9" t="s">
        <v>47</v>
      </c>
      <c r="S420" s="9" t="s">
        <v>689</v>
      </c>
    </row>
    <row r="421" customFormat="false" ht="15" hidden="false" customHeight="true" outlineLevel="0" collapsed="false">
      <c r="A421" s="9" t="s">
        <v>690</v>
      </c>
      <c r="B421" s="9" t="n">
        <v>85240</v>
      </c>
      <c r="C421" s="9"/>
      <c r="D421" s="9"/>
      <c r="E421" s="9" t="s">
        <v>44</v>
      </c>
      <c r="F421" s="9" t="s">
        <v>54</v>
      </c>
      <c r="G421" s="9" t="s">
        <v>47</v>
      </c>
      <c r="H421" s="9"/>
      <c r="I421" s="9" t="s">
        <v>41</v>
      </c>
      <c r="J421" s="9" t="s">
        <v>47</v>
      </c>
      <c r="K421" s="9" t="n">
        <v>0</v>
      </c>
      <c r="L421" s="9" t="s">
        <v>42</v>
      </c>
      <c r="M421" s="9" t="s">
        <v>42</v>
      </c>
      <c r="N421" s="9" t="s">
        <v>42</v>
      </c>
      <c r="O421" s="9" t="s">
        <v>42</v>
      </c>
      <c r="P421" s="9" t="s">
        <v>42</v>
      </c>
      <c r="Q421" s="9" t="n">
        <v>25</v>
      </c>
      <c r="R421" s="9" t="s">
        <v>47</v>
      </c>
      <c r="S421" s="9"/>
    </row>
    <row r="422" customFormat="false" ht="15" hidden="false" customHeight="true" outlineLevel="0" collapsed="false">
      <c r="A422" s="9" t="s">
        <v>691</v>
      </c>
      <c r="B422" s="9" t="n">
        <v>55177</v>
      </c>
      <c r="C422" s="9" t="n">
        <v>36</v>
      </c>
      <c r="D422" s="9"/>
      <c r="E422" s="9" t="s">
        <v>44</v>
      </c>
      <c r="F422" s="9" t="s">
        <v>39</v>
      </c>
      <c r="G422" s="9" t="s">
        <v>40</v>
      </c>
      <c r="H422" s="9"/>
      <c r="I422" s="9" t="s">
        <v>41</v>
      </c>
      <c r="J422" s="9" t="s">
        <v>40</v>
      </c>
      <c r="K422" s="9" t="n">
        <v>0</v>
      </c>
      <c r="L422" s="9" t="s">
        <v>42</v>
      </c>
      <c r="M422" s="9" t="s">
        <v>63</v>
      </c>
      <c r="N422" s="9" t="s">
        <v>42</v>
      </c>
      <c r="O422" s="9" t="s">
        <v>42</v>
      </c>
      <c r="P422" s="9" t="s">
        <v>42</v>
      </c>
      <c r="Q422" s="9" t="n">
        <v>175</v>
      </c>
      <c r="R422" s="9" t="s">
        <v>47</v>
      </c>
      <c r="S422" s="9" t="s">
        <v>692</v>
      </c>
    </row>
    <row r="423" customFormat="false" ht="15" hidden="false" customHeight="true" outlineLevel="0" collapsed="false">
      <c r="A423" s="9" t="s">
        <v>693</v>
      </c>
      <c r="B423" s="9" t="n">
        <v>30457</v>
      </c>
      <c r="C423" s="9" t="n">
        <v>53</v>
      </c>
      <c r="D423" s="9"/>
      <c r="E423" s="9" t="s">
        <v>44</v>
      </c>
      <c r="F423" s="9" t="s">
        <v>39</v>
      </c>
      <c r="G423" s="9" t="s">
        <v>40</v>
      </c>
      <c r="H423" s="9"/>
      <c r="I423" s="9" t="s">
        <v>41</v>
      </c>
      <c r="J423" s="9" t="s">
        <v>40</v>
      </c>
      <c r="K423" s="9" t="n">
        <v>0</v>
      </c>
      <c r="L423" s="9" t="s">
        <v>42</v>
      </c>
      <c r="M423" s="9" t="s">
        <v>42</v>
      </c>
      <c r="N423" s="9" t="s">
        <v>42</v>
      </c>
      <c r="O423" s="9" t="s">
        <v>57</v>
      </c>
      <c r="P423" s="9" t="s">
        <v>42</v>
      </c>
      <c r="Q423" s="9" t="n">
        <v>1</v>
      </c>
      <c r="R423" s="9" t="s">
        <v>47</v>
      </c>
      <c r="S423" s="9" t="s">
        <v>694</v>
      </c>
    </row>
    <row r="424" customFormat="false" ht="15" hidden="false" customHeight="true" outlineLevel="0" collapsed="false">
      <c r="A424" s="9" t="s">
        <v>695</v>
      </c>
      <c r="B424" s="9" t="n">
        <v>2108</v>
      </c>
      <c r="C424" s="9" t="n">
        <v>70</v>
      </c>
      <c r="D424" s="9"/>
      <c r="E424" s="9" t="s">
        <v>38</v>
      </c>
      <c r="F424" s="9" t="s">
        <v>39</v>
      </c>
      <c r="G424" s="9" t="s">
        <v>40</v>
      </c>
      <c r="H424" s="9"/>
      <c r="I424" s="9" t="s">
        <v>41</v>
      </c>
      <c r="J424" s="9" t="s">
        <v>47</v>
      </c>
      <c r="K424" s="9" t="n">
        <v>0</v>
      </c>
      <c r="L424" s="9" t="s">
        <v>42</v>
      </c>
      <c r="M424" s="9" t="s">
        <v>42</v>
      </c>
      <c r="N424" s="9" t="s">
        <v>42</v>
      </c>
      <c r="O424" s="9" t="s">
        <v>42</v>
      </c>
      <c r="P424" s="9" t="s">
        <v>42</v>
      </c>
      <c r="Q424" s="9" t="n">
        <v>0</v>
      </c>
      <c r="R424" s="9" t="s">
        <v>40</v>
      </c>
      <c r="S424" s="9" t="s">
        <v>696</v>
      </c>
    </row>
    <row r="425" customFormat="false" ht="15" hidden="false" customHeight="true" outlineLevel="0" collapsed="false">
      <c r="A425" s="9" t="s">
        <v>697</v>
      </c>
      <c r="B425" s="9" t="n">
        <v>56175</v>
      </c>
      <c r="C425" s="9" t="n">
        <v>82</v>
      </c>
      <c r="D425" s="9"/>
      <c r="E425" s="9" t="s">
        <v>44</v>
      </c>
      <c r="F425" s="9" t="s">
        <v>39</v>
      </c>
      <c r="G425" s="9" t="s">
        <v>40</v>
      </c>
      <c r="H425" s="9"/>
      <c r="I425" s="9" t="s">
        <v>41</v>
      </c>
      <c r="J425" s="9" t="s">
        <v>40</v>
      </c>
      <c r="K425" s="9" t="n">
        <v>0</v>
      </c>
      <c r="L425" s="9" t="s">
        <v>42</v>
      </c>
      <c r="M425" s="9" t="s">
        <v>42</v>
      </c>
      <c r="N425" s="9" t="s">
        <v>42</v>
      </c>
      <c r="O425" s="9" t="s">
        <v>42</v>
      </c>
      <c r="P425" s="9" t="s">
        <v>42</v>
      </c>
      <c r="Q425" s="9" t="n">
        <v>0</v>
      </c>
      <c r="R425" s="9" t="s">
        <v>40</v>
      </c>
      <c r="S425" s="9" t="s">
        <v>698</v>
      </c>
    </row>
    <row r="426" customFormat="false" ht="15" hidden="false" customHeight="true" outlineLevel="0" collapsed="false">
      <c r="A426" s="9" t="s">
        <v>699</v>
      </c>
      <c r="B426" s="9" t="n">
        <v>9237</v>
      </c>
      <c r="C426" s="9"/>
      <c r="D426" s="9"/>
      <c r="E426" s="9"/>
      <c r="F426" s="9" t="s">
        <v>39</v>
      </c>
      <c r="G426" s="9" t="s">
        <v>40</v>
      </c>
      <c r="H426" s="9"/>
      <c r="I426" s="9" t="s">
        <v>41</v>
      </c>
      <c r="J426" s="9" t="s">
        <v>47</v>
      </c>
      <c r="K426" s="9" t="n">
        <v>1</v>
      </c>
      <c r="L426" s="9" t="s">
        <v>42</v>
      </c>
      <c r="M426" s="9" t="s">
        <v>42</v>
      </c>
      <c r="N426" s="9" t="s">
        <v>42</v>
      </c>
      <c r="O426" s="9" t="s">
        <v>42</v>
      </c>
      <c r="P426" s="9" t="s">
        <v>42</v>
      </c>
      <c r="Q426" s="9" t="n">
        <v>120</v>
      </c>
      <c r="R426" s="9" t="s">
        <v>47</v>
      </c>
      <c r="S426" s="9"/>
    </row>
    <row r="427" customFormat="false" ht="15" hidden="false" customHeight="true" outlineLevel="0" collapsed="false">
      <c r="A427" s="9" t="s">
        <v>700</v>
      </c>
      <c r="B427" s="9" t="n">
        <v>98632</v>
      </c>
      <c r="C427" s="9" t="n">
        <v>48</v>
      </c>
      <c r="D427" s="9"/>
      <c r="E427" s="9" t="s">
        <v>38</v>
      </c>
      <c r="F427" s="9" t="s">
        <v>54</v>
      </c>
      <c r="G427" s="9" t="s">
        <v>47</v>
      </c>
      <c r="H427" s="9"/>
      <c r="I427" s="9" t="s">
        <v>41</v>
      </c>
      <c r="J427" s="9" t="s">
        <v>47</v>
      </c>
      <c r="K427" s="9" t="n">
        <v>0</v>
      </c>
      <c r="L427" s="9" t="s">
        <v>42</v>
      </c>
      <c r="M427" s="9" t="s">
        <v>42</v>
      </c>
      <c r="N427" s="9" t="s">
        <v>42</v>
      </c>
      <c r="O427" s="9" t="s">
        <v>42</v>
      </c>
      <c r="P427" s="9" t="s">
        <v>42</v>
      </c>
      <c r="Q427" s="9" t="n">
        <v>15</v>
      </c>
      <c r="R427" s="9" t="s">
        <v>47</v>
      </c>
      <c r="S427" s="9" t="s">
        <v>701</v>
      </c>
    </row>
    <row r="428" customFormat="false" ht="15" hidden="false" customHeight="true" outlineLevel="0" collapsed="false">
      <c r="A428" s="9" t="s">
        <v>702</v>
      </c>
      <c r="B428" s="9" t="n">
        <v>61071</v>
      </c>
      <c r="C428" s="9"/>
      <c r="D428" s="9"/>
      <c r="E428" s="9" t="s">
        <v>38</v>
      </c>
      <c r="F428" s="9" t="s">
        <v>39</v>
      </c>
      <c r="G428" s="9" t="s">
        <v>40</v>
      </c>
      <c r="H428" s="9"/>
      <c r="I428" s="9" t="s">
        <v>41</v>
      </c>
      <c r="J428" s="9" t="s">
        <v>47</v>
      </c>
      <c r="K428" s="9" t="n">
        <v>4</v>
      </c>
      <c r="L428" s="9" t="s">
        <v>42</v>
      </c>
      <c r="M428" s="9" t="s">
        <v>42</v>
      </c>
      <c r="N428" s="9" t="s">
        <v>219</v>
      </c>
      <c r="O428" s="9" t="s">
        <v>42</v>
      </c>
      <c r="P428" s="9" t="s">
        <v>42</v>
      </c>
      <c r="Q428" s="9" t="n">
        <v>40</v>
      </c>
      <c r="R428" s="9" t="s">
        <v>47</v>
      </c>
      <c r="S428" s="9"/>
    </row>
    <row r="429" customFormat="false" ht="15" hidden="false" customHeight="true" outlineLevel="0" collapsed="false">
      <c r="A429" s="9" t="s">
        <v>703</v>
      </c>
      <c r="B429" s="9" t="n">
        <v>79018</v>
      </c>
      <c r="C429" s="9"/>
      <c r="D429" s="9"/>
      <c r="E429" s="9" t="s">
        <v>38</v>
      </c>
      <c r="F429" s="9" t="s">
        <v>54</v>
      </c>
      <c r="G429" s="9" t="s">
        <v>40</v>
      </c>
      <c r="H429" s="9"/>
      <c r="I429" s="9"/>
      <c r="J429" s="9" t="s">
        <v>40</v>
      </c>
      <c r="K429" s="9" t="n">
        <v>1</v>
      </c>
      <c r="L429" s="9" t="s">
        <v>42</v>
      </c>
      <c r="M429" s="9" t="s">
        <v>197</v>
      </c>
      <c r="N429" s="9" t="s">
        <v>42</v>
      </c>
      <c r="O429" s="9" t="s">
        <v>42</v>
      </c>
      <c r="P429" s="9" t="s">
        <v>42</v>
      </c>
      <c r="Q429" s="9" t="n">
        <v>5</v>
      </c>
      <c r="R429" s="9" t="s">
        <v>47</v>
      </c>
      <c r="S429" s="9"/>
    </row>
    <row r="430" customFormat="false" ht="15" hidden="false" customHeight="true" outlineLevel="0" collapsed="false">
      <c r="A430" s="9" t="s">
        <v>704</v>
      </c>
      <c r="B430" s="9" t="n">
        <v>83846</v>
      </c>
      <c r="C430" s="9"/>
      <c r="D430" s="9" t="s">
        <v>62</v>
      </c>
      <c r="E430" s="9" t="s">
        <v>44</v>
      </c>
      <c r="F430" s="9" t="s">
        <v>45</v>
      </c>
      <c r="G430" s="9" t="s">
        <v>40</v>
      </c>
      <c r="H430" s="9"/>
      <c r="I430" s="9" t="s">
        <v>41</v>
      </c>
      <c r="J430" s="9" t="s">
        <v>47</v>
      </c>
      <c r="K430" s="9" t="n">
        <v>0</v>
      </c>
      <c r="L430" s="9" t="s">
        <v>42</v>
      </c>
      <c r="M430" s="9" t="s">
        <v>42</v>
      </c>
      <c r="N430" s="9" t="s">
        <v>42</v>
      </c>
      <c r="O430" s="9" t="s">
        <v>42</v>
      </c>
      <c r="P430" s="9" t="s">
        <v>42</v>
      </c>
      <c r="Q430" s="9" t="n">
        <v>180</v>
      </c>
      <c r="R430" s="9" t="s">
        <v>47</v>
      </c>
      <c r="S430" s="9"/>
    </row>
    <row r="431" customFormat="false" ht="15" hidden="false" customHeight="true" outlineLevel="0" collapsed="false">
      <c r="A431" s="9" t="s">
        <v>705</v>
      </c>
      <c r="B431" s="9" t="n">
        <v>60149</v>
      </c>
      <c r="C431" s="9" t="n">
        <v>32</v>
      </c>
      <c r="D431" s="9"/>
      <c r="E431" s="9" t="s">
        <v>38</v>
      </c>
      <c r="F431" s="9" t="s">
        <v>201</v>
      </c>
      <c r="G431" s="9" t="s">
        <v>40</v>
      </c>
      <c r="H431" s="9"/>
      <c r="I431" s="9" t="s">
        <v>41</v>
      </c>
      <c r="J431" s="9" t="s">
        <v>40</v>
      </c>
      <c r="K431" s="9" t="n">
        <v>0</v>
      </c>
      <c r="L431" s="9" t="s">
        <v>42</v>
      </c>
      <c r="M431" s="9" t="s">
        <v>42</v>
      </c>
      <c r="N431" s="9" t="s">
        <v>42</v>
      </c>
      <c r="O431" s="9" t="s">
        <v>42</v>
      </c>
      <c r="P431" s="9" t="s">
        <v>42</v>
      </c>
      <c r="Q431" s="9" t="n">
        <v>0</v>
      </c>
      <c r="R431" s="9" t="s">
        <v>40</v>
      </c>
      <c r="S431" s="9" t="s">
        <v>706</v>
      </c>
    </row>
    <row r="432" customFormat="false" ht="15" hidden="false" customHeight="true" outlineLevel="0" collapsed="false">
      <c r="A432" s="9" t="s">
        <v>707</v>
      </c>
      <c r="B432" s="9" t="n">
        <v>60677</v>
      </c>
      <c r="C432" s="9"/>
      <c r="D432" s="9"/>
      <c r="E432" s="9" t="s">
        <v>38</v>
      </c>
      <c r="F432" s="9" t="s">
        <v>54</v>
      </c>
      <c r="G432" s="9" t="s">
        <v>47</v>
      </c>
      <c r="H432" s="9"/>
      <c r="I432" s="9"/>
      <c r="J432" s="9" t="s">
        <v>40</v>
      </c>
      <c r="K432" s="9" t="n">
        <v>0</v>
      </c>
      <c r="L432" s="9" t="s">
        <v>42</v>
      </c>
      <c r="M432" s="9" t="s">
        <v>42</v>
      </c>
      <c r="N432" s="9" t="s">
        <v>42</v>
      </c>
      <c r="O432" s="9" t="s">
        <v>42</v>
      </c>
      <c r="P432" s="9" t="s">
        <v>42</v>
      </c>
      <c r="Q432" s="9" t="n">
        <v>150</v>
      </c>
      <c r="R432" s="9" t="s">
        <v>47</v>
      </c>
      <c r="S432" s="9"/>
    </row>
    <row r="433" customFormat="false" ht="15" hidden="false" customHeight="true" outlineLevel="0" collapsed="false">
      <c r="A433" s="9" t="s">
        <v>708</v>
      </c>
      <c r="B433" s="9" t="n">
        <v>70504</v>
      </c>
      <c r="C433" s="9"/>
      <c r="D433" s="9" t="s">
        <v>83</v>
      </c>
      <c r="E433" s="9" t="s">
        <v>44</v>
      </c>
      <c r="F433" s="9" t="s">
        <v>39</v>
      </c>
      <c r="G433" s="9" t="s">
        <v>40</v>
      </c>
      <c r="H433" s="9"/>
      <c r="I433" s="9"/>
      <c r="J433" s="9" t="s">
        <v>40</v>
      </c>
      <c r="K433" s="9" t="n">
        <v>0</v>
      </c>
      <c r="L433" s="9" t="s">
        <v>42</v>
      </c>
      <c r="M433" s="9" t="s">
        <v>42</v>
      </c>
      <c r="N433" s="9" t="s">
        <v>42</v>
      </c>
      <c r="O433" s="9" t="s">
        <v>42</v>
      </c>
      <c r="P433" s="9" t="s">
        <v>42</v>
      </c>
      <c r="Q433" s="9" t="n">
        <v>0</v>
      </c>
      <c r="R433" s="9" t="s">
        <v>40</v>
      </c>
      <c r="S433" s="9"/>
    </row>
    <row r="434" customFormat="false" ht="15" hidden="false" customHeight="true" outlineLevel="0" collapsed="false">
      <c r="A434" s="9" t="s">
        <v>709</v>
      </c>
      <c r="B434" s="9" t="n">
        <v>77474</v>
      </c>
      <c r="C434" s="9" t="n">
        <v>35</v>
      </c>
      <c r="D434" s="9"/>
      <c r="E434" s="9" t="s">
        <v>38</v>
      </c>
      <c r="F434" s="9" t="s">
        <v>39</v>
      </c>
      <c r="G434" s="9" t="s">
        <v>40</v>
      </c>
      <c r="H434" s="9"/>
      <c r="I434" s="9" t="s">
        <v>41</v>
      </c>
      <c r="J434" s="9" t="s">
        <v>47</v>
      </c>
      <c r="K434" s="9" t="n">
        <v>0</v>
      </c>
      <c r="L434" s="9" t="s">
        <v>42</v>
      </c>
      <c r="M434" s="9" t="s">
        <v>42</v>
      </c>
      <c r="N434" s="9" t="s">
        <v>42</v>
      </c>
      <c r="O434" s="9" t="s">
        <v>42</v>
      </c>
      <c r="P434" s="9" t="s">
        <v>42</v>
      </c>
      <c r="Q434" s="9" t="n">
        <v>0</v>
      </c>
      <c r="R434" s="9" t="s">
        <v>40</v>
      </c>
      <c r="S434" s="9" t="s">
        <v>710</v>
      </c>
    </row>
    <row r="435" customFormat="false" ht="15" hidden="false" customHeight="true" outlineLevel="0" collapsed="false">
      <c r="A435" s="9" t="s">
        <v>711</v>
      </c>
      <c r="B435" s="9" t="n">
        <v>56722</v>
      </c>
      <c r="C435" s="9" t="n">
        <v>39</v>
      </c>
      <c r="D435" s="9"/>
      <c r="E435" s="9" t="s">
        <v>38</v>
      </c>
      <c r="F435" s="9" t="s">
        <v>54</v>
      </c>
      <c r="G435" s="9" t="s">
        <v>40</v>
      </c>
      <c r="H435" s="9"/>
      <c r="I435" s="9" t="s">
        <v>41</v>
      </c>
      <c r="J435" s="9" t="s">
        <v>47</v>
      </c>
      <c r="K435" s="9" t="n">
        <v>0</v>
      </c>
      <c r="L435" s="9" t="s">
        <v>42</v>
      </c>
      <c r="M435" s="9" t="s">
        <v>42</v>
      </c>
      <c r="N435" s="9" t="s">
        <v>42</v>
      </c>
      <c r="O435" s="9" t="s">
        <v>42</v>
      </c>
      <c r="P435" s="9" t="s">
        <v>42</v>
      </c>
      <c r="Q435" s="9" t="n">
        <v>0</v>
      </c>
      <c r="R435" s="9" t="s">
        <v>40</v>
      </c>
      <c r="S435" s="9" t="s">
        <v>712</v>
      </c>
    </row>
    <row r="436" customFormat="false" ht="15" hidden="false" customHeight="true" outlineLevel="0" collapsed="false">
      <c r="A436" s="9" t="s">
        <v>713</v>
      </c>
      <c r="B436" s="9" t="n">
        <v>14226</v>
      </c>
      <c r="C436" s="9"/>
      <c r="D436" s="9"/>
      <c r="E436" s="9" t="s">
        <v>38</v>
      </c>
      <c r="F436" s="9" t="s">
        <v>39</v>
      </c>
      <c r="G436" s="9" t="s">
        <v>40</v>
      </c>
      <c r="H436" s="9" t="s">
        <v>110</v>
      </c>
      <c r="I436" s="9"/>
      <c r="J436" s="9" t="s">
        <v>40</v>
      </c>
      <c r="K436" s="9" t="n">
        <v>1</v>
      </c>
      <c r="L436" s="9" t="s">
        <v>42</v>
      </c>
      <c r="M436" s="9" t="s">
        <v>42</v>
      </c>
      <c r="N436" s="9" t="s">
        <v>42</v>
      </c>
      <c r="O436" s="9" t="s">
        <v>42</v>
      </c>
      <c r="P436" s="9" t="s">
        <v>42</v>
      </c>
      <c r="Q436" s="9" t="n">
        <v>120</v>
      </c>
      <c r="R436" s="9" t="s">
        <v>47</v>
      </c>
      <c r="S436" s="9"/>
    </row>
    <row r="437" customFormat="false" ht="15" hidden="false" customHeight="true" outlineLevel="0" collapsed="false">
      <c r="A437" s="9" t="s">
        <v>714</v>
      </c>
      <c r="B437" s="9" t="n">
        <v>62410</v>
      </c>
      <c r="C437" s="9"/>
      <c r="D437" s="9"/>
      <c r="E437" s="9" t="s">
        <v>44</v>
      </c>
      <c r="F437" s="9" t="s">
        <v>39</v>
      </c>
      <c r="G437" s="9" t="s">
        <v>40</v>
      </c>
      <c r="H437" s="9"/>
      <c r="I437" s="9" t="s">
        <v>41</v>
      </c>
      <c r="J437" s="9" t="s">
        <v>47</v>
      </c>
      <c r="K437" s="9" t="n">
        <v>3</v>
      </c>
      <c r="L437" s="9" t="s">
        <v>293</v>
      </c>
      <c r="M437" s="9" t="s">
        <v>42</v>
      </c>
      <c r="N437" s="9" t="s">
        <v>42</v>
      </c>
      <c r="O437" s="9" t="s">
        <v>42</v>
      </c>
      <c r="P437" s="9" t="s">
        <v>42</v>
      </c>
      <c r="Q437" s="9" t="n">
        <v>600</v>
      </c>
      <c r="R437" s="9" t="s">
        <v>47</v>
      </c>
      <c r="S437" s="9"/>
    </row>
    <row r="438" customFormat="false" ht="15" hidden="false" customHeight="true" outlineLevel="0" collapsed="false">
      <c r="A438" s="9" t="s">
        <v>715</v>
      </c>
      <c r="B438" s="9" t="n">
        <v>60087</v>
      </c>
      <c r="C438" s="9"/>
      <c r="D438" s="9"/>
      <c r="E438" s="9" t="s">
        <v>38</v>
      </c>
      <c r="F438" s="9" t="s">
        <v>54</v>
      </c>
      <c r="G438" s="9" t="s">
        <v>40</v>
      </c>
      <c r="H438" s="9"/>
      <c r="I438" s="9" t="s">
        <v>41</v>
      </c>
      <c r="J438" s="9" t="s">
        <v>40</v>
      </c>
      <c r="K438" s="9" t="n">
        <v>0</v>
      </c>
      <c r="L438" s="9" t="s">
        <v>42</v>
      </c>
      <c r="M438" s="9" t="s">
        <v>42</v>
      </c>
      <c r="N438" s="9" t="s">
        <v>42</v>
      </c>
      <c r="O438" s="9" t="s">
        <v>42</v>
      </c>
      <c r="P438" s="9" t="s">
        <v>42</v>
      </c>
      <c r="Q438" s="9" t="n">
        <v>75</v>
      </c>
      <c r="R438" s="9" t="s">
        <v>47</v>
      </c>
      <c r="S438" s="9"/>
    </row>
    <row r="439" customFormat="false" ht="15" hidden="false" customHeight="true" outlineLevel="0" collapsed="false">
      <c r="A439" s="9" t="s">
        <v>716</v>
      </c>
      <c r="B439" s="9" t="n">
        <v>90265</v>
      </c>
      <c r="C439" s="9"/>
      <c r="D439" s="9" t="s">
        <v>83</v>
      </c>
      <c r="E439" s="9" t="s">
        <v>50</v>
      </c>
      <c r="F439" s="9" t="s">
        <v>39</v>
      </c>
      <c r="G439" s="9" t="s">
        <v>47</v>
      </c>
      <c r="H439" s="9"/>
      <c r="I439" s="9" t="s">
        <v>66</v>
      </c>
      <c r="J439" s="9" t="s">
        <v>40</v>
      </c>
      <c r="K439" s="9" t="n">
        <v>0</v>
      </c>
      <c r="L439" s="9" t="s">
        <v>42</v>
      </c>
      <c r="M439" s="9" t="s">
        <v>717</v>
      </c>
      <c r="N439" s="9" t="s">
        <v>63</v>
      </c>
      <c r="O439" s="9" t="s">
        <v>718</v>
      </c>
      <c r="P439" s="9" t="s">
        <v>131</v>
      </c>
      <c r="Q439" s="9" t="n">
        <v>213200</v>
      </c>
      <c r="R439" s="9" t="s">
        <v>47</v>
      </c>
      <c r="S439" s="9"/>
    </row>
    <row r="440" customFormat="false" ht="15" hidden="false" customHeight="true" outlineLevel="0" collapsed="false">
      <c r="A440" s="9" t="s">
        <v>719</v>
      </c>
      <c r="B440" s="9" t="n">
        <v>99720</v>
      </c>
      <c r="C440" s="9" t="n">
        <v>29</v>
      </c>
      <c r="D440" s="9"/>
      <c r="E440" s="9" t="s">
        <v>38</v>
      </c>
      <c r="F440" s="9" t="s">
        <v>39</v>
      </c>
      <c r="G440" s="9" t="s">
        <v>40</v>
      </c>
      <c r="H440" s="9"/>
      <c r="I440" s="9" t="s">
        <v>41</v>
      </c>
      <c r="J440" s="9" t="s">
        <v>40</v>
      </c>
      <c r="K440" s="9" t="n">
        <v>0</v>
      </c>
      <c r="L440" s="9" t="s">
        <v>42</v>
      </c>
      <c r="M440" s="9" t="s">
        <v>42</v>
      </c>
      <c r="N440" s="9" t="s">
        <v>42</v>
      </c>
      <c r="O440" s="9" t="s">
        <v>42</v>
      </c>
      <c r="P440" s="9" t="s">
        <v>42</v>
      </c>
      <c r="Q440" s="9" t="n">
        <v>0</v>
      </c>
      <c r="R440" s="9" t="s">
        <v>40</v>
      </c>
      <c r="S440" s="9" t="s">
        <v>720</v>
      </c>
    </row>
    <row r="441" customFormat="false" ht="15" hidden="false" customHeight="true" outlineLevel="0" collapsed="false">
      <c r="A441" s="9" t="s">
        <v>721</v>
      </c>
      <c r="B441" s="9" t="n">
        <v>5640</v>
      </c>
      <c r="C441" s="9"/>
      <c r="D441" s="9" t="s">
        <v>83</v>
      </c>
      <c r="E441" s="9" t="s">
        <v>50</v>
      </c>
      <c r="F441" s="9" t="s">
        <v>39</v>
      </c>
      <c r="G441" s="9" t="s">
        <v>47</v>
      </c>
      <c r="H441" s="9"/>
      <c r="I441" s="9"/>
      <c r="J441" s="9" t="s">
        <v>40</v>
      </c>
      <c r="K441" s="9" t="n">
        <v>0</v>
      </c>
      <c r="L441" s="9" t="s">
        <v>42</v>
      </c>
      <c r="M441" s="9" t="s">
        <v>42</v>
      </c>
      <c r="N441" s="9" t="s">
        <v>42</v>
      </c>
      <c r="O441" s="9" t="s">
        <v>57</v>
      </c>
      <c r="P441" s="9" t="s">
        <v>42</v>
      </c>
      <c r="Q441" s="9" t="n">
        <v>500</v>
      </c>
      <c r="R441" s="9" t="s">
        <v>47</v>
      </c>
      <c r="S441" s="9"/>
    </row>
    <row r="442" customFormat="false" ht="15" hidden="false" customHeight="true" outlineLevel="0" collapsed="false">
      <c r="A442" s="9" t="s">
        <v>722</v>
      </c>
      <c r="B442" s="9" t="n">
        <v>79322</v>
      </c>
      <c r="C442" s="9"/>
      <c r="D442" s="9" t="s">
        <v>62</v>
      </c>
      <c r="E442" s="9" t="s">
        <v>44</v>
      </c>
      <c r="F442" s="9" t="s">
        <v>45</v>
      </c>
      <c r="G442" s="9" t="s">
        <v>40</v>
      </c>
      <c r="H442" s="9"/>
      <c r="I442" s="9" t="s">
        <v>41</v>
      </c>
      <c r="J442" s="9" t="s">
        <v>47</v>
      </c>
      <c r="K442" s="9" t="n">
        <v>3</v>
      </c>
      <c r="L442" s="9" t="s">
        <v>42</v>
      </c>
      <c r="M442" s="9" t="s">
        <v>42</v>
      </c>
      <c r="N442" s="9" t="s">
        <v>42</v>
      </c>
      <c r="O442" s="9" t="s">
        <v>42</v>
      </c>
      <c r="P442" s="9" t="s">
        <v>42</v>
      </c>
      <c r="Q442" s="9" t="n">
        <v>0</v>
      </c>
      <c r="R442" s="9" t="s">
        <v>40</v>
      </c>
      <c r="S442" s="9"/>
    </row>
    <row r="443" customFormat="false" ht="15" hidden="false" customHeight="true" outlineLevel="0" collapsed="false">
      <c r="A443" s="9" t="s">
        <v>723</v>
      </c>
      <c r="B443" s="9" t="n">
        <v>19312</v>
      </c>
      <c r="C443" s="9"/>
      <c r="D443" s="9"/>
      <c r="E443" s="9" t="s">
        <v>44</v>
      </c>
      <c r="F443" s="9" t="s">
        <v>39</v>
      </c>
      <c r="G443" s="9" t="s">
        <v>40</v>
      </c>
      <c r="H443" s="9"/>
      <c r="I443" s="9"/>
      <c r="J443" s="9" t="s">
        <v>40</v>
      </c>
      <c r="K443" s="9" t="n">
        <v>1</v>
      </c>
      <c r="L443" s="9" t="s">
        <v>42</v>
      </c>
      <c r="M443" s="9" t="s">
        <v>42</v>
      </c>
      <c r="N443" s="9" t="s">
        <v>42</v>
      </c>
      <c r="O443" s="9" t="s">
        <v>42</v>
      </c>
      <c r="P443" s="9" t="s">
        <v>42</v>
      </c>
      <c r="Q443" s="9" t="n">
        <v>0</v>
      </c>
      <c r="R443" s="9" t="s">
        <v>40</v>
      </c>
      <c r="S443" s="9"/>
    </row>
    <row r="444" customFormat="false" ht="15" hidden="false" customHeight="true" outlineLevel="0" collapsed="false">
      <c r="A444" s="9" t="s">
        <v>724</v>
      </c>
      <c r="B444" s="9" t="n">
        <v>72389</v>
      </c>
      <c r="C444" s="9"/>
      <c r="D444" s="9" t="s">
        <v>62</v>
      </c>
      <c r="E444" s="9" t="s">
        <v>38</v>
      </c>
      <c r="F444" s="9" t="s">
        <v>45</v>
      </c>
      <c r="G444" s="9" t="s">
        <v>47</v>
      </c>
      <c r="H444" s="9"/>
      <c r="I444" s="9" t="s">
        <v>41</v>
      </c>
      <c r="J444" s="9" t="s">
        <v>47</v>
      </c>
      <c r="K444" s="9" t="n">
        <v>1</v>
      </c>
      <c r="L444" s="9" t="s">
        <v>42</v>
      </c>
      <c r="M444" s="9" t="s">
        <v>42</v>
      </c>
      <c r="N444" s="9" t="s">
        <v>42</v>
      </c>
      <c r="O444" s="9" t="s">
        <v>42</v>
      </c>
      <c r="P444" s="9" t="s">
        <v>42</v>
      </c>
      <c r="Q444" s="9" t="n">
        <v>1</v>
      </c>
      <c r="R444" s="9" t="s">
        <v>47</v>
      </c>
      <c r="S444" s="9"/>
    </row>
    <row r="445" customFormat="false" ht="15" hidden="false" customHeight="true" outlineLevel="0" collapsed="false">
      <c r="A445" s="9" t="s">
        <v>725</v>
      </c>
      <c r="B445" s="9" t="n">
        <v>41571</v>
      </c>
      <c r="C445" s="9"/>
      <c r="D445" s="9"/>
      <c r="E445" s="9" t="s">
        <v>44</v>
      </c>
      <c r="F445" s="9" t="s">
        <v>39</v>
      </c>
      <c r="G445" s="9" t="s">
        <v>40</v>
      </c>
      <c r="H445" s="9"/>
      <c r="I445" s="9" t="s">
        <v>41</v>
      </c>
      <c r="J445" s="9" t="s">
        <v>40</v>
      </c>
      <c r="K445" s="9" t="n">
        <v>1</v>
      </c>
      <c r="L445" s="9" t="s">
        <v>42</v>
      </c>
      <c r="M445" s="9" t="s">
        <v>42</v>
      </c>
      <c r="N445" s="9" t="s">
        <v>42</v>
      </c>
      <c r="O445" s="9" t="s">
        <v>42</v>
      </c>
      <c r="P445" s="9" t="s">
        <v>42</v>
      </c>
      <c r="Q445" s="9" t="n">
        <v>180</v>
      </c>
      <c r="R445" s="9" t="s">
        <v>47</v>
      </c>
      <c r="S445" s="9"/>
    </row>
    <row r="446" customFormat="false" ht="15" hidden="false" customHeight="true" outlineLevel="0" collapsed="false">
      <c r="A446" s="9" t="s">
        <v>726</v>
      </c>
      <c r="B446" s="9" t="n">
        <v>18210</v>
      </c>
      <c r="C446" s="9"/>
      <c r="D446" s="9"/>
      <c r="E446" s="9" t="s">
        <v>38</v>
      </c>
      <c r="F446" s="9" t="s">
        <v>39</v>
      </c>
      <c r="G446" s="9" t="s">
        <v>40</v>
      </c>
      <c r="H446" s="9"/>
      <c r="I446" s="9" t="s">
        <v>41</v>
      </c>
      <c r="J446" s="9" t="s">
        <v>40</v>
      </c>
      <c r="K446" s="9" t="n">
        <v>1</v>
      </c>
      <c r="L446" s="9" t="s">
        <v>42</v>
      </c>
      <c r="M446" s="9" t="s">
        <v>42</v>
      </c>
      <c r="N446" s="9" t="s">
        <v>42</v>
      </c>
      <c r="O446" s="9" t="s">
        <v>42</v>
      </c>
      <c r="P446" s="9" t="s">
        <v>42</v>
      </c>
      <c r="Q446" s="9" t="n">
        <v>0</v>
      </c>
      <c r="R446" s="9" t="s">
        <v>40</v>
      </c>
      <c r="S446" s="9"/>
    </row>
    <row r="447" customFormat="false" ht="15" hidden="false" customHeight="true" outlineLevel="0" collapsed="false">
      <c r="A447" s="9" t="s">
        <v>727</v>
      </c>
      <c r="B447" s="9" t="n">
        <v>6349</v>
      </c>
      <c r="C447" s="9" t="n">
        <v>23</v>
      </c>
      <c r="D447" s="9"/>
      <c r="E447" s="9" t="s">
        <v>44</v>
      </c>
      <c r="F447" s="9" t="s">
        <v>39</v>
      </c>
      <c r="G447" s="9" t="s">
        <v>40</v>
      </c>
      <c r="H447" s="9"/>
      <c r="I447" s="9" t="s">
        <v>203</v>
      </c>
      <c r="J447" s="9" t="s">
        <v>47</v>
      </c>
      <c r="K447" s="9" t="n">
        <v>0</v>
      </c>
      <c r="L447" s="9" t="s">
        <v>57</v>
      </c>
      <c r="M447" s="9" t="s">
        <v>42</v>
      </c>
      <c r="N447" s="9" t="s">
        <v>42</v>
      </c>
      <c r="O447" s="9" t="s">
        <v>42</v>
      </c>
      <c r="P447" s="9" t="s">
        <v>42</v>
      </c>
      <c r="Q447" s="9" t="n">
        <v>1</v>
      </c>
      <c r="R447" s="9" t="s">
        <v>47</v>
      </c>
      <c r="S447" s="9" t="s">
        <v>384</v>
      </c>
    </row>
    <row r="448" customFormat="false" ht="15" hidden="false" customHeight="true" outlineLevel="0" collapsed="false">
      <c r="A448" s="9" t="s">
        <v>728</v>
      </c>
      <c r="B448" s="9"/>
      <c r="C448" s="9" t="n">
        <v>34</v>
      </c>
      <c r="D448" s="9"/>
      <c r="E448" s="9" t="s">
        <v>38</v>
      </c>
      <c r="F448" s="9" t="s">
        <v>39</v>
      </c>
      <c r="G448" s="9" t="s">
        <v>40</v>
      </c>
      <c r="H448" s="9"/>
      <c r="I448" s="9" t="s">
        <v>41</v>
      </c>
      <c r="J448" s="9" t="s">
        <v>47</v>
      </c>
      <c r="K448" s="9" t="n">
        <v>0</v>
      </c>
      <c r="L448" s="9" t="s">
        <v>42</v>
      </c>
      <c r="M448" s="9" t="s">
        <v>42</v>
      </c>
      <c r="N448" s="9" t="s">
        <v>42</v>
      </c>
      <c r="O448" s="9" t="s">
        <v>42</v>
      </c>
      <c r="P448" s="9" t="s">
        <v>42</v>
      </c>
      <c r="Q448" s="9" t="n">
        <v>5</v>
      </c>
      <c r="R448" s="9" t="s">
        <v>47</v>
      </c>
      <c r="S448" s="9" t="s">
        <v>729</v>
      </c>
    </row>
    <row r="449" customFormat="false" ht="15" hidden="false" customHeight="true" outlineLevel="0" collapsed="false">
      <c r="A449" s="9" t="s">
        <v>730</v>
      </c>
      <c r="B449" s="9" t="n">
        <v>63936</v>
      </c>
      <c r="C449" s="9" t="n">
        <v>51</v>
      </c>
      <c r="D449" s="9"/>
      <c r="E449" s="9" t="s">
        <v>44</v>
      </c>
      <c r="F449" s="9" t="s">
        <v>54</v>
      </c>
      <c r="G449" s="9" t="s">
        <v>47</v>
      </c>
      <c r="H449" s="9"/>
      <c r="I449" s="9" t="s">
        <v>41</v>
      </c>
      <c r="J449" s="9" t="s">
        <v>40</v>
      </c>
      <c r="K449" s="9" t="n">
        <v>0</v>
      </c>
      <c r="L449" s="9" t="s">
        <v>42</v>
      </c>
      <c r="M449" s="9" t="s">
        <v>42</v>
      </c>
      <c r="N449" s="9" t="s">
        <v>42</v>
      </c>
      <c r="O449" s="9" t="s">
        <v>42</v>
      </c>
      <c r="P449" s="9" t="s">
        <v>42</v>
      </c>
      <c r="Q449" s="9" t="n">
        <v>25</v>
      </c>
      <c r="R449" s="9" t="s">
        <v>47</v>
      </c>
      <c r="S449" s="9" t="s">
        <v>731</v>
      </c>
    </row>
    <row r="450" customFormat="false" ht="15" hidden="false" customHeight="true" outlineLevel="0" collapsed="false">
      <c r="A450" s="9" t="s">
        <v>732</v>
      </c>
      <c r="B450" s="9" t="n">
        <v>58052</v>
      </c>
      <c r="C450" s="9" t="n">
        <v>41</v>
      </c>
      <c r="D450" s="9"/>
      <c r="E450" s="9" t="s">
        <v>38</v>
      </c>
      <c r="F450" s="9" t="s">
        <v>54</v>
      </c>
      <c r="G450" s="9" t="s">
        <v>47</v>
      </c>
      <c r="H450" s="9"/>
      <c r="I450" s="9" t="s">
        <v>41</v>
      </c>
      <c r="J450" s="9" t="s">
        <v>47</v>
      </c>
      <c r="K450" s="9" t="n">
        <v>1</v>
      </c>
      <c r="L450" s="9" t="s">
        <v>42</v>
      </c>
      <c r="M450" s="9" t="s">
        <v>42</v>
      </c>
      <c r="N450" s="9" t="s">
        <v>42</v>
      </c>
      <c r="O450" s="9" t="s">
        <v>42</v>
      </c>
      <c r="P450" s="9" t="s">
        <v>42</v>
      </c>
      <c r="Q450" s="9" t="n">
        <v>0</v>
      </c>
      <c r="R450" s="9" t="s">
        <v>40</v>
      </c>
      <c r="S450" s="9" t="s">
        <v>733</v>
      </c>
    </row>
    <row r="451" customFormat="false" ht="15" hidden="false" customHeight="true" outlineLevel="0" collapsed="false">
      <c r="A451" s="9" t="s">
        <v>734</v>
      </c>
      <c r="B451" s="9" t="n">
        <v>68465</v>
      </c>
      <c r="C451" s="9"/>
      <c r="D451" s="9"/>
      <c r="E451" s="9" t="s">
        <v>38</v>
      </c>
      <c r="F451" s="9" t="s">
        <v>39</v>
      </c>
      <c r="G451" s="9" t="s">
        <v>40</v>
      </c>
      <c r="H451" s="9"/>
      <c r="I451" s="9" t="s">
        <v>41</v>
      </c>
      <c r="J451" s="9" t="s">
        <v>40</v>
      </c>
      <c r="K451" s="9" t="n">
        <v>1</v>
      </c>
      <c r="L451" s="9" t="s">
        <v>63</v>
      </c>
      <c r="M451" s="9" t="s">
        <v>42</v>
      </c>
      <c r="N451" s="9" t="s">
        <v>42</v>
      </c>
      <c r="O451" s="9" t="s">
        <v>42</v>
      </c>
      <c r="P451" s="9" t="s">
        <v>42</v>
      </c>
      <c r="Q451" s="9" t="n">
        <v>100</v>
      </c>
      <c r="R451" s="9" t="s">
        <v>47</v>
      </c>
      <c r="S451" s="9"/>
    </row>
    <row r="452" customFormat="false" ht="15" hidden="false" customHeight="true" outlineLevel="0" collapsed="false">
      <c r="A452" s="9" t="s">
        <v>735</v>
      </c>
      <c r="B452" s="9" t="n">
        <v>61024</v>
      </c>
      <c r="C452" s="9"/>
      <c r="D452" s="9" t="s">
        <v>83</v>
      </c>
      <c r="E452" s="9" t="s">
        <v>38</v>
      </c>
      <c r="F452" s="9" t="s">
        <v>39</v>
      </c>
      <c r="G452" s="9" t="s">
        <v>40</v>
      </c>
      <c r="H452" s="9"/>
      <c r="I452" s="9" t="s">
        <v>41</v>
      </c>
      <c r="J452" s="9" t="s">
        <v>40</v>
      </c>
      <c r="K452" s="9" t="n">
        <v>1</v>
      </c>
      <c r="L452" s="9" t="s">
        <v>42</v>
      </c>
      <c r="M452" s="9" t="s">
        <v>42</v>
      </c>
      <c r="N452" s="9" t="s">
        <v>42</v>
      </c>
      <c r="O452" s="9" t="s">
        <v>42</v>
      </c>
      <c r="P452" s="9" t="s">
        <v>736</v>
      </c>
      <c r="Q452" s="9" t="n">
        <v>125</v>
      </c>
      <c r="R452" s="9" t="s">
        <v>47</v>
      </c>
      <c r="S452" s="9"/>
    </row>
    <row r="453" customFormat="false" ht="15" hidden="false" customHeight="true" outlineLevel="0" collapsed="false">
      <c r="A453" s="9" t="s">
        <v>737</v>
      </c>
      <c r="B453" s="9" t="n">
        <v>53237</v>
      </c>
      <c r="C453" s="9" t="n">
        <v>51</v>
      </c>
      <c r="D453" s="9"/>
      <c r="E453" s="9" t="s">
        <v>38</v>
      </c>
      <c r="F453" s="9" t="s">
        <v>39</v>
      </c>
      <c r="G453" s="9" t="s">
        <v>40</v>
      </c>
      <c r="H453" s="9"/>
      <c r="I453" s="9" t="s">
        <v>41</v>
      </c>
      <c r="J453" s="9" t="s">
        <v>40</v>
      </c>
      <c r="K453" s="9" t="n">
        <v>0</v>
      </c>
      <c r="L453" s="9" t="s">
        <v>42</v>
      </c>
      <c r="M453" s="9" t="s">
        <v>42</v>
      </c>
      <c r="N453" s="9" t="s">
        <v>42</v>
      </c>
      <c r="O453" s="9" t="s">
        <v>42</v>
      </c>
      <c r="P453" s="9" t="s">
        <v>42</v>
      </c>
      <c r="Q453" s="9" t="n">
        <v>0</v>
      </c>
      <c r="R453" s="9" t="s">
        <v>40</v>
      </c>
      <c r="S453" s="9" t="s">
        <v>738</v>
      </c>
    </row>
    <row r="454" customFormat="false" ht="15" hidden="false" customHeight="true" outlineLevel="0" collapsed="false">
      <c r="A454" s="9" t="s">
        <v>739</v>
      </c>
      <c r="B454" s="9" t="n">
        <v>99753</v>
      </c>
      <c r="C454" s="9" t="n">
        <v>30</v>
      </c>
      <c r="D454" s="9"/>
      <c r="E454" s="9"/>
      <c r="F454" s="9" t="s">
        <v>39</v>
      </c>
      <c r="G454" s="9" t="s">
        <v>40</v>
      </c>
      <c r="H454" s="9"/>
      <c r="I454" s="9" t="s">
        <v>41</v>
      </c>
      <c r="J454" s="9" t="s">
        <v>40</v>
      </c>
      <c r="K454" s="9" t="n">
        <v>0</v>
      </c>
      <c r="L454" s="9" t="s">
        <v>210</v>
      </c>
      <c r="M454" s="9" t="s">
        <v>42</v>
      </c>
      <c r="N454" s="9" t="s">
        <v>42</v>
      </c>
      <c r="O454" s="9" t="s">
        <v>42</v>
      </c>
      <c r="P454" s="9" t="s">
        <v>42</v>
      </c>
      <c r="Q454" s="9" t="n">
        <v>145</v>
      </c>
      <c r="R454" s="9" t="s">
        <v>47</v>
      </c>
      <c r="S454" s="9" t="s">
        <v>740</v>
      </c>
    </row>
    <row r="455" customFormat="false" ht="15" hidden="false" customHeight="true" outlineLevel="0" collapsed="false">
      <c r="A455" s="9" t="s">
        <v>741</v>
      </c>
      <c r="B455" s="9" t="n">
        <v>72938</v>
      </c>
      <c r="C455" s="9" t="n">
        <v>56</v>
      </c>
      <c r="D455" s="9"/>
      <c r="E455" s="9" t="s">
        <v>44</v>
      </c>
      <c r="F455" s="9" t="s">
        <v>39</v>
      </c>
      <c r="G455" s="9" t="s">
        <v>40</v>
      </c>
      <c r="H455" s="9"/>
      <c r="I455" s="9" t="s">
        <v>41</v>
      </c>
      <c r="J455" s="9" t="s">
        <v>40</v>
      </c>
      <c r="K455" s="9" t="n">
        <v>0</v>
      </c>
      <c r="L455" s="9" t="s">
        <v>42</v>
      </c>
      <c r="M455" s="9" t="s">
        <v>42</v>
      </c>
      <c r="N455" s="9" t="s">
        <v>42</v>
      </c>
      <c r="O455" s="9" t="s">
        <v>42</v>
      </c>
      <c r="P455" s="9" t="s">
        <v>42</v>
      </c>
      <c r="Q455" s="9" t="n">
        <v>0</v>
      </c>
      <c r="R455" s="9" t="s">
        <v>40</v>
      </c>
      <c r="S455" s="9" t="s">
        <v>742</v>
      </c>
    </row>
    <row r="456" customFormat="false" ht="15" hidden="false" customHeight="true" outlineLevel="0" collapsed="false">
      <c r="A456" s="9" t="s">
        <v>743</v>
      </c>
      <c r="B456" s="9" t="n">
        <v>63053</v>
      </c>
      <c r="C456" s="9" t="n">
        <v>68</v>
      </c>
      <c r="D456" s="9"/>
      <c r="E456" s="9" t="s">
        <v>38</v>
      </c>
      <c r="F456" s="9" t="s">
        <v>54</v>
      </c>
      <c r="G456" s="9" t="s">
        <v>40</v>
      </c>
      <c r="H456" s="9"/>
      <c r="I456" s="9"/>
      <c r="J456" s="9" t="s">
        <v>40</v>
      </c>
      <c r="K456" s="9" t="n">
        <v>0</v>
      </c>
      <c r="L456" s="9" t="s">
        <v>42</v>
      </c>
      <c r="M456" s="9" t="s">
        <v>171</v>
      </c>
      <c r="N456" s="9" t="s">
        <v>42</v>
      </c>
      <c r="O456" s="9" t="s">
        <v>42</v>
      </c>
      <c r="P456" s="9" t="s">
        <v>42</v>
      </c>
      <c r="Q456" s="9" t="n">
        <v>470</v>
      </c>
      <c r="R456" s="9" t="s">
        <v>47</v>
      </c>
      <c r="S456" s="9" t="s">
        <v>744</v>
      </c>
    </row>
    <row r="457" customFormat="false" ht="15" hidden="false" customHeight="true" outlineLevel="0" collapsed="false">
      <c r="A457" s="9" t="s">
        <v>745</v>
      </c>
      <c r="B457" s="9" t="n">
        <v>18451</v>
      </c>
      <c r="C457" s="9" t="n">
        <v>33</v>
      </c>
      <c r="D457" s="9"/>
      <c r="E457" s="9" t="s">
        <v>38</v>
      </c>
      <c r="F457" s="9" t="s">
        <v>39</v>
      </c>
      <c r="G457" s="9" t="s">
        <v>40</v>
      </c>
      <c r="H457" s="9"/>
      <c r="I457" s="9" t="s">
        <v>41</v>
      </c>
      <c r="J457" s="9" t="s">
        <v>47</v>
      </c>
      <c r="K457" s="9" t="n">
        <v>0</v>
      </c>
      <c r="L457" s="9" t="s">
        <v>42</v>
      </c>
      <c r="M457" s="9" t="s">
        <v>42</v>
      </c>
      <c r="N457" s="9" t="s">
        <v>42</v>
      </c>
      <c r="O457" s="9" t="s">
        <v>42</v>
      </c>
      <c r="P457" s="9" t="s">
        <v>42</v>
      </c>
      <c r="Q457" s="9" t="n">
        <v>20</v>
      </c>
      <c r="R457" s="9" t="s">
        <v>47</v>
      </c>
      <c r="S457" s="9" t="s">
        <v>746</v>
      </c>
    </row>
    <row r="458" customFormat="false" ht="15" hidden="false" customHeight="true" outlineLevel="0" collapsed="false">
      <c r="A458" s="9" t="s">
        <v>747</v>
      </c>
      <c r="B458" s="9" t="n">
        <v>47345</v>
      </c>
      <c r="C458" s="9"/>
      <c r="D458" s="9"/>
      <c r="E458" s="9" t="s">
        <v>38</v>
      </c>
      <c r="F458" s="9" t="s">
        <v>39</v>
      </c>
      <c r="G458" s="9" t="s">
        <v>40</v>
      </c>
      <c r="H458" s="9"/>
      <c r="I458" s="9" t="s">
        <v>41</v>
      </c>
      <c r="J458" s="9" t="s">
        <v>40</v>
      </c>
      <c r="K458" s="9" t="n">
        <v>1</v>
      </c>
      <c r="L458" s="9" t="s">
        <v>42</v>
      </c>
      <c r="M458" s="9" t="s">
        <v>42</v>
      </c>
      <c r="N458" s="9" t="s">
        <v>42</v>
      </c>
      <c r="O458" s="9" t="s">
        <v>42</v>
      </c>
      <c r="P458" s="9" t="s">
        <v>42</v>
      </c>
      <c r="Q458" s="9" t="n">
        <v>1</v>
      </c>
      <c r="R458" s="9" t="s">
        <v>47</v>
      </c>
      <c r="S458" s="9"/>
    </row>
    <row r="459" customFormat="false" ht="15" hidden="false" customHeight="true" outlineLevel="0" collapsed="false">
      <c r="A459" s="9" t="s">
        <v>748</v>
      </c>
      <c r="B459" s="9" t="n">
        <v>95412</v>
      </c>
      <c r="C459" s="9" t="n">
        <v>38</v>
      </c>
      <c r="D459" s="9"/>
      <c r="E459" s="9" t="s">
        <v>44</v>
      </c>
      <c r="F459" s="9" t="s">
        <v>54</v>
      </c>
      <c r="G459" s="9" t="s">
        <v>47</v>
      </c>
      <c r="H459" s="9"/>
      <c r="I459" s="9" t="s">
        <v>41</v>
      </c>
      <c r="J459" s="9" t="s">
        <v>40</v>
      </c>
      <c r="K459" s="9" t="n">
        <v>0</v>
      </c>
      <c r="L459" s="9" t="s">
        <v>42</v>
      </c>
      <c r="M459" s="9" t="s">
        <v>42</v>
      </c>
      <c r="N459" s="9" t="s">
        <v>42</v>
      </c>
      <c r="O459" s="9" t="s">
        <v>42</v>
      </c>
      <c r="P459" s="9" t="s">
        <v>42</v>
      </c>
      <c r="Q459" s="9" t="n">
        <v>200</v>
      </c>
      <c r="R459" s="9" t="s">
        <v>47</v>
      </c>
      <c r="S459" s="9" t="s">
        <v>749</v>
      </c>
    </row>
    <row r="460" customFormat="false" ht="15" hidden="false" customHeight="true" outlineLevel="0" collapsed="false">
      <c r="A460" s="9" t="s">
        <v>750</v>
      </c>
      <c r="B460" s="9" t="n">
        <v>90265</v>
      </c>
      <c r="C460" s="9" t="n">
        <v>48</v>
      </c>
      <c r="D460" s="9"/>
      <c r="E460" s="9" t="s">
        <v>44</v>
      </c>
      <c r="F460" s="9" t="s">
        <v>54</v>
      </c>
      <c r="G460" s="9" t="s">
        <v>47</v>
      </c>
      <c r="H460" s="9"/>
      <c r="I460" s="9" t="s">
        <v>41</v>
      </c>
      <c r="J460" s="9" t="s">
        <v>47</v>
      </c>
      <c r="K460" s="9" t="n">
        <v>0</v>
      </c>
      <c r="L460" s="9" t="s">
        <v>42</v>
      </c>
      <c r="M460" s="9" t="s">
        <v>42</v>
      </c>
      <c r="N460" s="9" t="s">
        <v>42</v>
      </c>
      <c r="O460" s="9" t="s">
        <v>42</v>
      </c>
      <c r="P460" s="9" t="s">
        <v>42</v>
      </c>
      <c r="Q460" s="9" t="n">
        <v>85</v>
      </c>
      <c r="R460" s="9" t="s">
        <v>47</v>
      </c>
      <c r="S460" s="9" t="s">
        <v>751</v>
      </c>
    </row>
    <row r="461" customFormat="false" ht="15" hidden="false" customHeight="true" outlineLevel="0" collapsed="false">
      <c r="A461" s="9" t="s">
        <v>752</v>
      </c>
      <c r="B461" s="9" t="n">
        <v>50133</v>
      </c>
      <c r="C461" s="9"/>
      <c r="D461" s="9"/>
      <c r="E461" s="9" t="s">
        <v>44</v>
      </c>
      <c r="F461" s="9" t="s">
        <v>39</v>
      </c>
      <c r="G461" s="9" t="s">
        <v>40</v>
      </c>
      <c r="H461" s="9"/>
      <c r="I461" s="9" t="s">
        <v>41</v>
      </c>
      <c r="J461" s="9" t="s">
        <v>47</v>
      </c>
      <c r="K461" s="9" t="n">
        <v>2</v>
      </c>
      <c r="L461" s="9" t="s">
        <v>42</v>
      </c>
      <c r="M461" s="9" t="s">
        <v>42</v>
      </c>
      <c r="N461" s="9" t="s">
        <v>42</v>
      </c>
      <c r="O461" s="9" t="s">
        <v>42</v>
      </c>
      <c r="P461" s="9" t="s">
        <v>42</v>
      </c>
      <c r="Q461" s="9" t="n">
        <v>30</v>
      </c>
      <c r="R461" s="9" t="s">
        <v>47</v>
      </c>
      <c r="S461" s="9"/>
    </row>
    <row r="462" customFormat="false" ht="15" hidden="false" customHeight="true" outlineLevel="0" collapsed="false">
      <c r="A462" s="9" t="s">
        <v>753</v>
      </c>
      <c r="B462" s="9" t="n">
        <v>53156</v>
      </c>
      <c r="C462" s="9" t="n">
        <v>62</v>
      </c>
      <c r="D462" s="9"/>
      <c r="E462" s="9" t="s">
        <v>38</v>
      </c>
      <c r="F462" s="9" t="s">
        <v>39</v>
      </c>
      <c r="G462" s="9" t="s">
        <v>40</v>
      </c>
      <c r="H462" s="9"/>
      <c r="I462" s="9" t="s">
        <v>41</v>
      </c>
      <c r="J462" s="9" t="s">
        <v>40</v>
      </c>
      <c r="K462" s="9" t="n">
        <v>0</v>
      </c>
      <c r="L462" s="9" t="s">
        <v>42</v>
      </c>
      <c r="M462" s="9" t="s">
        <v>42</v>
      </c>
      <c r="N462" s="9" t="s">
        <v>42</v>
      </c>
      <c r="O462" s="9" t="s">
        <v>42</v>
      </c>
      <c r="P462" s="9" t="s">
        <v>42</v>
      </c>
      <c r="Q462" s="9" t="n">
        <v>0</v>
      </c>
      <c r="R462" s="9" t="s">
        <v>40</v>
      </c>
      <c r="S462" s="9" t="s">
        <v>754</v>
      </c>
    </row>
    <row r="463" customFormat="false" ht="15" hidden="false" customHeight="true" outlineLevel="0" collapsed="false">
      <c r="A463" s="9" t="s">
        <v>755</v>
      </c>
      <c r="B463" s="9" t="n">
        <v>50446</v>
      </c>
      <c r="C463" s="9" t="n">
        <v>24</v>
      </c>
      <c r="D463" s="9"/>
      <c r="E463" s="9" t="s">
        <v>38</v>
      </c>
      <c r="F463" s="9" t="s">
        <v>39</v>
      </c>
      <c r="G463" s="9" t="s">
        <v>40</v>
      </c>
      <c r="H463" s="9"/>
      <c r="I463" s="9" t="s">
        <v>41</v>
      </c>
      <c r="J463" s="9" t="s">
        <v>40</v>
      </c>
      <c r="K463" s="9" t="n">
        <v>0</v>
      </c>
      <c r="L463" s="9" t="s">
        <v>57</v>
      </c>
      <c r="M463" s="9" t="s">
        <v>42</v>
      </c>
      <c r="N463" s="9" t="s">
        <v>42</v>
      </c>
      <c r="O463" s="9" t="s">
        <v>42</v>
      </c>
      <c r="P463" s="9" t="s">
        <v>63</v>
      </c>
      <c r="Q463" s="9" t="n">
        <v>101</v>
      </c>
      <c r="R463" s="9" t="s">
        <v>47</v>
      </c>
      <c r="S463" s="9" t="s">
        <v>756</v>
      </c>
    </row>
    <row r="464" customFormat="false" ht="15" hidden="false" customHeight="true" outlineLevel="0" collapsed="false">
      <c r="A464" s="9" t="s">
        <v>757</v>
      </c>
      <c r="B464" s="9" t="n">
        <v>34770</v>
      </c>
      <c r="C464" s="9"/>
      <c r="D464" s="9"/>
      <c r="E464" s="9" t="s">
        <v>44</v>
      </c>
      <c r="F464" s="9" t="s">
        <v>54</v>
      </c>
      <c r="G464" s="9" t="s">
        <v>40</v>
      </c>
      <c r="H464" s="9"/>
      <c r="I464" s="9" t="s">
        <v>41</v>
      </c>
      <c r="J464" s="9" t="s">
        <v>40</v>
      </c>
      <c r="K464" s="9" t="n">
        <v>0</v>
      </c>
      <c r="L464" s="9" t="s">
        <v>42</v>
      </c>
      <c r="M464" s="9" t="s">
        <v>42</v>
      </c>
      <c r="N464" s="9" t="s">
        <v>42</v>
      </c>
      <c r="O464" s="9" t="s">
        <v>42</v>
      </c>
      <c r="P464" s="9" t="s">
        <v>42</v>
      </c>
      <c r="Q464" s="9" t="n">
        <v>60</v>
      </c>
      <c r="R464" s="9" t="s">
        <v>47</v>
      </c>
      <c r="S464" s="9"/>
    </row>
    <row r="465" customFormat="false" ht="15" hidden="false" customHeight="true" outlineLevel="0" collapsed="false">
      <c r="A465" s="9" t="s">
        <v>758</v>
      </c>
      <c r="B465" s="9" t="n">
        <v>90265</v>
      </c>
      <c r="C465" s="9"/>
      <c r="D465" s="9"/>
      <c r="E465" s="9" t="s">
        <v>38</v>
      </c>
      <c r="F465" s="9" t="s">
        <v>39</v>
      </c>
      <c r="G465" s="9" t="s">
        <v>40</v>
      </c>
      <c r="H465" s="9"/>
      <c r="I465" s="9" t="s">
        <v>41</v>
      </c>
      <c r="J465" s="9" t="s">
        <v>47</v>
      </c>
      <c r="K465" s="9" t="n">
        <v>8</v>
      </c>
      <c r="L465" s="9" t="s">
        <v>42</v>
      </c>
      <c r="M465" s="9" t="s">
        <v>42</v>
      </c>
      <c r="N465" s="9" t="s">
        <v>42</v>
      </c>
      <c r="O465" s="9" t="s">
        <v>42</v>
      </c>
      <c r="P465" s="9" t="s">
        <v>42</v>
      </c>
      <c r="Q465" s="9" t="n">
        <v>3594</v>
      </c>
      <c r="R465" s="9" t="s">
        <v>47</v>
      </c>
      <c r="S465" s="9"/>
    </row>
    <row r="466" customFormat="false" ht="15" hidden="false" customHeight="true" outlineLevel="0" collapsed="false">
      <c r="A466" s="9" t="s">
        <v>759</v>
      </c>
      <c r="B466" s="9" t="n">
        <v>15009</v>
      </c>
      <c r="C466" s="9"/>
      <c r="D466" s="9"/>
      <c r="E466" s="9" t="s">
        <v>38</v>
      </c>
      <c r="F466" s="9" t="s">
        <v>39</v>
      </c>
      <c r="G466" s="9" t="s">
        <v>47</v>
      </c>
      <c r="H466" s="9" t="s">
        <v>81</v>
      </c>
      <c r="I466" s="9" t="s">
        <v>41</v>
      </c>
      <c r="J466" s="9" t="s">
        <v>47</v>
      </c>
      <c r="K466" s="9" t="n">
        <v>1</v>
      </c>
      <c r="L466" s="9" t="s">
        <v>42</v>
      </c>
      <c r="M466" s="9" t="s">
        <v>42</v>
      </c>
      <c r="N466" s="9" t="s">
        <v>42</v>
      </c>
      <c r="O466" s="9" t="s">
        <v>42</v>
      </c>
      <c r="P466" s="9" t="s">
        <v>42</v>
      </c>
      <c r="Q466" s="9" t="n">
        <v>0</v>
      </c>
      <c r="R466" s="9" t="s">
        <v>40</v>
      </c>
      <c r="S466" s="9"/>
    </row>
    <row r="467" customFormat="false" ht="15" hidden="false" customHeight="true" outlineLevel="0" collapsed="false">
      <c r="A467" s="9" t="s">
        <v>760</v>
      </c>
      <c r="B467" s="9" t="n">
        <v>33949</v>
      </c>
      <c r="C467" s="9" t="n">
        <v>53</v>
      </c>
      <c r="D467" s="9"/>
      <c r="E467" s="9" t="s">
        <v>44</v>
      </c>
      <c r="F467" s="9" t="s">
        <v>54</v>
      </c>
      <c r="G467" s="9" t="s">
        <v>40</v>
      </c>
      <c r="H467" s="9"/>
      <c r="I467" s="9" t="s">
        <v>41</v>
      </c>
      <c r="J467" s="9" t="s">
        <v>47</v>
      </c>
      <c r="K467" s="9" t="n">
        <v>0</v>
      </c>
      <c r="L467" s="9" t="s">
        <v>42</v>
      </c>
      <c r="M467" s="9" t="s">
        <v>42</v>
      </c>
      <c r="N467" s="9" t="s">
        <v>42</v>
      </c>
      <c r="O467" s="9" t="s">
        <v>42</v>
      </c>
      <c r="P467" s="9" t="s">
        <v>42</v>
      </c>
      <c r="Q467" s="9" t="n">
        <v>0</v>
      </c>
      <c r="R467" s="9" t="s">
        <v>40</v>
      </c>
      <c r="S467" s="9" t="s">
        <v>761</v>
      </c>
    </row>
    <row r="468" customFormat="false" ht="15" hidden="false" customHeight="true" outlineLevel="0" collapsed="false">
      <c r="A468" s="9" t="s">
        <v>762</v>
      </c>
      <c r="B468" s="9" t="n">
        <v>8227</v>
      </c>
      <c r="C468" s="9" t="n">
        <v>27</v>
      </c>
      <c r="D468" s="9"/>
      <c r="E468" s="9" t="s">
        <v>38</v>
      </c>
      <c r="F468" s="9" t="s">
        <v>39</v>
      </c>
      <c r="G468" s="9" t="s">
        <v>40</v>
      </c>
      <c r="H468" s="9"/>
      <c r="I468" s="9" t="s">
        <v>41</v>
      </c>
      <c r="J468" s="9" t="s">
        <v>40</v>
      </c>
      <c r="K468" s="9" t="n">
        <v>0</v>
      </c>
      <c r="L468" s="9" t="s">
        <v>42</v>
      </c>
      <c r="M468" s="9" t="s">
        <v>42</v>
      </c>
      <c r="N468" s="9" t="s">
        <v>42</v>
      </c>
      <c r="O468" s="9" t="s">
        <v>42</v>
      </c>
      <c r="P468" s="9" t="s">
        <v>42</v>
      </c>
      <c r="Q468" s="9" t="n">
        <v>10</v>
      </c>
      <c r="R468" s="9" t="s">
        <v>47</v>
      </c>
      <c r="S468" s="9" t="s">
        <v>763</v>
      </c>
    </row>
    <row r="469" customFormat="false" ht="15" hidden="false" customHeight="true" outlineLevel="0" collapsed="false">
      <c r="A469" s="9" t="s">
        <v>764</v>
      </c>
      <c r="B469" s="9" t="n">
        <v>92029</v>
      </c>
      <c r="C469" s="9"/>
      <c r="D469" s="9"/>
      <c r="E469" s="9" t="s">
        <v>44</v>
      </c>
      <c r="F469" s="9" t="s">
        <v>45</v>
      </c>
      <c r="G469" s="9" t="s">
        <v>47</v>
      </c>
      <c r="H469" s="9"/>
      <c r="I469" s="9" t="s">
        <v>41</v>
      </c>
      <c r="J469" s="9" t="s">
        <v>40</v>
      </c>
      <c r="K469" s="9" t="n">
        <v>0</v>
      </c>
      <c r="L469" s="9" t="s">
        <v>42</v>
      </c>
      <c r="M469" s="9" t="s">
        <v>42</v>
      </c>
      <c r="N469" s="9" t="s">
        <v>42</v>
      </c>
      <c r="O469" s="9" t="s">
        <v>42</v>
      </c>
      <c r="P469" s="9" t="s">
        <v>736</v>
      </c>
      <c r="Q469" s="9" t="n">
        <v>489</v>
      </c>
      <c r="R469" s="9" t="s">
        <v>47</v>
      </c>
      <c r="S469" s="9"/>
    </row>
    <row r="470" customFormat="false" ht="15" hidden="false" customHeight="true" outlineLevel="0" collapsed="false">
      <c r="A470" s="9" t="s">
        <v>765</v>
      </c>
      <c r="B470" s="9" t="n">
        <v>90265</v>
      </c>
      <c r="C470" s="9"/>
      <c r="D470" s="9"/>
      <c r="E470" s="9"/>
      <c r="F470" s="9" t="s">
        <v>39</v>
      </c>
      <c r="G470" s="9" t="s">
        <v>40</v>
      </c>
      <c r="H470" s="9"/>
      <c r="I470" s="9" t="s">
        <v>41</v>
      </c>
      <c r="J470" s="9" t="s">
        <v>40</v>
      </c>
      <c r="K470" s="9" t="n">
        <v>1</v>
      </c>
      <c r="L470" s="9" t="s">
        <v>42</v>
      </c>
      <c r="M470" s="9" t="s">
        <v>42</v>
      </c>
      <c r="N470" s="9" t="s">
        <v>219</v>
      </c>
      <c r="O470" s="9" t="s">
        <v>42</v>
      </c>
      <c r="P470" s="9" t="s">
        <v>42</v>
      </c>
      <c r="Q470" s="9" t="n">
        <v>40</v>
      </c>
      <c r="R470" s="9" t="s">
        <v>47</v>
      </c>
      <c r="S470" s="9"/>
    </row>
    <row r="471" customFormat="false" ht="15" hidden="false" customHeight="true" outlineLevel="0" collapsed="false">
      <c r="A471" s="9" t="s">
        <v>766</v>
      </c>
      <c r="B471" s="9" t="n">
        <v>29570</v>
      </c>
      <c r="C471" s="9" t="n">
        <v>41</v>
      </c>
      <c r="D471" s="9"/>
      <c r="E471" s="9" t="s">
        <v>44</v>
      </c>
      <c r="F471" s="9" t="s">
        <v>39</v>
      </c>
      <c r="G471" s="9" t="s">
        <v>40</v>
      </c>
      <c r="H471" s="9"/>
      <c r="I471" s="9" t="s">
        <v>41</v>
      </c>
      <c r="J471" s="9" t="s">
        <v>40</v>
      </c>
      <c r="K471" s="9" t="n">
        <v>0</v>
      </c>
      <c r="L471" s="9" t="s">
        <v>42</v>
      </c>
      <c r="M471" s="9" t="s">
        <v>42</v>
      </c>
      <c r="N471" s="9" t="s">
        <v>42</v>
      </c>
      <c r="O471" s="9" t="s">
        <v>42</v>
      </c>
      <c r="P471" s="9" t="s">
        <v>42</v>
      </c>
      <c r="Q471" s="9" t="n">
        <v>50</v>
      </c>
      <c r="R471" s="9" t="s">
        <v>47</v>
      </c>
      <c r="S471" s="9" t="s">
        <v>767</v>
      </c>
    </row>
    <row r="472" customFormat="false" ht="15" hidden="false" customHeight="true" outlineLevel="0" collapsed="false">
      <c r="A472" s="9" t="s">
        <v>768</v>
      </c>
      <c r="B472" s="9" t="n">
        <v>95668</v>
      </c>
      <c r="C472" s="9" t="n">
        <v>36</v>
      </c>
      <c r="D472" s="9"/>
      <c r="E472" s="9" t="s">
        <v>44</v>
      </c>
      <c r="F472" s="9" t="s">
        <v>54</v>
      </c>
      <c r="G472" s="9" t="s">
        <v>47</v>
      </c>
      <c r="H472" s="9"/>
      <c r="I472" s="9" t="s">
        <v>41</v>
      </c>
      <c r="J472" s="9" t="s">
        <v>47</v>
      </c>
      <c r="K472" s="9" t="n">
        <v>1</v>
      </c>
      <c r="L472" s="9" t="s">
        <v>42</v>
      </c>
      <c r="M472" s="9" t="s">
        <v>42</v>
      </c>
      <c r="N472" s="9" t="s">
        <v>42</v>
      </c>
      <c r="O472" s="9" t="s">
        <v>42</v>
      </c>
      <c r="P472" s="9" t="s">
        <v>42</v>
      </c>
      <c r="Q472" s="9" t="n">
        <v>0</v>
      </c>
      <c r="R472" s="9" t="s">
        <v>40</v>
      </c>
      <c r="S472" s="9" t="s">
        <v>632</v>
      </c>
    </row>
    <row r="473" customFormat="false" ht="15" hidden="false" customHeight="true" outlineLevel="0" collapsed="false">
      <c r="A473" s="9" t="s">
        <v>769</v>
      </c>
      <c r="B473" s="9" t="n">
        <v>90265</v>
      </c>
      <c r="C473" s="9"/>
      <c r="D473" s="9"/>
      <c r="E473" s="9" t="s">
        <v>38</v>
      </c>
      <c r="F473" s="9" t="s">
        <v>39</v>
      </c>
      <c r="G473" s="9" t="s">
        <v>40</v>
      </c>
      <c r="H473" s="9"/>
      <c r="I473" s="9" t="s">
        <v>41</v>
      </c>
      <c r="J473" s="9" t="s">
        <v>40</v>
      </c>
      <c r="K473" s="9" t="n">
        <v>3</v>
      </c>
      <c r="L473" s="9" t="s">
        <v>42</v>
      </c>
      <c r="M473" s="9" t="s">
        <v>42</v>
      </c>
      <c r="N473" s="9" t="s">
        <v>42</v>
      </c>
      <c r="O473" s="9" t="s">
        <v>42</v>
      </c>
      <c r="P473" s="9" t="s">
        <v>42</v>
      </c>
      <c r="Q473" s="9" t="n">
        <v>0</v>
      </c>
      <c r="R473" s="9" t="s">
        <v>40</v>
      </c>
      <c r="S473" s="9"/>
    </row>
    <row r="474" customFormat="false" ht="15" hidden="false" customHeight="true" outlineLevel="0" collapsed="false">
      <c r="A474" s="9" t="s">
        <v>770</v>
      </c>
      <c r="B474" s="9" t="n">
        <v>50381</v>
      </c>
      <c r="C474" s="9" t="n">
        <v>73</v>
      </c>
      <c r="D474" s="9"/>
      <c r="E474" s="9" t="s">
        <v>38</v>
      </c>
      <c r="F474" s="9" t="s">
        <v>39</v>
      </c>
      <c r="G474" s="9" t="s">
        <v>40</v>
      </c>
      <c r="H474" s="9"/>
      <c r="I474" s="9" t="s">
        <v>41</v>
      </c>
      <c r="J474" s="9" t="s">
        <v>40</v>
      </c>
      <c r="K474" s="9" t="n">
        <v>0</v>
      </c>
      <c r="L474" s="9" t="s">
        <v>42</v>
      </c>
      <c r="M474" s="9" t="s">
        <v>42</v>
      </c>
      <c r="N474" s="9" t="s">
        <v>42</v>
      </c>
      <c r="O474" s="9" t="s">
        <v>42</v>
      </c>
      <c r="P474" s="9" t="s">
        <v>42</v>
      </c>
      <c r="Q474" s="9" t="n">
        <v>25</v>
      </c>
      <c r="R474" s="9" t="s">
        <v>47</v>
      </c>
      <c r="S474" s="9" t="s">
        <v>771</v>
      </c>
    </row>
    <row r="475" customFormat="false" ht="15" hidden="false" customHeight="true" outlineLevel="0" collapsed="false">
      <c r="A475" s="9" t="s">
        <v>772</v>
      </c>
      <c r="B475" s="9" t="n">
        <v>78237</v>
      </c>
      <c r="C475" s="9" t="n">
        <v>69</v>
      </c>
      <c r="D475" s="9"/>
      <c r="E475" s="9" t="s">
        <v>44</v>
      </c>
      <c r="F475" s="9" t="s">
        <v>39</v>
      </c>
      <c r="G475" s="9" t="s">
        <v>40</v>
      </c>
      <c r="H475" s="9"/>
      <c r="I475" s="9" t="s">
        <v>41</v>
      </c>
      <c r="J475" s="9" t="s">
        <v>40</v>
      </c>
      <c r="K475" s="9" t="n">
        <v>0</v>
      </c>
      <c r="L475" s="9" t="s">
        <v>42</v>
      </c>
      <c r="M475" s="9" t="s">
        <v>42</v>
      </c>
      <c r="N475" s="9" t="s">
        <v>42</v>
      </c>
      <c r="O475" s="9" t="s">
        <v>42</v>
      </c>
      <c r="P475" s="9" t="s">
        <v>42</v>
      </c>
      <c r="Q475" s="9" t="n">
        <v>9</v>
      </c>
      <c r="R475" s="9" t="s">
        <v>47</v>
      </c>
      <c r="S475" s="9" t="s">
        <v>773</v>
      </c>
    </row>
    <row r="476" customFormat="false" ht="15" hidden="false" customHeight="true" outlineLevel="0" collapsed="false">
      <c r="A476" s="9" t="s">
        <v>774</v>
      </c>
      <c r="B476" s="9" t="n">
        <v>22211</v>
      </c>
      <c r="C476" s="9"/>
      <c r="D476" s="9"/>
      <c r="E476" s="9" t="s">
        <v>44</v>
      </c>
      <c r="F476" s="9" t="s">
        <v>54</v>
      </c>
      <c r="G476" s="9" t="s">
        <v>40</v>
      </c>
      <c r="H476" s="9"/>
      <c r="I476" s="9"/>
      <c r="J476" s="9" t="s">
        <v>40</v>
      </c>
      <c r="K476" s="9" t="n">
        <v>0</v>
      </c>
      <c r="L476" s="9" t="s">
        <v>42</v>
      </c>
      <c r="M476" s="9" t="s">
        <v>42</v>
      </c>
      <c r="N476" s="9" t="s">
        <v>42</v>
      </c>
      <c r="O476" s="9" t="s">
        <v>42</v>
      </c>
      <c r="P476" s="9" t="s">
        <v>42</v>
      </c>
      <c r="Q476" s="9" t="n">
        <v>0</v>
      </c>
      <c r="R476" s="9" t="s">
        <v>40</v>
      </c>
      <c r="S476" s="9"/>
    </row>
    <row r="477" customFormat="false" ht="15" hidden="false" customHeight="true" outlineLevel="0" collapsed="false">
      <c r="A477" s="9" t="s">
        <v>775</v>
      </c>
      <c r="B477" s="9" t="n">
        <v>18324</v>
      </c>
      <c r="C477" s="9"/>
      <c r="D477" s="9"/>
      <c r="E477" s="9" t="s">
        <v>38</v>
      </c>
      <c r="F477" s="9" t="s">
        <v>39</v>
      </c>
      <c r="G477" s="9" t="s">
        <v>47</v>
      </c>
      <c r="H477" s="9"/>
      <c r="I477" s="9" t="s">
        <v>41</v>
      </c>
      <c r="J477" s="9" t="s">
        <v>40</v>
      </c>
      <c r="K477" s="9" t="n">
        <v>4</v>
      </c>
      <c r="L477" s="9" t="s">
        <v>63</v>
      </c>
      <c r="M477" s="9" t="s">
        <v>42</v>
      </c>
      <c r="N477" s="9" t="s">
        <v>42</v>
      </c>
      <c r="O477" s="9" t="s">
        <v>42</v>
      </c>
      <c r="P477" s="9" t="s">
        <v>42</v>
      </c>
      <c r="Q477" s="9" t="n">
        <v>100</v>
      </c>
      <c r="R477" s="9" t="s">
        <v>47</v>
      </c>
      <c r="S477" s="9"/>
    </row>
    <row r="478" customFormat="false" ht="15" hidden="false" customHeight="true" outlineLevel="0" collapsed="false">
      <c r="A478" s="9" t="s">
        <v>776</v>
      </c>
      <c r="B478" s="9" t="n">
        <v>4936</v>
      </c>
      <c r="C478" s="9"/>
      <c r="D478" s="9" t="s">
        <v>83</v>
      </c>
      <c r="E478" s="9" t="s">
        <v>44</v>
      </c>
      <c r="F478" s="9" t="s">
        <v>39</v>
      </c>
      <c r="G478" s="9" t="s">
        <v>40</v>
      </c>
      <c r="H478" s="9"/>
      <c r="I478" s="9"/>
      <c r="J478" s="9" t="s">
        <v>40</v>
      </c>
      <c r="K478" s="9" t="n">
        <v>0</v>
      </c>
      <c r="L478" s="9" t="s">
        <v>42</v>
      </c>
      <c r="M478" s="9" t="s">
        <v>42</v>
      </c>
      <c r="N478" s="9" t="s">
        <v>42</v>
      </c>
      <c r="O478" s="9" t="s">
        <v>42</v>
      </c>
      <c r="P478" s="9" t="s">
        <v>42</v>
      </c>
      <c r="Q478" s="9" t="n">
        <v>245</v>
      </c>
      <c r="R478" s="9" t="s">
        <v>47</v>
      </c>
      <c r="S478" s="9"/>
    </row>
    <row r="479" customFormat="false" ht="15" hidden="false" customHeight="true" outlineLevel="0" collapsed="false">
      <c r="A479" s="9" t="s">
        <v>777</v>
      </c>
      <c r="B479" s="9" t="n">
        <v>90265</v>
      </c>
      <c r="C479" s="9"/>
      <c r="D479" s="9"/>
      <c r="E479" s="9" t="s">
        <v>38</v>
      </c>
      <c r="F479" s="9" t="s">
        <v>39</v>
      </c>
      <c r="G479" s="9" t="s">
        <v>40</v>
      </c>
      <c r="H479" s="9"/>
      <c r="I479" s="9" t="s">
        <v>46</v>
      </c>
      <c r="J479" s="9" t="s">
        <v>40</v>
      </c>
      <c r="K479" s="9" t="n">
        <v>1</v>
      </c>
      <c r="L479" s="9" t="s">
        <v>42</v>
      </c>
      <c r="M479" s="9" t="s">
        <v>42</v>
      </c>
      <c r="N479" s="9" t="s">
        <v>42</v>
      </c>
      <c r="O479" s="9" t="s">
        <v>42</v>
      </c>
      <c r="P479" s="9" t="s">
        <v>42</v>
      </c>
      <c r="Q479" s="9" t="n">
        <v>65</v>
      </c>
      <c r="R479" s="9" t="s">
        <v>47</v>
      </c>
      <c r="S479" s="9"/>
    </row>
    <row r="480" customFormat="false" ht="15" hidden="false" customHeight="true" outlineLevel="0" collapsed="false">
      <c r="A480" s="9" t="s">
        <v>778</v>
      </c>
      <c r="B480" s="9" t="n">
        <v>63436</v>
      </c>
      <c r="C480" s="9" t="n">
        <v>24</v>
      </c>
      <c r="D480" s="9"/>
      <c r="E480" s="9" t="s">
        <v>38</v>
      </c>
      <c r="F480" s="9" t="s">
        <v>39</v>
      </c>
      <c r="G480" s="9" t="s">
        <v>40</v>
      </c>
      <c r="H480" s="9" t="s">
        <v>226</v>
      </c>
      <c r="I480" s="9" t="s">
        <v>41</v>
      </c>
      <c r="J480" s="9" t="s">
        <v>47</v>
      </c>
      <c r="K480" s="9" t="n">
        <v>0</v>
      </c>
      <c r="L480" s="9" t="s">
        <v>42</v>
      </c>
      <c r="M480" s="9" t="s">
        <v>42</v>
      </c>
      <c r="N480" s="9" t="s">
        <v>42</v>
      </c>
      <c r="O480" s="9" t="s">
        <v>42</v>
      </c>
      <c r="P480" s="9" t="s">
        <v>42</v>
      </c>
      <c r="Q480" s="9" t="n">
        <v>50</v>
      </c>
      <c r="R480" s="9" t="s">
        <v>47</v>
      </c>
      <c r="S480" s="9" t="s">
        <v>779</v>
      </c>
    </row>
    <row r="481" customFormat="false" ht="15" hidden="false" customHeight="true" outlineLevel="0" collapsed="false">
      <c r="A481" s="9" t="s">
        <v>780</v>
      </c>
      <c r="B481" s="9" t="n">
        <v>85018</v>
      </c>
      <c r="C481" s="9"/>
      <c r="D481" s="9"/>
      <c r="E481" s="9" t="s">
        <v>44</v>
      </c>
      <c r="F481" s="9" t="s">
        <v>39</v>
      </c>
      <c r="G481" s="9" t="s">
        <v>40</v>
      </c>
      <c r="H481" s="9" t="s">
        <v>177</v>
      </c>
      <c r="I481" s="9" t="s">
        <v>41</v>
      </c>
      <c r="J481" s="9" t="s">
        <v>40</v>
      </c>
      <c r="K481" s="9" t="n">
        <v>1</v>
      </c>
      <c r="L481" s="9" t="s">
        <v>42</v>
      </c>
      <c r="M481" s="9" t="s">
        <v>42</v>
      </c>
      <c r="N481" s="9" t="s">
        <v>57</v>
      </c>
      <c r="O481" s="9" t="s">
        <v>42</v>
      </c>
      <c r="P481" s="9" t="s">
        <v>89</v>
      </c>
      <c r="Q481" s="9" t="n">
        <v>60</v>
      </c>
      <c r="R481" s="9" t="s">
        <v>47</v>
      </c>
      <c r="S481" s="9"/>
    </row>
    <row r="482" customFormat="false" ht="15" hidden="false" customHeight="true" outlineLevel="0" collapsed="false">
      <c r="A482" s="9" t="s">
        <v>781</v>
      </c>
      <c r="B482" s="9" t="n">
        <v>9868</v>
      </c>
      <c r="C482" s="9" t="n">
        <v>23</v>
      </c>
      <c r="D482" s="9"/>
      <c r="E482" s="9" t="s">
        <v>38</v>
      </c>
      <c r="F482" s="9" t="s">
        <v>39</v>
      </c>
      <c r="G482" s="9" t="s">
        <v>40</v>
      </c>
      <c r="H482" s="9"/>
      <c r="I482" s="9" t="s">
        <v>41</v>
      </c>
      <c r="J482" s="9" t="s">
        <v>40</v>
      </c>
      <c r="K482" s="9" t="n">
        <v>0</v>
      </c>
      <c r="L482" s="9" t="s">
        <v>42</v>
      </c>
      <c r="M482" s="9" t="s">
        <v>42</v>
      </c>
      <c r="N482" s="9" t="s">
        <v>42</v>
      </c>
      <c r="O482" s="9" t="s">
        <v>42</v>
      </c>
      <c r="P482" s="9" t="s">
        <v>42</v>
      </c>
      <c r="Q482" s="9" t="n">
        <v>245</v>
      </c>
      <c r="R482" s="9" t="s">
        <v>47</v>
      </c>
      <c r="S482" s="9" t="s">
        <v>782</v>
      </c>
    </row>
    <row r="483" customFormat="false" ht="15" hidden="false" customHeight="true" outlineLevel="0" collapsed="false">
      <c r="A483" s="9" t="s">
        <v>783</v>
      </c>
      <c r="B483" s="9" t="n">
        <v>1033</v>
      </c>
      <c r="C483" s="9"/>
      <c r="D483" s="9" t="s">
        <v>62</v>
      </c>
      <c r="E483" s="9" t="s">
        <v>44</v>
      </c>
      <c r="F483" s="9" t="s">
        <v>45</v>
      </c>
      <c r="G483" s="9" t="s">
        <v>40</v>
      </c>
      <c r="H483" s="9"/>
      <c r="I483" s="9" t="s">
        <v>41</v>
      </c>
      <c r="J483" s="9" t="s">
        <v>40</v>
      </c>
      <c r="K483" s="9" t="n">
        <v>0</v>
      </c>
      <c r="L483" s="9" t="s">
        <v>42</v>
      </c>
      <c r="M483" s="9" t="s">
        <v>42</v>
      </c>
      <c r="N483" s="9" t="s">
        <v>42</v>
      </c>
      <c r="O483" s="9" t="s">
        <v>42</v>
      </c>
      <c r="P483" s="9" t="s">
        <v>42</v>
      </c>
      <c r="Q483" s="9" t="n">
        <v>0</v>
      </c>
      <c r="R483" s="9" t="s">
        <v>40</v>
      </c>
      <c r="S483" s="9"/>
    </row>
    <row r="484" customFormat="false" ht="15" hidden="false" customHeight="true" outlineLevel="0" collapsed="false">
      <c r="A484" s="9" t="s">
        <v>784</v>
      </c>
      <c r="B484" s="9" t="n">
        <v>2861</v>
      </c>
      <c r="C484" s="9"/>
      <c r="D484" s="9"/>
      <c r="E484" s="9" t="s">
        <v>44</v>
      </c>
      <c r="F484" s="9" t="s">
        <v>39</v>
      </c>
      <c r="G484" s="9" t="s">
        <v>40</v>
      </c>
      <c r="H484" s="9"/>
      <c r="I484" s="9" t="s">
        <v>41</v>
      </c>
      <c r="J484" s="9" t="s">
        <v>47</v>
      </c>
      <c r="K484" s="9" t="n">
        <v>3</v>
      </c>
      <c r="L484" s="9" t="s">
        <v>42</v>
      </c>
      <c r="M484" s="9" t="s">
        <v>42</v>
      </c>
      <c r="N484" s="9" t="s">
        <v>42</v>
      </c>
      <c r="O484" s="9" t="s">
        <v>42</v>
      </c>
      <c r="P484" s="9" t="s">
        <v>42</v>
      </c>
      <c r="Q484" s="9" t="n">
        <v>30</v>
      </c>
      <c r="R484" s="9" t="s">
        <v>47</v>
      </c>
      <c r="S484" s="9"/>
    </row>
    <row r="485" customFormat="false" ht="15" hidden="false" customHeight="true" outlineLevel="0" collapsed="false">
      <c r="A485" s="9" t="s">
        <v>785</v>
      </c>
      <c r="B485" s="9" t="n">
        <v>39885</v>
      </c>
      <c r="C485" s="9" t="n">
        <v>37</v>
      </c>
      <c r="D485" s="9"/>
      <c r="E485" s="9" t="s">
        <v>44</v>
      </c>
      <c r="F485" s="9" t="s">
        <v>54</v>
      </c>
      <c r="G485" s="9" t="s">
        <v>47</v>
      </c>
      <c r="H485" s="9"/>
      <c r="I485" s="9" t="s">
        <v>41</v>
      </c>
      <c r="J485" s="9" t="s">
        <v>47</v>
      </c>
      <c r="K485" s="9" t="n">
        <v>0</v>
      </c>
      <c r="L485" s="9" t="s">
        <v>42</v>
      </c>
      <c r="M485" s="9" t="s">
        <v>42</v>
      </c>
      <c r="N485" s="9" t="s">
        <v>42</v>
      </c>
      <c r="O485" s="9" t="s">
        <v>42</v>
      </c>
      <c r="P485" s="9" t="s">
        <v>42</v>
      </c>
      <c r="Q485" s="9" t="n">
        <v>0</v>
      </c>
      <c r="R485" s="9" t="s">
        <v>40</v>
      </c>
      <c r="S485" s="9" t="s">
        <v>786</v>
      </c>
    </row>
    <row r="486" customFormat="false" ht="15" hidden="false" customHeight="true" outlineLevel="0" collapsed="false">
      <c r="A486" s="9" t="s">
        <v>787</v>
      </c>
      <c r="B486" s="9" t="n">
        <v>46928</v>
      </c>
      <c r="C486" s="9"/>
      <c r="D486" s="9"/>
      <c r="E486" s="9" t="s">
        <v>44</v>
      </c>
      <c r="F486" s="9" t="s">
        <v>39</v>
      </c>
      <c r="G486" s="9" t="s">
        <v>47</v>
      </c>
      <c r="H486" s="9"/>
      <c r="I486" s="9" t="s">
        <v>41</v>
      </c>
      <c r="J486" s="9" t="s">
        <v>40</v>
      </c>
      <c r="K486" s="9" t="n">
        <v>7</v>
      </c>
      <c r="L486" s="9" t="s">
        <v>788</v>
      </c>
      <c r="M486" s="9" t="s">
        <v>42</v>
      </c>
      <c r="N486" s="9" t="s">
        <v>736</v>
      </c>
      <c r="O486" s="9" t="s">
        <v>100</v>
      </c>
      <c r="P486" s="9" t="s">
        <v>42</v>
      </c>
      <c r="Q486" s="9" t="n">
        <v>1025</v>
      </c>
      <c r="R486" s="9" t="s">
        <v>47</v>
      </c>
      <c r="S486" s="9"/>
    </row>
    <row r="487" customFormat="false" ht="15" hidden="false" customHeight="true" outlineLevel="0" collapsed="false">
      <c r="A487" s="9" t="s">
        <v>789</v>
      </c>
      <c r="B487" s="9" t="n">
        <v>30707</v>
      </c>
      <c r="C487" s="9" t="n">
        <v>59</v>
      </c>
      <c r="D487" s="9" t="s">
        <v>83</v>
      </c>
      <c r="E487" s="9" t="s">
        <v>44</v>
      </c>
      <c r="F487" s="9" t="s">
        <v>54</v>
      </c>
      <c r="G487" s="9" t="s">
        <v>47</v>
      </c>
      <c r="H487" s="9"/>
      <c r="I487" s="9" t="s">
        <v>41</v>
      </c>
      <c r="J487" s="9" t="s">
        <v>47</v>
      </c>
      <c r="K487" s="9" t="n">
        <v>0</v>
      </c>
      <c r="L487" s="9" t="s">
        <v>42</v>
      </c>
      <c r="M487" s="9" t="s">
        <v>42</v>
      </c>
      <c r="N487" s="9" t="s">
        <v>42</v>
      </c>
      <c r="O487" s="9" t="s">
        <v>42</v>
      </c>
      <c r="P487" s="9" t="s">
        <v>42</v>
      </c>
      <c r="Q487" s="9" t="n">
        <v>0</v>
      </c>
      <c r="R487" s="9" t="s">
        <v>40</v>
      </c>
      <c r="S487" s="9" t="s">
        <v>790</v>
      </c>
    </row>
    <row r="488" customFormat="false" ht="15" hidden="false" customHeight="true" outlineLevel="0" collapsed="false">
      <c r="A488" s="9" t="s">
        <v>791</v>
      </c>
      <c r="B488" s="9" t="n">
        <v>53935</v>
      </c>
      <c r="C488" s="9" t="n">
        <v>64</v>
      </c>
      <c r="D488" s="9"/>
      <c r="E488" s="9" t="s">
        <v>38</v>
      </c>
      <c r="F488" s="9" t="s">
        <v>39</v>
      </c>
      <c r="G488" s="9" t="s">
        <v>40</v>
      </c>
      <c r="H488" s="9"/>
      <c r="I488" s="9" t="s">
        <v>41</v>
      </c>
      <c r="J488" s="9" t="s">
        <v>40</v>
      </c>
      <c r="K488" s="9" t="n">
        <v>0</v>
      </c>
      <c r="L488" s="9" t="s">
        <v>42</v>
      </c>
      <c r="M488" s="9" t="s">
        <v>42</v>
      </c>
      <c r="N488" s="9" t="s">
        <v>42</v>
      </c>
      <c r="O488" s="9" t="s">
        <v>42</v>
      </c>
      <c r="P488" s="9" t="s">
        <v>42</v>
      </c>
      <c r="Q488" s="9" t="n">
        <v>0</v>
      </c>
      <c r="R488" s="9" t="s">
        <v>40</v>
      </c>
      <c r="S488" s="9" t="s">
        <v>792</v>
      </c>
    </row>
    <row r="489" customFormat="false" ht="15" hidden="false" customHeight="true" outlineLevel="0" collapsed="false">
      <c r="A489" s="9" t="s">
        <v>793</v>
      </c>
      <c r="B489" s="9" t="n">
        <v>64078</v>
      </c>
      <c r="C489" s="9"/>
      <c r="D489" s="9"/>
      <c r="E489" s="9" t="s">
        <v>38</v>
      </c>
      <c r="F489" s="9" t="s">
        <v>39</v>
      </c>
      <c r="G489" s="9" t="s">
        <v>40</v>
      </c>
      <c r="H489" s="9"/>
      <c r="I489" s="9" t="s">
        <v>41</v>
      </c>
      <c r="J489" s="9" t="s">
        <v>40</v>
      </c>
      <c r="K489" s="9" t="n">
        <v>1</v>
      </c>
      <c r="L489" s="9" t="s">
        <v>42</v>
      </c>
      <c r="M489" s="9" t="s">
        <v>42</v>
      </c>
      <c r="N489" s="9" t="s">
        <v>42</v>
      </c>
      <c r="O489" s="9" t="s">
        <v>42</v>
      </c>
      <c r="P489" s="9" t="s">
        <v>42</v>
      </c>
      <c r="Q489" s="9" t="n">
        <v>0</v>
      </c>
      <c r="R489" s="9" t="s">
        <v>40</v>
      </c>
      <c r="S489" s="9"/>
    </row>
    <row r="490" customFormat="false" ht="15" hidden="false" customHeight="true" outlineLevel="0" collapsed="false">
      <c r="A490" s="9" t="s">
        <v>794</v>
      </c>
      <c r="B490" s="9" t="n">
        <v>20553</v>
      </c>
      <c r="C490" s="9" t="n">
        <v>53</v>
      </c>
      <c r="D490" s="9"/>
      <c r="E490" s="9" t="s">
        <v>38</v>
      </c>
      <c r="F490" s="9" t="s">
        <v>39</v>
      </c>
      <c r="G490" s="9" t="s">
        <v>40</v>
      </c>
      <c r="H490" s="9"/>
      <c r="I490" s="9" t="s">
        <v>41</v>
      </c>
      <c r="J490" s="9" t="s">
        <v>40</v>
      </c>
      <c r="K490" s="9" t="n">
        <v>0</v>
      </c>
      <c r="L490" s="9" t="s">
        <v>42</v>
      </c>
      <c r="M490" s="9" t="s">
        <v>42</v>
      </c>
      <c r="N490" s="9" t="s">
        <v>42</v>
      </c>
      <c r="O490" s="9" t="s">
        <v>42</v>
      </c>
      <c r="P490" s="9" t="s">
        <v>42</v>
      </c>
      <c r="Q490" s="9" t="n">
        <v>120</v>
      </c>
      <c r="R490" s="9" t="s">
        <v>47</v>
      </c>
      <c r="S490" s="9" t="s">
        <v>795</v>
      </c>
    </row>
    <row r="491" customFormat="false" ht="15" hidden="false" customHeight="true" outlineLevel="0" collapsed="false">
      <c r="A491" s="9" t="s">
        <v>796</v>
      </c>
      <c r="B491" s="9" t="n">
        <v>73101</v>
      </c>
      <c r="C491" s="9"/>
      <c r="D491" s="9" t="s">
        <v>62</v>
      </c>
      <c r="E491" s="9" t="s">
        <v>44</v>
      </c>
      <c r="F491" s="9" t="s">
        <v>45</v>
      </c>
      <c r="G491" s="9" t="s">
        <v>40</v>
      </c>
      <c r="H491" s="9"/>
      <c r="I491" s="9"/>
      <c r="J491" s="9" t="s">
        <v>47</v>
      </c>
      <c r="K491" s="9" t="n">
        <v>0</v>
      </c>
      <c r="L491" s="9" t="s">
        <v>42</v>
      </c>
      <c r="M491" s="9" t="s">
        <v>42</v>
      </c>
      <c r="N491" s="9" t="s">
        <v>42</v>
      </c>
      <c r="O491" s="9" t="s">
        <v>42</v>
      </c>
      <c r="P491" s="9" t="s">
        <v>528</v>
      </c>
      <c r="Q491" s="9" t="n">
        <v>70</v>
      </c>
      <c r="R491" s="9" t="s">
        <v>47</v>
      </c>
      <c r="S491" s="9"/>
    </row>
    <row r="492" customFormat="false" ht="15" hidden="false" customHeight="true" outlineLevel="0" collapsed="false">
      <c r="A492" s="9" t="s">
        <v>797</v>
      </c>
      <c r="B492" s="9" t="n">
        <v>30812</v>
      </c>
      <c r="C492" s="9"/>
      <c r="D492" s="9" t="s">
        <v>62</v>
      </c>
      <c r="E492" s="9" t="s">
        <v>38</v>
      </c>
      <c r="F492" s="9" t="s">
        <v>45</v>
      </c>
      <c r="G492" s="9" t="s">
        <v>40</v>
      </c>
      <c r="H492" s="9"/>
      <c r="I492" s="9" t="s">
        <v>46</v>
      </c>
      <c r="J492" s="9" t="s">
        <v>47</v>
      </c>
      <c r="K492" s="9" t="n">
        <v>0</v>
      </c>
      <c r="L492" s="9" t="s">
        <v>42</v>
      </c>
      <c r="M492" s="9" t="s">
        <v>42</v>
      </c>
      <c r="N492" s="9" t="s">
        <v>42</v>
      </c>
      <c r="O492" s="9" t="s">
        <v>42</v>
      </c>
      <c r="P492" s="9" t="s">
        <v>42</v>
      </c>
      <c r="Q492" s="9" t="n">
        <v>0</v>
      </c>
      <c r="R492" s="9" t="s">
        <v>40</v>
      </c>
      <c r="S492" s="9"/>
    </row>
    <row r="493" customFormat="false" ht="15" hidden="false" customHeight="true" outlineLevel="0" collapsed="false">
      <c r="A493" s="9" t="s">
        <v>798</v>
      </c>
      <c r="B493" s="9" t="n">
        <v>74840</v>
      </c>
      <c r="C493" s="9" t="n">
        <v>76</v>
      </c>
      <c r="D493" s="9"/>
      <c r="E493" s="9" t="s">
        <v>38</v>
      </c>
      <c r="F493" s="9" t="s">
        <v>39</v>
      </c>
      <c r="G493" s="9" t="s">
        <v>40</v>
      </c>
      <c r="H493" s="9"/>
      <c r="I493" s="9" t="s">
        <v>41</v>
      </c>
      <c r="J493" s="9" t="s">
        <v>40</v>
      </c>
      <c r="K493" s="9" t="n">
        <v>0</v>
      </c>
      <c r="L493" s="9" t="s">
        <v>42</v>
      </c>
      <c r="M493" s="9" t="s">
        <v>42</v>
      </c>
      <c r="N493" s="9" t="s">
        <v>42</v>
      </c>
      <c r="O493" s="9" t="s">
        <v>42</v>
      </c>
      <c r="P493" s="9" t="s">
        <v>42</v>
      </c>
      <c r="Q493" s="9" t="n">
        <v>84</v>
      </c>
      <c r="R493" s="9" t="s">
        <v>47</v>
      </c>
      <c r="S493" s="9" t="s">
        <v>799</v>
      </c>
    </row>
    <row r="494" customFormat="false" ht="15" hidden="false" customHeight="true" outlineLevel="0" collapsed="false">
      <c r="A494" s="9" t="s">
        <v>800</v>
      </c>
      <c r="B494" s="9" t="n">
        <v>16833</v>
      </c>
      <c r="C494" s="9" t="n">
        <v>27</v>
      </c>
      <c r="D494" s="9"/>
      <c r="E494" s="9" t="s">
        <v>38</v>
      </c>
      <c r="F494" s="9" t="s">
        <v>39</v>
      </c>
      <c r="G494" s="9" t="s">
        <v>40</v>
      </c>
      <c r="H494" s="9"/>
      <c r="I494" s="9" t="s">
        <v>41</v>
      </c>
      <c r="J494" s="9" t="s">
        <v>40</v>
      </c>
      <c r="K494" s="9" t="n">
        <v>0</v>
      </c>
      <c r="L494" s="9" t="s">
        <v>42</v>
      </c>
      <c r="M494" s="9" t="s">
        <v>42</v>
      </c>
      <c r="N494" s="9" t="s">
        <v>42</v>
      </c>
      <c r="O494" s="9" t="s">
        <v>42</v>
      </c>
      <c r="P494" s="9" t="s">
        <v>42</v>
      </c>
      <c r="Q494" s="9" t="n">
        <v>0</v>
      </c>
      <c r="R494" s="9" t="s">
        <v>40</v>
      </c>
      <c r="S494" s="9" t="s">
        <v>801</v>
      </c>
    </row>
    <row r="495" customFormat="false" ht="15" hidden="false" customHeight="true" outlineLevel="0" collapsed="false">
      <c r="A495" s="9" t="s">
        <v>802</v>
      </c>
      <c r="B495" s="9" t="n">
        <v>54819</v>
      </c>
      <c r="C495" s="9"/>
      <c r="D495" s="9"/>
      <c r="E495" s="9" t="s">
        <v>44</v>
      </c>
      <c r="F495" s="9" t="s">
        <v>39</v>
      </c>
      <c r="G495" s="9" t="s">
        <v>40</v>
      </c>
      <c r="H495" s="9"/>
      <c r="I495" s="9" t="s">
        <v>41</v>
      </c>
      <c r="J495" s="9" t="s">
        <v>40</v>
      </c>
      <c r="K495" s="9" t="n">
        <v>2</v>
      </c>
      <c r="L495" s="9" t="s">
        <v>42</v>
      </c>
      <c r="M495" s="9" t="s">
        <v>42</v>
      </c>
      <c r="N495" s="9" t="s">
        <v>42</v>
      </c>
      <c r="O495" s="9" t="s">
        <v>42</v>
      </c>
      <c r="P495" s="9" t="s">
        <v>42</v>
      </c>
      <c r="Q495" s="9" t="n">
        <v>10</v>
      </c>
      <c r="R495" s="9" t="s">
        <v>47</v>
      </c>
      <c r="S495" s="9"/>
    </row>
    <row r="496" customFormat="false" ht="15" hidden="false" customHeight="true" outlineLevel="0" collapsed="false">
      <c r="A496" s="9" t="s">
        <v>803</v>
      </c>
      <c r="B496" s="9" t="n">
        <v>48836</v>
      </c>
      <c r="C496" s="9"/>
      <c r="D496" s="9"/>
      <c r="E496" s="9" t="s">
        <v>44</v>
      </c>
      <c r="F496" s="9" t="s">
        <v>39</v>
      </c>
      <c r="G496" s="9" t="s">
        <v>40</v>
      </c>
      <c r="H496" s="9"/>
      <c r="I496" s="9" t="s">
        <v>41</v>
      </c>
      <c r="J496" s="9" t="s">
        <v>40</v>
      </c>
      <c r="K496" s="9" t="n">
        <v>1</v>
      </c>
      <c r="L496" s="9" t="s">
        <v>42</v>
      </c>
      <c r="M496" s="9" t="s">
        <v>42</v>
      </c>
      <c r="N496" s="9" t="s">
        <v>42</v>
      </c>
      <c r="O496" s="9" t="s">
        <v>42</v>
      </c>
      <c r="P496" s="9" t="s">
        <v>63</v>
      </c>
      <c r="Q496" s="9" t="n">
        <v>100</v>
      </c>
      <c r="R496" s="9" t="s">
        <v>47</v>
      </c>
      <c r="S496" s="9"/>
    </row>
    <row r="497" customFormat="false" ht="15" hidden="false" customHeight="true" outlineLevel="0" collapsed="false">
      <c r="A497" s="9" t="s">
        <v>804</v>
      </c>
      <c r="B497" s="9" t="n">
        <v>33336</v>
      </c>
      <c r="C497" s="9"/>
      <c r="D497" s="9" t="s">
        <v>83</v>
      </c>
      <c r="E497" s="9" t="s">
        <v>38</v>
      </c>
      <c r="F497" s="9" t="s">
        <v>39</v>
      </c>
      <c r="G497" s="9" t="s">
        <v>40</v>
      </c>
      <c r="H497" s="9"/>
      <c r="I497" s="9"/>
      <c r="J497" s="9" t="s">
        <v>40</v>
      </c>
      <c r="K497" s="9" t="n">
        <v>0</v>
      </c>
      <c r="L497" s="9" t="s">
        <v>42</v>
      </c>
      <c r="M497" s="9" t="s">
        <v>57</v>
      </c>
      <c r="N497" s="9" t="s">
        <v>42</v>
      </c>
      <c r="O497" s="9" t="s">
        <v>42</v>
      </c>
      <c r="P497" s="9" t="s">
        <v>42</v>
      </c>
      <c r="Q497" s="9" t="n">
        <v>1</v>
      </c>
      <c r="R497" s="9" t="s">
        <v>47</v>
      </c>
      <c r="S497" s="9"/>
    </row>
    <row r="498" customFormat="false" ht="15" hidden="false" customHeight="true" outlineLevel="0" collapsed="false">
      <c r="A498" s="9" t="s">
        <v>805</v>
      </c>
      <c r="B498" s="9" t="n">
        <v>9611</v>
      </c>
      <c r="C498" s="9"/>
      <c r="D498" s="9" t="s">
        <v>62</v>
      </c>
      <c r="E498" s="9" t="s">
        <v>38</v>
      </c>
      <c r="F498" s="9" t="s">
        <v>39</v>
      </c>
      <c r="G498" s="9" t="s">
        <v>40</v>
      </c>
      <c r="H498" s="9"/>
      <c r="I498" s="9" t="s">
        <v>41</v>
      </c>
      <c r="J498" s="9" t="s">
        <v>40</v>
      </c>
      <c r="K498" s="9" t="n">
        <v>0</v>
      </c>
      <c r="L498" s="9" t="s">
        <v>42</v>
      </c>
      <c r="M498" s="9" t="s">
        <v>42</v>
      </c>
      <c r="N498" s="9" t="s">
        <v>42</v>
      </c>
      <c r="O498" s="9" t="s">
        <v>42</v>
      </c>
      <c r="P498" s="9" t="s">
        <v>42</v>
      </c>
      <c r="Q498" s="9" t="n">
        <v>75</v>
      </c>
      <c r="R498" s="9" t="s">
        <v>47</v>
      </c>
      <c r="S498" s="9"/>
    </row>
    <row r="499" customFormat="false" ht="15" hidden="false" customHeight="true" outlineLevel="0" collapsed="false">
      <c r="A499" s="9" t="s">
        <v>806</v>
      </c>
      <c r="B499" s="9" t="n">
        <v>90265</v>
      </c>
      <c r="C499" s="9"/>
      <c r="D499" s="9"/>
      <c r="E499" s="9" t="s">
        <v>44</v>
      </c>
      <c r="F499" s="9" t="s">
        <v>39</v>
      </c>
      <c r="G499" s="9" t="s">
        <v>40</v>
      </c>
      <c r="H499" s="9" t="s">
        <v>159</v>
      </c>
      <c r="I499" s="9"/>
      <c r="J499" s="9" t="s">
        <v>40</v>
      </c>
      <c r="K499" s="9" t="n">
        <v>0</v>
      </c>
      <c r="L499" s="9" t="s">
        <v>42</v>
      </c>
      <c r="M499" s="9" t="s">
        <v>42</v>
      </c>
      <c r="N499" s="9" t="s">
        <v>42</v>
      </c>
      <c r="O499" s="9" t="s">
        <v>57</v>
      </c>
      <c r="P499" s="9" t="s">
        <v>42</v>
      </c>
      <c r="Q499" s="9" t="n">
        <v>1</v>
      </c>
      <c r="R499" s="9" t="s">
        <v>47</v>
      </c>
      <c r="S499" s="9"/>
    </row>
    <row r="500" customFormat="false" ht="15" hidden="false" customHeight="true" outlineLevel="0" collapsed="false">
      <c r="A500" s="9" t="s">
        <v>807</v>
      </c>
      <c r="B500" s="9" t="n">
        <v>77318</v>
      </c>
      <c r="C500" s="9"/>
      <c r="D500" s="9"/>
      <c r="E500" s="9" t="s">
        <v>44</v>
      </c>
      <c r="F500" s="9" t="s">
        <v>54</v>
      </c>
      <c r="G500" s="9" t="s">
        <v>40</v>
      </c>
      <c r="H500" s="9"/>
      <c r="I500" s="9"/>
      <c r="J500" s="9" t="s">
        <v>40</v>
      </c>
      <c r="K500" s="9" t="n">
        <v>0</v>
      </c>
      <c r="L500" s="9" t="s">
        <v>42</v>
      </c>
      <c r="M500" s="9" t="s">
        <v>42</v>
      </c>
      <c r="N500" s="9" t="s">
        <v>42</v>
      </c>
      <c r="O500" s="9" t="s">
        <v>42</v>
      </c>
      <c r="P500" s="9" t="s">
        <v>42</v>
      </c>
      <c r="Q500" s="9" t="n">
        <v>0</v>
      </c>
      <c r="R500" s="9" t="s">
        <v>40</v>
      </c>
      <c r="S500" s="9"/>
    </row>
    <row r="501" customFormat="false" ht="15" hidden="false" customHeight="true" outlineLevel="0" collapsed="false">
      <c r="A501" s="9" t="s">
        <v>808</v>
      </c>
      <c r="B501" s="9" t="n">
        <v>98568</v>
      </c>
      <c r="C501" s="9" t="n">
        <v>76</v>
      </c>
      <c r="D501" s="9"/>
      <c r="E501" s="9" t="s">
        <v>44</v>
      </c>
      <c r="F501" s="9" t="s">
        <v>39</v>
      </c>
      <c r="G501" s="9" t="s">
        <v>40</v>
      </c>
      <c r="H501" s="9"/>
      <c r="I501" s="9" t="s">
        <v>41</v>
      </c>
      <c r="J501" s="9" t="s">
        <v>47</v>
      </c>
      <c r="K501" s="9" t="n">
        <v>0</v>
      </c>
      <c r="L501" s="9" t="s">
        <v>42</v>
      </c>
      <c r="M501" s="9" t="s">
        <v>42</v>
      </c>
      <c r="N501" s="9" t="s">
        <v>42</v>
      </c>
      <c r="O501" s="9" t="s">
        <v>42</v>
      </c>
      <c r="P501" s="9" t="s">
        <v>42</v>
      </c>
      <c r="Q501" s="9" t="n">
        <v>40</v>
      </c>
      <c r="R501" s="9" t="s">
        <v>47</v>
      </c>
      <c r="S501" s="9" t="s">
        <v>809</v>
      </c>
    </row>
    <row r="502" customFormat="false" ht="15" hidden="false" customHeight="true" outlineLevel="0" collapsed="false">
      <c r="A502" s="9" t="s">
        <v>810</v>
      </c>
      <c r="B502" s="9" t="n">
        <v>61427</v>
      </c>
      <c r="C502" s="9" t="n">
        <v>50</v>
      </c>
      <c r="D502" s="9" t="s">
        <v>62</v>
      </c>
      <c r="E502" s="9" t="s">
        <v>38</v>
      </c>
      <c r="F502" s="9" t="s">
        <v>54</v>
      </c>
      <c r="G502" s="9" t="s">
        <v>40</v>
      </c>
      <c r="H502" s="9"/>
      <c r="I502" s="9" t="s">
        <v>41</v>
      </c>
      <c r="J502" s="9" t="s">
        <v>47</v>
      </c>
      <c r="K502" s="9" t="n">
        <v>0</v>
      </c>
      <c r="L502" s="9" t="s">
        <v>57</v>
      </c>
      <c r="M502" s="9" t="s">
        <v>57</v>
      </c>
      <c r="N502" s="9" t="s">
        <v>42</v>
      </c>
      <c r="O502" s="9" t="s">
        <v>42</v>
      </c>
      <c r="P502" s="9" t="s">
        <v>42</v>
      </c>
      <c r="Q502" s="9" t="n">
        <v>20</v>
      </c>
      <c r="R502" s="9" t="s">
        <v>47</v>
      </c>
      <c r="S502" s="9" t="s">
        <v>811</v>
      </c>
    </row>
    <row r="503" customFormat="false" ht="15" hidden="false" customHeight="true" outlineLevel="0" collapsed="false">
      <c r="A503" s="9" t="s">
        <v>812</v>
      </c>
      <c r="B503" s="9" t="n">
        <v>90265</v>
      </c>
      <c r="C503" s="9"/>
      <c r="D503" s="9" t="s">
        <v>62</v>
      </c>
      <c r="E503" s="9" t="s">
        <v>44</v>
      </c>
      <c r="F503" s="9" t="s">
        <v>39</v>
      </c>
      <c r="G503" s="9" t="s">
        <v>40</v>
      </c>
      <c r="H503" s="9"/>
      <c r="I503" s="9" t="s">
        <v>41</v>
      </c>
      <c r="J503" s="9" t="s">
        <v>40</v>
      </c>
      <c r="K503" s="9" t="n">
        <v>0</v>
      </c>
      <c r="L503" s="9" t="s">
        <v>42</v>
      </c>
      <c r="M503" s="9" t="s">
        <v>42</v>
      </c>
      <c r="N503" s="9" t="s">
        <v>42</v>
      </c>
      <c r="O503" s="9" t="s">
        <v>42</v>
      </c>
      <c r="P503" s="9" t="s">
        <v>42</v>
      </c>
      <c r="Q503" s="9" t="n">
        <v>50</v>
      </c>
      <c r="R503" s="9" t="s">
        <v>47</v>
      </c>
      <c r="S503" s="9"/>
    </row>
    <row r="504" customFormat="false" ht="15" hidden="false" customHeight="true" outlineLevel="0" collapsed="false">
      <c r="A504" s="9" t="s">
        <v>813</v>
      </c>
      <c r="B504" s="9" t="n">
        <v>31811</v>
      </c>
      <c r="C504" s="9"/>
      <c r="D504" s="9"/>
      <c r="E504" s="9" t="s">
        <v>44</v>
      </c>
      <c r="F504" s="9" t="s">
        <v>39</v>
      </c>
      <c r="G504" s="9" t="s">
        <v>40</v>
      </c>
      <c r="H504" s="9"/>
      <c r="I504" s="9"/>
      <c r="J504" s="9" t="s">
        <v>40</v>
      </c>
      <c r="K504" s="9" t="n">
        <v>1</v>
      </c>
      <c r="L504" s="9" t="s">
        <v>42</v>
      </c>
      <c r="M504" s="9" t="s">
        <v>42</v>
      </c>
      <c r="N504" s="9" t="s">
        <v>42</v>
      </c>
      <c r="O504" s="9" t="s">
        <v>42</v>
      </c>
      <c r="P504" s="9" t="s">
        <v>42</v>
      </c>
      <c r="Q504" s="9" t="n">
        <v>135</v>
      </c>
      <c r="R504" s="9" t="s">
        <v>47</v>
      </c>
      <c r="S504" s="9"/>
    </row>
    <row r="505" customFormat="false" ht="15" hidden="false" customHeight="true" outlineLevel="0" collapsed="false">
      <c r="A505" s="9" t="s">
        <v>814</v>
      </c>
      <c r="B505" s="9" t="n">
        <v>30660</v>
      </c>
      <c r="C505" s="9"/>
      <c r="D505" s="9" t="s">
        <v>62</v>
      </c>
      <c r="E505" s="9" t="s">
        <v>44</v>
      </c>
      <c r="F505" s="9" t="s">
        <v>39</v>
      </c>
      <c r="G505" s="9" t="s">
        <v>47</v>
      </c>
      <c r="H505" s="9"/>
      <c r="I505" s="9" t="s">
        <v>41</v>
      </c>
      <c r="J505" s="9" t="s">
        <v>40</v>
      </c>
      <c r="K505" s="9" t="n">
        <v>4</v>
      </c>
      <c r="L505" s="9" t="s">
        <v>313</v>
      </c>
      <c r="M505" s="9" t="s">
        <v>42</v>
      </c>
      <c r="N505" s="9" t="s">
        <v>42</v>
      </c>
      <c r="O505" s="9" t="s">
        <v>42</v>
      </c>
      <c r="P505" s="9" t="s">
        <v>42</v>
      </c>
      <c r="Q505" s="9" t="n">
        <v>500</v>
      </c>
      <c r="R505" s="9" t="s">
        <v>47</v>
      </c>
      <c r="S505" s="9"/>
    </row>
    <row r="506" customFormat="false" ht="15" hidden="false" customHeight="true" outlineLevel="0" collapsed="false">
      <c r="A506" s="9" t="s">
        <v>815</v>
      </c>
      <c r="B506" s="9" t="n">
        <v>33443</v>
      </c>
      <c r="C506" s="9" t="n">
        <v>23</v>
      </c>
      <c r="D506" s="9"/>
      <c r="E506" s="9" t="s">
        <v>44</v>
      </c>
      <c r="F506" s="9" t="s">
        <v>54</v>
      </c>
      <c r="G506" s="9" t="s">
        <v>47</v>
      </c>
      <c r="H506" s="9" t="s">
        <v>159</v>
      </c>
      <c r="I506" s="9" t="s">
        <v>41</v>
      </c>
      <c r="J506" s="9" t="s">
        <v>47</v>
      </c>
      <c r="K506" s="9" t="n">
        <v>3</v>
      </c>
      <c r="L506" s="9" t="s">
        <v>63</v>
      </c>
      <c r="M506" s="9" t="s">
        <v>42</v>
      </c>
      <c r="N506" s="9" t="s">
        <v>42</v>
      </c>
      <c r="O506" s="9" t="s">
        <v>42</v>
      </c>
      <c r="P506" s="9" t="s">
        <v>42</v>
      </c>
      <c r="Q506" s="9" t="n">
        <v>180</v>
      </c>
      <c r="R506" s="9" t="s">
        <v>47</v>
      </c>
      <c r="S506" s="9" t="s">
        <v>816</v>
      </c>
    </row>
    <row r="507" customFormat="false" ht="15" hidden="false" customHeight="true" outlineLevel="0" collapsed="false">
      <c r="A507" s="9" t="s">
        <v>817</v>
      </c>
      <c r="B507" s="9" t="n">
        <v>70661</v>
      </c>
      <c r="C507" s="9" t="n">
        <v>77</v>
      </c>
      <c r="D507" s="9"/>
      <c r="E507" s="9" t="s">
        <v>44</v>
      </c>
      <c r="F507" s="9" t="s">
        <v>39</v>
      </c>
      <c r="G507" s="9" t="s">
        <v>40</v>
      </c>
      <c r="H507" s="9" t="s">
        <v>159</v>
      </c>
      <c r="I507" s="9" t="s">
        <v>41</v>
      </c>
      <c r="J507" s="9" t="s">
        <v>47</v>
      </c>
      <c r="K507" s="9" t="n">
        <v>0</v>
      </c>
      <c r="L507" s="9" t="s">
        <v>42</v>
      </c>
      <c r="M507" s="9" t="s">
        <v>42</v>
      </c>
      <c r="N507" s="9" t="s">
        <v>42</v>
      </c>
      <c r="O507" s="9" t="s">
        <v>42</v>
      </c>
      <c r="P507" s="9" t="s">
        <v>42</v>
      </c>
      <c r="Q507" s="9" t="n">
        <v>100</v>
      </c>
      <c r="R507" s="9" t="s">
        <v>47</v>
      </c>
      <c r="S507" s="9" t="s">
        <v>818</v>
      </c>
    </row>
    <row r="508" customFormat="false" ht="15" hidden="false" customHeight="true" outlineLevel="0" collapsed="false">
      <c r="A508" s="9" t="s">
        <v>819</v>
      </c>
      <c r="B508" s="9" t="n">
        <v>30536</v>
      </c>
      <c r="C508" s="9"/>
      <c r="D508" s="9"/>
      <c r="E508" s="9" t="s">
        <v>44</v>
      </c>
      <c r="F508" s="9" t="s">
        <v>39</v>
      </c>
      <c r="G508" s="9" t="s">
        <v>40</v>
      </c>
      <c r="H508" s="9" t="s">
        <v>159</v>
      </c>
      <c r="I508" s="9" t="s">
        <v>41</v>
      </c>
      <c r="J508" s="9" t="s">
        <v>40</v>
      </c>
      <c r="K508" s="9" t="n">
        <v>3</v>
      </c>
      <c r="L508" s="9" t="s">
        <v>42</v>
      </c>
      <c r="M508" s="9" t="s">
        <v>42</v>
      </c>
      <c r="N508" s="9" t="s">
        <v>293</v>
      </c>
      <c r="O508" s="9" t="s">
        <v>42</v>
      </c>
      <c r="P508" s="9" t="s">
        <v>42</v>
      </c>
      <c r="Q508" s="9" t="n">
        <v>10</v>
      </c>
      <c r="R508" s="9" t="s">
        <v>47</v>
      </c>
      <c r="S508" s="9"/>
    </row>
    <row r="509" customFormat="false" ht="15" hidden="false" customHeight="true" outlineLevel="0" collapsed="false">
      <c r="A509" s="9" t="s">
        <v>820</v>
      </c>
      <c r="B509" s="9" t="n">
        <v>90265</v>
      </c>
      <c r="C509" s="9" t="n">
        <v>53</v>
      </c>
      <c r="D509" s="9"/>
      <c r="E509" s="9" t="s">
        <v>38</v>
      </c>
      <c r="F509" s="9" t="s">
        <v>39</v>
      </c>
      <c r="G509" s="9" t="s">
        <v>40</v>
      </c>
      <c r="H509" s="9"/>
      <c r="I509" s="9" t="s">
        <v>41</v>
      </c>
      <c r="J509" s="9" t="s">
        <v>47</v>
      </c>
      <c r="K509" s="9" t="n">
        <v>0</v>
      </c>
      <c r="L509" s="9" t="s">
        <v>42</v>
      </c>
      <c r="M509" s="9" t="s">
        <v>42</v>
      </c>
      <c r="N509" s="9" t="s">
        <v>42</v>
      </c>
      <c r="O509" s="9" t="s">
        <v>821</v>
      </c>
      <c r="P509" s="9" t="s">
        <v>42</v>
      </c>
      <c r="Q509" s="9" t="n">
        <v>240</v>
      </c>
      <c r="R509" s="9" t="s">
        <v>47</v>
      </c>
      <c r="S509" s="9" t="s">
        <v>822</v>
      </c>
    </row>
    <row r="510" customFormat="false" ht="15" hidden="false" customHeight="true" outlineLevel="0" collapsed="false">
      <c r="A510" s="9" t="s">
        <v>823</v>
      </c>
      <c r="B510" s="9" t="n">
        <v>13761</v>
      </c>
      <c r="C510" s="9" t="n">
        <v>53</v>
      </c>
      <c r="D510" s="9"/>
      <c r="E510" s="9" t="s">
        <v>38</v>
      </c>
      <c r="F510" s="9" t="s">
        <v>54</v>
      </c>
      <c r="G510" s="9" t="s">
        <v>40</v>
      </c>
      <c r="H510" s="9"/>
      <c r="I510" s="9" t="s">
        <v>41</v>
      </c>
      <c r="J510" s="9" t="s">
        <v>40</v>
      </c>
      <c r="K510" s="9" t="n">
        <v>0</v>
      </c>
      <c r="L510" s="9" t="s">
        <v>42</v>
      </c>
      <c r="M510" s="9" t="s">
        <v>42</v>
      </c>
      <c r="N510" s="9" t="s">
        <v>42</v>
      </c>
      <c r="O510" s="9" t="s">
        <v>42</v>
      </c>
      <c r="P510" s="9" t="s">
        <v>42</v>
      </c>
      <c r="Q510" s="9" t="n">
        <v>0</v>
      </c>
      <c r="R510" s="9" t="s">
        <v>40</v>
      </c>
      <c r="S510" s="9" t="s">
        <v>824</v>
      </c>
    </row>
    <row r="511" customFormat="false" ht="15" hidden="false" customHeight="true" outlineLevel="0" collapsed="false">
      <c r="A511" s="9" t="s">
        <v>825</v>
      </c>
      <c r="B511" s="9" t="n">
        <v>15663</v>
      </c>
      <c r="C511" s="9"/>
      <c r="D511" s="9"/>
      <c r="E511" s="9" t="s">
        <v>38</v>
      </c>
      <c r="F511" s="9" t="s">
        <v>39</v>
      </c>
      <c r="G511" s="9" t="s">
        <v>40</v>
      </c>
      <c r="H511" s="9"/>
      <c r="I511" s="9" t="s">
        <v>41</v>
      </c>
      <c r="J511" s="9" t="s">
        <v>40</v>
      </c>
      <c r="K511" s="9" t="n">
        <v>1</v>
      </c>
      <c r="L511" s="9" t="s">
        <v>42</v>
      </c>
      <c r="M511" s="9" t="s">
        <v>42</v>
      </c>
      <c r="N511" s="9" t="s">
        <v>42</v>
      </c>
      <c r="O511" s="9" t="s">
        <v>42</v>
      </c>
      <c r="P511" s="9" t="s">
        <v>42</v>
      </c>
      <c r="Q511" s="9" t="n">
        <v>1515</v>
      </c>
      <c r="R511" s="9" t="s">
        <v>47</v>
      </c>
      <c r="S511" s="9"/>
    </row>
    <row r="512" customFormat="false" ht="15" hidden="false" customHeight="true" outlineLevel="0" collapsed="false">
      <c r="A512" s="9" t="s">
        <v>826</v>
      </c>
      <c r="B512" s="9" t="n">
        <v>99620</v>
      </c>
      <c r="C512" s="9"/>
      <c r="D512" s="9"/>
      <c r="E512" s="9" t="s">
        <v>44</v>
      </c>
      <c r="F512" s="9" t="s">
        <v>39</v>
      </c>
      <c r="G512" s="9" t="s">
        <v>40</v>
      </c>
      <c r="H512" s="9"/>
      <c r="I512" s="9" t="s">
        <v>41</v>
      </c>
      <c r="J512" s="9" t="s">
        <v>40</v>
      </c>
      <c r="K512" s="9" t="n">
        <v>1</v>
      </c>
      <c r="L512" s="9" t="s">
        <v>42</v>
      </c>
      <c r="M512" s="9" t="s">
        <v>42</v>
      </c>
      <c r="N512" s="9" t="s">
        <v>42</v>
      </c>
      <c r="O512" s="9" t="s">
        <v>827</v>
      </c>
      <c r="P512" s="9" t="s">
        <v>42</v>
      </c>
      <c r="Q512" s="9" t="n">
        <v>18</v>
      </c>
      <c r="R512" s="9" t="s">
        <v>47</v>
      </c>
      <c r="S512" s="9"/>
    </row>
    <row r="513" customFormat="false" ht="15" hidden="false" customHeight="true" outlineLevel="0" collapsed="false">
      <c r="A513" s="9" t="s">
        <v>828</v>
      </c>
      <c r="B513" s="9" t="n">
        <v>95857</v>
      </c>
      <c r="C513" s="9" t="n">
        <v>28</v>
      </c>
      <c r="D513" s="9"/>
      <c r="E513" s="9" t="s">
        <v>38</v>
      </c>
      <c r="F513" s="9" t="s">
        <v>39</v>
      </c>
      <c r="G513" s="9" t="s">
        <v>40</v>
      </c>
      <c r="H513" s="9"/>
      <c r="I513" s="9" t="s">
        <v>41</v>
      </c>
      <c r="J513" s="9" t="s">
        <v>40</v>
      </c>
      <c r="K513" s="9" t="n">
        <v>0</v>
      </c>
      <c r="L513" s="9" t="s">
        <v>42</v>
      </c>
      <c r="M513" s="9" t="s">
        <v>42</v>
      </c>
      <c r="N513" s="9" t="s">
        <v>42</v>
      </c>
      <c r="O513" s="9" t="s">
        <v>42</v>
      </c>
      <c r="P513" s="9" t="s">
        <v>42</v>
      </c>
      <c r="Q513" s="9" t="n">
        <v>15</v>
      </c>
      <c r="R513" s="9" t="s">
        <v>47</v>
      </c>
      <c r="S513" s="9" t="s">
        <v>829</v>
      </c>
    </row>
    <row r="514" customFormat="false" ht="15" hidden="false" customHeight="true" outlineLevel="0" collapsed="false">
      <c r="A514" s="9" t="s">
        <v>830</v>
      </c>
      <c r="B514" s="9" t="n">
        <v>47263</v>
      </c>
      <c r="C514" s="9"/>
      <c r="D514" s="9"/>
      <c r="E514" s="9" t="s">
        <v>38</v>
      </c>
      <c r="F514" s="9" t="s">
        <v>39</v>
      </c>
      <c r="G514" s="9" t="s">
        <v>40</v>
      </c>
      <c r="H514" s="9"/>
      <c r="I514" s="9" t="s">
        <v>41</v>
      </c>
      <c r="J514" s="9" t="s">
        <v>40</v>
      </c>
      <c r="K514" s="9" t="n">
        <v>1</v>
      </c>
      <c r="L514" s="9" t="s">
        <v>42</v>
      </c>
      <c r="M514" s="9" t="s">
        <v>42</v>
      </c>
      <c r="N514" s="9" t="s">
        <v>42</v>
      </c>
      <c r="O514" s="9" t="s">
        <v>42</v>
      </c>
      <c r="P514" s="9" t="s">
        <v>42</v>
      </c>
      <c r="Q514" s="9" t="n">
        <v>0</v>
      </c>
      <c r="R514" s="9" t="s">
        <v>40</v>
      </c>
      <c r="S514" s="9"/>
    </row>
    <row r="515" customFormat="false" ht="15" hidden="false" customHeight="true" outlineLevel="0" collapsed="false">
      <c r="A515" s="9" t="s">
        <v>831</v>
      </c>
      <c r="B515" s="9" t="n">
        <v>3064</v>
      </c>
      <c r="C515" s="9"/>
      <c r="D515" s="9"/>
      <c r="E515" s="9" t="s">
        <v>44</v>
      </c>
      <c r="F515" s="9" t="s">
        <v>39</v>
      </c>
      <c r="G515" s="9" t="s">
        <v>40</v>
      </c>
      <c r="H515" s="9"/>
      <c r="I515" s="9" t="s">
        <v>41</v>
      </c>
      <c r="J515" s="9" t="s">
        <v>47</v>
      </c>
      <c r="K515" s="9" t="n">
        <v>1</v>
      </c>
      <c r="L515" s="9" t="s">
        <v>42</v>
      </c>
      <c r="M515" s="9" t="s">
        <v>42</v>
      </c>
      <c r="N515" s="9" t="s">
        <v>72</v>
      </c>
      <c r="O515" s="9" t="s">
        <v>42</v>
      </c>
      <c r="P515" s="9" t="s">
        <v>42</v>
      </c>
      <c r="Q515" s="9" t="n">
        <v>25</v>
      </c>
      <c r="R515" s="9" t="s">
        <v>47</v>
      </c>
      <c r="S515" s="9"/>
    </row>
    <row r="516" customFormat="false" ht="15" hidden="false" customHeight="true" outlineLevel="0" collapsed="false">
      <c r="A516" s="9" t="s">
        <v>832</v>
      </c>
      <c r="B516" s="9" t="n">
        <v>33730</v>
      </c>
      <c r="C516" s="9" t="n">
        <v>44</v>
      </c>
      <c r="D516" s="9"/>
      <c r="E516" s="9" t="s">
        <v>38</v>
      </c>
      <c r="F516" s="9" t="s">
        <v>39</v>
      </c>
      <c r="G516" s="9" t="s">
        <v>40</v>
      </c>
      <c r="H516" s="9"/>
      <c r="I516" s="9" t="s">
        <v>41</v>
      </c>
      <c r="J516" s="9" t="s">
        <v>40</v>
      </c>
      <c r="K516" s="9" t="n">
        <v>0</v>
      </c>
      <c r="L516" s="9" t="s">
        <v>42</v>
      </c>
      <c r="M516" s="9" t="s">
        <v>42</v>
      </c>
      <c r="N516" s="9" t="s">
        <v>42</v>
      </c>
      <c r="O516" s="9" t="s">
        <v>42</v>
      </c>
      <c r="P516" s="9" t="s">
        <v>42</v>
      </c>
      <c r="Q516" s="9" t="n">
        <v>25</v>
      </c>
      <c r="R516" s="9" t="s">
        <v>47</v>
      </c>
      <c r="S516" s="9" t="s">
        <v>833</v>
      </c>
    </row>
    <row r="517" customFormat="false" ht="15" hidden="false" customHeight="true" outlineLevel="0" collapsed="false">
      <c r="A517" s="9" t="s">
        <v>834</v>
      </c>
      <c r="B517" s="9" t="n">
        <v>90265</v>
      </c>
      <c r="C517" s="9"/>
      <c r="D517" s="9" t="s">
        <v>62</v>
      </c>
      <c r="E517" s="9" t="s">
        <v>44</v>
      </c>
      <c r="F517" s="9" t="s">
        <v>39</v>
      </c>
      <c r="G517" s="9" t="s">
        <v>40</v>
      </c>
      <c r="H517" s="9"/>
      <c r="I517" s="9" t="s">
        <v>46</v>
      </c>
      <c r="J517" s="9" t="s">
        <v>40</v>
      </c>
      <c r="K517" s="9" t="n">
        <v>1</v>
      </c>
      <c r="L517" s="9" t="s">
        <v>42</v>
      </c>
      <c r="M517" s="9" t="s">
        <v>219</v>
      </c>
      <c r="N517" s="9" t="s">
        <v>42</v>
      </c>
      <c r="O517" s="9" t="s">
        <v>42</v>
      </c>
      <c r="P517" s="9" t="s">
        <v>42</v>
      </c>
      <c r="Q517" s="9" t="n">
        <v>40</v>
      </c>
      <c r="R517" s="9" t="s">
        <v>47</v>
      </c>
      <c r="S517" s="9"/>
    </row>
    <row r="518" customFormat="false" ht="15" hidden="false" customHeight="true" outlineLevel="0" collapsed="false">
      <c r="A518" s="9" t="s">
        <v>835</v>
      </c>
      <c r="B518" s="9" t="n">
        <v>20880</v>
      </c>
      <c r="C518" s="9" t="n">
        <v>32</v>
      </c>
      <c r="D518" s="9"/>
      <c r="E518" s="9" t="s">
        <v>44</v>
      </c>
      <c r="F518" s="9" t="s">
        <v>54</v>
      </c>
      <c r="G518" s="9" t="s">
        <v>47</v>
      </c>
      <c r="H518" s="9"/>
      <c r="I518" s="9" t="s">
        <v>41</v>
      </c>
      <c r="J518" s="9" t="s">
        <v>47</v>
      </c>
      <c r="K518" s="9" t="n">
        <v>1</v>
      </c>
      <c r="L518" s="9" t="s">
        <v>42</v>
      </c>
      <c r="M518" s="9" t="s">
        <v>42</v>
      </c>
      <c r="N518" s="9" t="s">
        <v>57</v>
      </c>
      <c r="O518" s="9" t="s">
        <v>42</v>
      </c>
      <c r="P518" s="9" t="s">
        <v>42</v>
      </c>
      <c r="Q518" s="9" t="n">
        <v>1</v>
      </c>
      <c r="R518" s="9" t="s">
        <v>47</v>
      </c>
      <c r="S518" s="9" t="s">
        <v>273</v>
      </c>
    </row>
    <row r="519" customFormat="false" ht="15" hidden="false" customHeight="true" outlineLevel="0" collapsed="false">
      <c r="A519" s="9" t="s">
        <v>836</v>
      </c>
      <c r="B519" s="9" t="n">
        <v>31738</v>
      </c>
      <c r="C519" s="9"/>
      <c r="D519" s="9" t="s">
        <v>83</v>
      </c>
      <c r="E519" s="9" t="s">
        <v>38</v>
      </c>
      <c r="F519" s="9" t="s">
        <v>39</v>
      </c>
      <c r="G519" s="9" t="s">
        <v>47</v>
      </c>
      <c r="H519" s="9"/>
      <c r="I519" s="9" t="s">
        <v>41</v>
      </c>
      <c r="J519" s="9" t="s">
        <v>40</v>
      </c>
      <c r="K519" s="9" t="n">
        <v>0</v>
      </c>
      <c r="L519" s="9" t="s">
        <v>42</v>
      </c>
      <c r="M519" s="9" t="s">
        <v>42</v>
      </c>
      <c r="N519" s="9" t="s">
        <v>42</v>
      </c>
      <c r="O519" s="9" t="s">
        <v>42</v>
      </c>
      <c r="P519" s="9" t="s">
        <v>42</v>
      </c>
      <c r="Q519" s="9" t="n">
        <v>0</v>
      </c>
      <c r="R519" s="9" t="s">
        <v>40</v>
      </c>
      <c r="S519" s="9"/>
    </row>
    <row r="520" customFormat="false" ht="15" hidden="false" customHeight="true" outlineLevel="0" collapsed="false">
      <c r="A520" s="9" t="s">
        <v>837</v>
      </c>
      <c r="B520" s="9" t="n">
        <v>77354</v>
      </c>
      <c r="C520" s="9"/>
      <c r="D520" s="9"/>
      <c r="E520" s="9" t="s">
        <v>38</v>
      </c>
      <c r="F520" s="9" t="s">
        <v>39</v>
      </c>
      <c r="G520" s="9" t="s">
        <v>40</v>
      </c>
      <c r="H520" s="9"/>
      <c r="I520" s="9" t="s">
        <v>41</v>
      </c>
      <c r="J520" s="9" t="s">
        <v>40</v>
      </c>
      <c r="K520" s="9" t="n">
        <v>1</v>
      </c>
      <c r="L520" s="9" t="s">
        <v>42</v>
      </c>
      <c r="M520" s="9" t="s">
        <v>42</v>
      </c>
      <c r="N520" s="9" t="s">
        <v>42</v>
      </c>
      <c r="O520" s="9" t="s">
        <v>42</v>
      </c>
      <c r="P520" s="9" t="s">
        <v>42</v>
      </c>
      <c r="Q520" s="9" t="n">
        <v>40</v>
      </c>
      <c r="R520" s="9" t="s">
        <v>47</v>
      </c>
      <c r="S520" s="9"/>
    </row>
    <row r="521" customFormat="false" ht="15" hidden="false" customHeight="true" outlineLevel="0" collapsed="false">
      <c r="A521" s="9" t="s">
        <v>838</v>
      </c>
      <c r="B521" s="9" t="n">
        <v>44413</v>
      </c>
      <c r="C521" s="9"/>
      <c r="D521" s="9" t="s">
        <v>83</v>
      </c>
      <c r="E521" s="9" t="s">
        <v>50</v>
      </c>
      <c r="F521" s="9" t="s">
        <v>39</v>
      </c>
      <c r="G521" s="9" t="s">
        <v>47</v>
      </c>
      <c r="H521" s="9"/>
      <c r="I521" s="9" t="s">
        <v>41</v>
      </c>
      <c r="J521" s="9" t="s">
        <v>40</v>
      </c>
      <c r="K521" s="9" t="n">
        <v>0</v>
      </c>
      <c r="L521" s="9" t="s">
        <v>42</v>
      </c>
      <c r="M521" s="9" t="s">
        <v>42</v>
      </c>
      <c r="N521" s="9" t="s">
        <v>42</v>
      </c>
      <c r="O521" s="9" t="s">
        <v>42</v>
      </c>
      <c r="P521" s="9" t="s">
        <v>42</v>
      </c>
      <c r="Q521" s="9" t="n">
        <v>25</v>
      </c>
      <c r="R521" s="9" t="s">
        <v>47</v>
      </c>
      <c r="S521" s="9"/>
    </row>
    <row r="522" customFormat="false" ht="15" hidden="false" customHeight="true" outlineLevel="0" collapsed="false">
      <c r="A522" s="9" t="s">
        <v>839</v>
      </c>
      <c r="B522" s="9" t="n">
        <v>1784</v>
      </c>
      <c r="C522" s="9" t="n">
        <v>20</v>
      </c>
      <c r="D522" s="9"/>
      <c r="E522" s="9" t="s">
        <v>38</v>
      </c>
      <c r="F522" s="9" t="s">
        <v>39</v>
      </c>
      <c r="G522" s="9" t="s">
        <v>40</v>
      </c>
      <c r="H522" s="9"/>
      <c r="I522" s="9" t="s">
        <v>41</v>
      </c>
      <c r="J522" s="9" t="s">
        <v>40</v>
      </c>
      <c r="K522" s="9" t="n">
        <v>0</v>
      </c>
      <c r="L522" s="9" t="s">
        <v>42</v>
      </c>
      <c r="M522" s="9" t="s">
        <v>42</v>
      </c>
      <c r="N522" s="9" t="s">
        <v>42</v>
      </c>
      <c r="O522" s="9" t="s">
        <v>42</v>
      </c>
      <c r="P522" s="9" t="s">
        <v>42</v>
      </c>
      <c r="Q522" s="9" t="n">
        <v>15</v>
      </c>
      <c r="R522" s="9" t="s">
        <v>47</v>
      </c>
      <c r="S522" s="9" t="s">
        <v>840</v>
      </c>
    </row>
    <row r="523" customFormat="false" ht="15" hidden="false" customHeight="true" outlineLevel="0" collapsed="false">
      <c r="A523" s="9" t="s">
        <v>841</v>
      </c>
      <c r="B523" s="9" t="n">
        <v>77080</v>
      </c>
      <c r="C523" s="9"/>
      <c r="D523" s="9" t="s">
        <v>62</v>
      </c>
      <c r="E523" s="9" t="s">
        <v>44</v>
      </c>
      <c r="F523" s="9" t="s">
        <v>39</v>
      </c>
      <c r="G523" s="9" t="s">
        <v>40</v>
      </c>
      <c r="H523" s="9"/>
      <c r="I523" s="9" t="s">
        <v>41</v>
      </c>
      <c r="J523" s="9" t="s">
        <v>40</v>
      </c>
      <c r="K523" s="9" t="n">
        <v>1</v>
      </c>
      <c r="L523" s="9" t="s">
        <v>42</v>
      </c>
      <c r="M523" s="9" t="s">
        <v>42</v>
      </c>
      <c r="N523" s="9" t="s">
        <v>663</v>
      </c>
      <c r="O523" s="9" t="s">
        <v>42</v>
      </c>
      <c r="P523" s="9" t="s">
        <v>42</v>
      </c>
      <c r="Q523" s="9" t="n">
        <v>265</v>
      </c>
      <c r="R523" s="9" t="s">
        <v>47</v>
      </c>
      <c r="S523" s="9"/>
    </row>
    <row r="524" customFormat="false" ht="15" hidden="false" customHeight="true" outlineLevel="0" collapsed="false">
      <c r="A524" s="9" t="s">
        <v>842</v>
      </c>
      <c r="B524" s="9" t="n">
        <v>61414</v>
      </c>
      <c r="C524" s="9" t="n">
        <v>32</v>
      </c>
      <c r="D524" s="9"/>
      <c r="E524" s="9" t="s">
        <v>44</v>
      </c>
      <c r="F524" s="9" t="s">
        <v>158</v>
      </c>
      <c r="G524" s="9" t="s">
        <v>47</v>
      </c>
      <c r="H524" s="9"/>
      <c r="I524" s="9" t="s">
        <v>41</v>
      </c>
      <c r="J524" s="9" t="s">
        <v>47</v>
      </c>
      <c r="K524" s="9" t="n">
        <v>0</v>
      </c>
      <c r="L524" s="9" t="s">
        <v>42</v>
      </c>
      <c r="M524" s="9" t="s">
        <v>42</v>
      </c>
      <c r="N524" s="9" t="s">
        <v>42</v>
      </c>
      <c r="O524" s="9" t="s">
        <v>42</v>
      </c>
      <c r="P524" s="9" t="s">
        <v>42</v>
      </c>
      <c r="Q524" s="9" t="n">
        <v>0</v>
      </c>
      <c r="R524" s="9" t="s">
        <v>40</v>
      </c>
      <c r="S524" s="9" t="s">
        <v>273</v>
      </c>
    </row>
    <row r="525" customFormat="false" ht="15" hidden="false" customHeight="true" outlineLevel="0" collapsed="false">
      <c r="A525" s="9" t="s">
        <v>843</v>
      </c>
      <c r="B525" s="9" t="n">
        <v>92842</v>
      </c>
      <c r="C525" s="9"/>
      <c r="D525" s="9" t="s">
        <v>83</v>
      </c>
      <c r="E525" s="9" t="s">
        <v>50</v>
      </c>
      <c r="F525" s="9" t="s">
        <v>39</v>
      </c>
      <c r="G525" s="9" t="s">
        <v>47</v>
      </c>
      <c r="H525" s="9"/>
      <c r="I525" s="9" t="s">
        <v>41</v>
      </c>
      <c r="J525" s="9" t="s">
        <v>40</v>
      </c>
      <c r="K525" s="9" t="n">
        <v>0</v>
      </c>
      <c r="L525" s="9" t="s">
        <v>42</v>
      </c>
      <c r="M525" s="9" t="s">
        <v>42</v>
      </c>
      <c r="N525" s="9" t="s">
        <v>42</v>
      </c>
      <c r="O525" s="9" t="s">
        <v>42</v>
      </c>
      <c r="P525" s="9" t="s">
        <v>42</v>
      </c>
      <c r="Q525" s="9" t="n">
        <v>25</v>
      </c>
      <c r="R525" s="9" t="s">
        <v>47</v>
      </c>
      <c r="S525" s="9"/>
    </row>
    <row r="526" customFormat="false" ht="15" hidden="false" customHeight="true" outlineLevel="0" collapsed="false">
      <c r="A526" s="9" t="s">
        <v>844</v>
      </c>
      <c r="B526" s="9" t="n">
        <v>51017</v>
      </c>
      <c r="C526" s="9"/>
      <c r="D526" s="9"/>
      <c r="E526" s="9" t="s">
        <v>38</v>
      </c>
      <c r="F526" s="9" t="s">
        <v>39</v>
      </c>
      <c r="G526" s="9" t="s">
        <v>40</v>
      </c>
      <c r="H526" s="9"/>
      <c r="I526" s="9" t="s">
        <v>41</v>
      </c>
      <c r="J526" s="9" t="s">
        <v>40</v>
      </c>
      <c r="K526" s="9" t="n">
        <v>1</v>
      </c>
      <c r="L526" s="9" t="s">
        <v>42</v>
      </c>
      <c r="M526" s="9" t="s">
        <v>42</v>
      </c>
      <c r="N526" s="9" t="s">
        <v>198</v>
      </c>
      <c r="O526" s="9" t="s">
        <v>42</v>
      </c>
      <c r="P526" s="9" t="s">
        <v>42</v>
      </c>
      <c r="Q526" s="9" t="n">
        <v>150</v>
      </c>
      <c r="R526" s="9" t="s">
        <v>47</v>
      </c>
      <c r="S526" s="9"/>
    </row>
    <row r="527" customFormat="false" ht="15" hidden="false" customHeight="true" outlineLevel="0" collapsed="false">
      <c r="A527" s="9" t="s">
        <v>845</v>
      </c>
      <c r="B527" s="9" t="n">
        <v>90265</v>
      </c>
      <c r="C527" s="9"/>
      <c r="D527" s="9" t="s">
        <v>62</v>
      </c>
      <c r="E527" s="9" t="s">
        <v>44</v>
      </c>
      <c r="F527" s="9" t="s">
        <v>39</v>
      </c>
      <c r="G527" s="9" t="s">
        <v>47</v>
      </c>
      <c r="H527" s="9"/>
      <c r="I527" s="9" t="s">
        <v>41</v>
      </c>
      <c r="J527" s="9" t="s">
        <v>40</v>
      </c>
      <c r="K527" s="9" t="n">
        <v>8</v>
      </c>
      <c r="L527" s="9" t="s">
        <v>42</v>
      </c>
      <c r="M527" s="9" t="s">
        <v>42</v>
      </c>
      <c r="N527" s="9" t="s">
        <v>42</v>
      </c>
      <c r="O527" s="9" t="s">
        <v>42</v>
      </c>
      <c r="P527" s="9" t="s">
        <v>42</v>
      </c>
      <c r="Q527" s="9" t="n">
        <v>1690</v>
      </c>
      <c r="R527" s="9" t="s">
        <v>47</v>
      </c>
      <c r="S527" s="9"/>
    </row>
    <row r="528" customFormat="false" ht="15" hidden="false" customHeight="true" outlineLevel="0" collapsed="false">
      <c r="A528" s="9" t="s">
        <v>846</v>
      </c>
      <c r="B528" s="9" t="n">
        <v>18216</v>
      </c>
      <c r="C528" s="9"/>
      <c r="D528" s="9" t="s">
        <v>62</v>
      </c>
      <c r="E528" s="9" t="s">
        <v>38</v>
      </c>
      <c r="F528" s="9" t="s">
        <v>39</v>
      </c>
      <c r="G528" s="9" t="s">
        <v>47</v>
      </c>
      <c r="H528" s="9"/>
      <c r="I528" s="9" t="s">
        <v>41</v>
      </c>
      <c r="J528" s="9" t="s">
        <v>40</v>
      </c>
      <c r="K528" s="9" t="n">
        <v>1</v>
      </c>
      <c r="L528" s="9" t="s">
        <v>42</v>
      </c>
      <c r="M528" s="9" t="s">
        <v>42</v>
      </c>
      <c r="N528" s="9" t="s">
        <v>42</v>
      </c>
      <c r="O528" s="9" t="s">
        <v>42</v>
      </c>
      <c r="P528" s="9" t="s">
        <v>42</v>
      </c>
      <c r="Q528" s="9" t="n">
        <v>270</v>
      </c>
      <c r="R528" s="9" t="s">
        <v>47</v>
      </c>
      <c r="S528" s="9"/>
    </row>
    <row r="529" customFormat="false" ht="15" hidden="false" customHeight="true" outlineLevel="0" collapsed="false">
      <c r="A529" s="9" t="s">
        <v>847</v>
      </c>
      <c r="B529" s="9" t="n">
        <v>90265</v>
      </c>
      <c r="C529" s="9"/>
      <c r="D529" s="9" t="s">
        <v>83</v>
      </c>
      <c r="E529" s="9" t="s">
        <v>38</v>
      </c>
      <c r="F529" s="9" t="s">
        <v>39</v>
      </c>
      <c r="G529" s="9" t="s">
        <v>40</v>
      </c>
      <c r="H529" s="9"/>
      <c r="I529" s="9"/>
      <c r="J529" s="9" t="s">
        <v>40</v>
      </c>
      <c r="K529" s="9" t="n">
        <v>0</v>
      </c>
      <c r="L529" s="9" t="s">
        <v>42</v>
      </c>
      <c r="M529" s="9" t="s">
        <v>72</v>
      </c>
      <c r="N529" s="9" t="s">
        <v>42</v>
      </c>
      <c r="O529" s="9" t="s">
        <v>42</v>
      </c>
      <c r="P529" s="9" t="s">
        <v>42</v>
      </c>
      <c r="Q529" s="9" t="n">
        <v>25</v>
      </c>
      <c r="R529" s="9" t="s">
        <v>47</v>
      </c>
      <c r="S529" s="9"/>
    </row>
    <row r="530" customFormat="false" ht="15" hidden="false" customHeight="true" outlineLevel="0" collapsed="false">
      <c r="A530" s="9" t="s">
        <v>848</v>
      </c>
      <c r="B530" s="9" t="n">
        <v>3570</v>
      </c>
      <c r="C530" s="9"/>
      <c r="D530" s="9" t="s">
        <v>62</v>
      </c>
      <c r="E530" s="9" t="s">
        <v>38</v>
      </c>
      <c r="F530" s="9" t="s">
        <v>45</v>
      </c>
      <c r="G530" s="9" t="s">
        <v>40</v>
      </c>
      <c r="H530" s="9"/>
      <c r="I530" s="9" t="s">
        <v>41</v>
      </c>
      <c r="J530" s="9" t="s">
        <v>47</v>
      </c>
      <c r="K530" s="9" t="n">
        <v>0</v>
      </c>
      <c r="L530" s="9" t="s">
        <v>42</v>
      </c>
      <c r="M530" s="9" t="s">
        <v>42</v>
      </c>
      <c r="N530" s="9" t="s">
        <v>42</v>
      </c>
      <c r="O530" s="9" t="s">
        <v>42</v>
      </c>
      <c r="P530" s="9" t="s">
        <v>42</v>
      </c>
      <c r="Q530" s="9" t="n">
        <v>25</v>
      </c>
      <c r="R530" s="9" t="s">
        <v>47</v>
      </c>
      <c r="S530" s="9"/>
    </row>
    <row r="531" customFormat="false" ht="15" hidden="false" customHeight="true" outlineLevel="0" collapsed="false">
      <c r="A531" s="9" t="s">
        <v>849</v>
      </c>
      <c r="B531" s="9" t="n">
        <v>55339</v>
      </c>
      <c r="C531" s="9" t="n">
        <v>35</v>
      </c>
      <c r="D531" s="9"/>
      <c r="E531" s="9" t="s">
        <v>38</v>
      </c>
      <c r="F531" s="9" t="s">
        <v>45</v>
      </c>
      <c r="G531" s="9" t="s">
        <v>40</v>
      </c>
      <c r="H531" s="9"/>
      <c r="I531" s="9" t="s">
        <v>41</v>
      </c>
      <c r="J531" s="9" t="s">
        <v>40</v>
      </c>
      <c r="K531" s="9" t="n">
        <v>0</v>
      </c>
      <c r="L531" s="9" t="s">
        <v>42</v>
      </c>
      <c r="M531" s="9" t="s">
        <v>42</v>
      </c>
      <c r="N531" s="9" t="s">
        <v>42</v>
      </c>
      <c r="O531" s="9" t="s">
        <v>42</v>
      </c>
      <c r="P531" s="9" t="s">
        <v>42</v>
      </c>
      <c r="Q531" s="9" t="n">
        <v>48</v>
      </c>
      <c r="R531" s="9" t="s">
        <v>47</v>
      </c>
      <c r="S531" s="9" t="s">
        <v>850</v>
      </c>
    </row>
    <row r="532" customFormat="false" ht="15" hidden="false" customHeight="true" outlineLevel="0" collapsed="false">
      <c r="A532" s="9" t="s">
        <v>851</v>
      </c>
      <c r="B532" s="9" t="n">
        <v>83230</v>
      </c>
      <c r="C532" s="9" t="n">
        <v>30</v>
      </c>
      <c r="D532" s="9"/>
      <c r="E532" s="9" t="s">
        <v>38</v>
      </c>
      <c r="F532" s="9" t="s">
        <v>54</v>
      </c>
      <c r="G532" s="9" t="s">
        <v>47</v>
      </c>
      <c r="H532" s="9" t="s">
        <v>494</v>
      </c>
      <c r="I532" s="9"/>
      <c r="J532" s="9" t="s">
        <v>47</v>
      </c>
      <c r="K532" s="9" t="n">
        <v>1</v>
      </c>
      <c r="L532" s="9" t="s">
        <v>42</v>
      </c>
      <c r="M532" s="9" t="s">
        <v>42</v>
      </c>
      <c r="N532" s="9" t="s">
        <v>42</v>
      </c>
      <c r="O532" s="9" t="s">
        <v>42</v>
      </c>
      <c r="P532" s="9" t="s">
        <v>42</v>
      </c>
      <c r="Q532" s="9" t="n">
        <v>1415</v>
      </c>
      <c r="R532" s="9" t="s">
        <v>47</v>
      </c>
      <c r="S532" s="9" t="s">
        <v>852</v>
      </c>
    </row>
    <row r="533" customFormat="false" ht="15" hidden="false" customHeight="true" outlineLevel="0" collapsed="false">
      <c r="A533" s="9" t="s">
        <v>853</v>
      </c>
      <c r="B533" s="9" t="n">
        <v>29672</v>
      </c>
      <c r="C533" s="9" t="n">
        <v>40</v>
      </c>
      <c r="D533" s="9"/>
      <c r="E533" s="9" t="s">
        <v>38</v>
      </c>
      <c r="F533" s="9" t="s">
        <v>54</v>
      </c>
      <c r="G533" s="9" t="s">
        <v>47</v>
      </c>
      <c r="H533" s="9"/>
      <c r="I533" s="9" t="s">
        <v>41</v>
      </c>
      <c r="J533" s="9" t="s">
        <v>47</v>
      </c>
      <c r="K533" s="9" t="n">
        <v>2</v>
      </c>
      <c r="L533" s="9" t="s">
        <v>42</v>
      </c>
      <c r="M533" s="9" t="s">
        <v>42</v>
      </c>
      <c r="N533" s="9" t="s">
        <v>42</v>
      </c>
      <c r="O533" s="9" t="s">
        <v>42</v>
      </c>
      <c r="P533" s="9" t="s">
        <v>42</v>
      </c>
      <c r="Q533" s="9" t="n">
        <v>135</v>
      </c>
      <c r="R533" s="9" t="s">
        <v>47</v>
      </c>
      <c r="S533" s="9" t="s">
        <v>854</v>
      </c>
    </row>
    <row r="534" customFormat="false" ht="15" hidden="false" customHeight="true" outlineLevel="0" collapsed="false">
      <c r="A534" s="9" t="s">
        <v>855</v>
      </c>
      <c r="B534" s="9" t="n">
        <v>90265</v>
      </c>
      <c r="C534" s="9" t="n">
        <v>38</v>
      </c>
      <c r="D534" s="9"/>
      <c r="E534" s="9" t="s">
        <v>38</v>
      </c>
      <c r="F534" s="9" t="s">
        <v>201</v>
      </c>
      <c r="G534" s="9" t="s">
        <v>40</v>
      </c>
      <c r="H534" s="9"/>
      <c r="I534" s="9" t="s">
        <v>41</v>
      </c>
      <c r="J534" s="9" t="s">
        <v>47</v>
      </c>
      <c r="K534" s="9" t="n">
        <v>0</v>
      </c>
      <c r="L534" s="9" t="s">
        <v>42</v>
      </c>
      <c r="M534" s="9" t="s">
        <v>42</v>
      </c>
      <c r="N534" s="9" t="s">
        <v>42</v>
      </c>
      <c r="O534" s="9" t="s">
        <v>42</v>
      </c>
      <c r="P534" s="9" t="s">
        <v>42</v>
      </c>
      <c r="Q534" s="9" t="n">
        <v>10</v>
      </c>
      <c r="R534" s="9" t="s">
        <v>47</v>
      </c>
      <c r="S534" s="9" t="s">
        <v>856</v>
      </c>
    </row>
    <row r="535" customFormat="false" ht="15" hidden="false" customHeight="true" outlineLevel="0" collapsed="false">
      <c r="A535" s="9" t="s">
        <v>857</v>
      </c>
      <c r="B535" s="9" t="n">
        <v>83119</v>
      </c>
      <c r="C535" s="9" t="n">
        <v>25</v>
      </c>
      <c r="D535" s="9"/>
      <c r="E535" s="9" t="s">
        <v>38</v>
      </c>
      <c r="F535" s="9" t="s">
        <v>54</v>
      </c>
      <c r="G535" s="9" t="s">
        <v>47</v>
      </c>
      <c r="H535" s="9"/>
      <c r="I535" s="9" t="s">
        <v>41</v>
      </c>
      <c r="J535" s="9" t="s">
        <v>47</v>
      </c>
      <c r="K535" s="9" t="n">
        <v>1</v>
      </c>
      <c r="L535" s="9" t="s">
        <v>42</v>
      </c>
      <c r="M535" s="9" t="s">
        <v>42</v>
      </c>
      <c r="N535" s="9" t="s">
        <v>42</v>
      </c>
      <c r="O535" s="9" t="s">
        <v>42</v>
      </c>
      <c r="P535" s="9" t="s">
        <v>42</v>
      </c>
      <c r="Q535" s="9" t="n">
        <v>375</v>
      </c>
      <c r="R535" s="9" t="s">
        <v>47</v>
      </c>
      <c r="S535" s="9" t="s">
        <v>858</v>
      </c>
    </row>
    <row r="536" customFormat="false" ht="15" hidden="false" customHeight="true" outlineLevel="0" collapsed="false">
      <c r="A536" s="9" t="s">
        <v>859</v>
      </c>
      <c r="B536" s="9" t="n">
        <v>85089</v>
      </c>
      <c r="C536" s="9" t="n">
        <v>32</v>
      </c>
      <c r="D536" s="9"/>
      <c r="E536" s="9" t="s">
        <v>38</v>
      </c>
      <c r="F536" s="9" t="s">
        <v>54</v>
      </c>
      <c r="G536" s="9" t="s">
        <v>40</v>
      </c>
      <c r="H536" s="9" t="s">
        <v>226</v>
      </c>
      <c r="I536" s="9" t="s">
        <v>41</v>
      </c>
      <c r="J536" s="9" t="s">
        <v>47</v>
      </c>
      <c r="K536" s="9" t="n">
        <v>0</v>
      </c>
      <c r="L536" s="9" t="s">
        <v>42</v>
      </c>
      <c r="M536" s="9" t="s">
        <v>42</v>
      </c>
      <c r="N536" s="9" t="s">
        <v>42</v>
      </c>
      <c r="O536" s="9" t="s">
        <v>42</v>
      </c>
      <c r="P536" s="9" t="s">
        <v>57</v>
      </c>
      <c r="Q536" s="9" t="n">
        <v>1</v>
      </c>
      <c r="R536" s="9" t="s">
        <v>47</v>
      </c>
      <c r="S536" s="9" t="s">
        <v>860</v>
      </c>
    </row>
    <row r="537" customFormat="false" ht="15" hidden="false" customHeight="true" outlineLevel="0" collapsed="false">
      <c r="A537" s="9" t="s">
        <v>861</v>
      </c>
      <c r="B537" s="9" t="n">
        <v>32756</v>
      </c>
      <c r="C537" s="9"/>
      <c r="D537" s="9" t="s">
        <v>62</v>
      </c>
      <c r="E537" s="9" t="s">
        <v>38</v>
      </c>
      <c r="F537" s="9" t="s">
        <v>45</v>
      </c>
      <c r="G537" s="9" t="s">
        <v>40</v>
      </c>
      <c r="H537" s="9"/>
      <c r="I537" s="9" t="s">
        <v>41</v>
      </c>
      <c r="J537" s="9" t="s">
        <v>40</v>
      </c>
      <c r="K537" s="9" t="n">
        <v>0</v>
      </c>
      <c r="L537" s="9" t="s">
        <v>42</v>
      </c>
      <c r="M537" s="9" t="s">
        <v>42</v>
      </c>
      <c r="N537" s="9" t="s">
        <v>42</v>
      </c>
      <c r="O537" s="9" t="s">
        <v>42</v>
      </c>
      <c r="P537" s="9" t="s">
        <v>42</v>
      </c>
      <c r="Q537" s="9" t="n">
        <v>0</v>
      </c>
      <c r="R537" s="9" t="s">
        <v>40</v>
      </c>
      <c r="S537" s="9"/>
    </row>
    <row r="538" customFormat="false" ht="15" hidden="false" customHeight="true" outlineLevel="0" collapsed="false">
      <c r="A538" s="9" t="s">
        <v>862</v>
      </c>
      <c r="B538" s="9" t="n">
        <v>65626</v>
      </c>
      <c r="C538" s="9" t="n">
        <v>35</v>
      </c>
      <c r="D538" s="9"/>
      <c r="E538" s="9" t="s">
        <v>44</v>
      </c>
      <c r="F538" s="9" t="s">
        <v>54</v>
      </c>
      <c r="G538" s="9" t="s">
        <v>47</v>
      </c>
      <c r="H538" s="9"/>
      <c r="I538" s="9" t="s">
        <v>41</v>
      </c>
      <c r="J538" s="9" t="s">
        <v>47</v>
      </c>
      <c r="K538" s="9" t="n">
        <v>1</v>
      </c>
      <c r="L538" s="9" t="s">
        <v>42</v>
      </c>
      <c r="M538" s="9" t="s">
        <v>42</v>
      </c>
      <c r="N538" s="9" t="s">
        <v>42</v>
      </c>
      <c r="O538" s="9" t="s">
        <v>42</v>
      </c>
      <c r="P538" s="9" t="s">
        <v>42</v>
      </c>
      <c r="Q538" s="9" t="n">
        <v>0</v>
      </c>
      <c r="R538" s="9" t="s">
        <v>40</v>
      </c>
      <c r="S538" s="9" t="s">
        <v>863</v>
      </c>
    </row>
    <row r="539" customFormat="false" ht="15" hidden="false" customHeight="true" outlineLevel="0" collapsed="false">
      <c r="A539" s="9" t="s">
        <v>864</v>
      </c>
      <c r="B539" s="9" t="n">
        <v>99505</v>
      </c>
      <c r="C539" s="9"/>
      <c r="D539" s="9"/>
      <c r="E539" s="9" t="s">
        <v>38</v>
      </c>
      <c r="F539" s="9" t="s">
        <v>39</v>
      </c>
      <c r="G539" s="9" t="s">
        <v>40</v>
      </c>
      <c r="H539" s="9"/>
      <c r="I539" s="9" t="s">
        <v>41</v>
      </c>
      <c r="J539" s="9" t="s">
        <v>40</v>
      </c>
      <c r="K539" s="9" t="n">
        <v>1</v>
      </c>
      <c r="L539" s="9" t="s">
        <v>42</v>
      </c>
      <c r="M539" s="9" t="s">
        <v>42</v>
      </c>
      <c r="N539" s="9" t="s">
        <v>42</v>
      </c>
      <c r="O539" s="9" t="s">
        <v>42</v>
      </c>
      <c r="P539" s="9" t="s">
        <v>42</v>
      </c>
      <c r="Q539" s="9" t="n">
        <v>110</v>
      </c>
      <c r="R539" s="9" t="s">
        <v>47</v>
      </c>
      <c r="S539" s="9"/>
    </row>
    <row r="540" customFormat="false" ht="15" hidden="false" customHeight="true" outlineLevel="0" collapsed="false">
      <c r="A540" s="9" t="s">
        <v>865</v>
      </c>
      <c r="B540" s="9" t="n">
        <v>90265</v>
      </c>
      <c r="C540" s="9"/>
      <c r="D540" s="9"/>
      <c r="E540" s="9" t="s">
        <v>38</v>
      </c>
      <c r="F540" s="9" t="s">
        <v>39</v>
      </c>
      <c r="G540" s="9" t="s">
        <v>40</v>
      </c>
      <c r="H540" s="9"/>
      <c r="I540" s="9" t="s">
        <v>41</v>
      </c>
      <c r="J540" s="9" t="s">
        <v>40</v>
      </c>
      <c r="K540" s="9" t="n">
        <v>1</v>
      </c>
      <c r="L540" s="9" t="s">
        <v>42</v>
      </c>
      <c r="M540" s="9" t="s">
        <v>42</v>
      </c>
      <c r="N540" s="9" t="s">
        <v>42</v>
      </c>
      <c r="O540" s="9" t="s">
        <v>42</v>
      </c>
      <c r="P540" s="9" t="s">
        <v>42</v>
      </c>
      <c r="Q540" s="9" t="n">
        <v>0</v>
      </c>
      <c r="R540" s="9" t="s">
        <v>40</v>
      </c>
      <c r="S540" s="9"/>
    </row>
    <row r="541" customFormat="false" ht="15" hidden="false" customHeight="true" outlineLevel="0" collapsed="false">
      <c r="A541" s="9" t="s">
        <v>866</v>
      </c>
      <c r="B541" s="9" t="n">
        <v>2462</v>
      </c>
      <c r="C541" s="9"/>
      <c r="D541" s="9"/>
      <c r="E541" s="9" t="s">
        <v>44</v>
      </c>
      <c r="F541" s="9" t="s">
        <v>54</v>
      </c>
      <c r="G541" s="9" t="s">
        <v>40</v>
      </c>
      <c r="H541" s="9"/>
      <c r="I541" s="9" t="s">
        <v>41</v>
      </c>
      <c r="J541" s="9" t="s">
        <v>40</v>
      </c>
      <c r="K541" s="9" t="n">
        <v>1</v>
      </c>
      <c r="L541" s="9" t="s">
        <v>42</v>
      </c>
      <c r="M541" s="9" t="s">
        <v>42</v>
      </c>
      <c r="N541" s="9" t="s">
        <v>42</v>
      </c>
      <c r="O541" s="9" t="s">
        <v>42</v>
      </c>
      <c r="P541" s="9" t="s">
        <v>42</v>
      </c>
      <c r="Q541" s="9" t="n">
        <v>0</v>
      </c>
      <c r="R541" s="9" t="s">
        <v>40</v>
      </c>
      <c r="S541" s="9"/>
    </row>
    <row r="542" customFormat="false" ht="15" hidden="false" customHeight="true" outlineLevel="0" collapsed="false">
      <c r="A542" s="9" t="s">
        <v>867</v>
      </c>
      <c r="B542" s="9" t="n">
        <v>90265</v>
      </c>
      <c r="C542" s="9"/>
      <c r="D542" s="9"/>
      <c r="E542" s="9"/>
      <c r="F542" s="9" t="s">
        <v>39</v>
      </c>
      <c r="G542" s="9" t="s">
        <v>40</v>
      </c>
      <c r="H542" s="9"/>
      <c r="I542" s="9" t="s">
        <v>41</v>
      </c>
      <c r="J542" s="9" t="s">
        <v>47</v>
      </c>
      <c r="K542" s="9" t="n">
        <v>0</v>
      </c>
      <c r="L542" s="9" t="s">
        <v>42</v>
      </c>
      <c r="M542" s="9" t="s">
        <v>42</v>
      </c>
      <c r="N542" s="9" t="s">
        <v>42</v>
      </c>
      <c r="O542" s="9" t="s">
        <v>42</v>
      </c>
      <c r="P542" s="9" t="s">
        <v>42</v>
      </c>
      <c r="Q542" s="9" t="n">
        <v>358</v>
      </c>
      <c r="R542" s="9" t="s">
        <v>47</v>
      </c>
      <c r="S542" s="9"/>
    </row>
    <row r="543" customFormat="false" ht="15" hidden="false" customHeight="true" outlineLevel="0" collapsed="false">
      <c r="A543" s="9" t="s">
        <v>868</v>
      </c>
      <c r="B543" s="9" t="n">
        <v>90265</v>
      </c>
      <c r="C543" s="9"/>
      <c r="D543" s="9"/>
      <c r="E543" s="9" t="s">
        <v>38</v>
      </c>
      <c r="F543" s="9" t="s">
        <v>54</v>
      </c>
      <c r="G543" s="9" t="s">
        <v>47</v>
      </c>
      <c r="H543" s="9"/>
      <c r="I543" s="9" t="s">
        <v>41</v>
      </c>
      <c r="J543" s="9" t="s">
        <v>40</v>
      </c>
      <c r="K543" s="9" t="n">
        <v>0</v>
      </c>
      <c r="L543" s="9" t="s">
        <v>42</v>
      </c>
      <c r="M543" s="9" t="s">
        <v>42</v>
      </c>
      <c r="N543" s="9" t="s">
        <v>42</v>
      </c>
      <c r="O543" s="9" t="s">
        <v>42</v>
      </c>
      <c r="P543" s="9" t="s">
        <v>42</v>
      </c>
      <c r="Q543" s="9" t="n">
        <v>0</v>
      </c>
      <c r="R543" s="9" t="s">
        <v>40</v>
      </c>
      <c r="S543" s="9"/>
    </row>
    <row r="544" customFormat="false" ht="15" hidden="false" customHeight="true" outlineLevel="0" collapsed="false">
      <c r="A544" s="9" t="s">
        <v>869</v>
      </c>
      <c r="B544" s="9" t="n">
        <v>81149</v>
      </c>
      <c r="C544" s="9"/>
      <c r="D544" s="9" t="s">
        <v>62</v>
      </c>
      <c r="E544" s="9" t="s">
        <v>44</v>
      </c>
      <c r="F544" s="9" t="s">
        <v>45</v>
      </c>
      <c r="G544" s="9" t="s">
        <v>40</v>
      </c>
      <c r="H544" s="9"/>
      <c r="I544" s="9" t="s">
        <v>41</v>
      </c>
      <c r="J544" s="9" t="s">
        <v>40</v>
      </c>
      <c r="K544" s="9" t="n">
        <v>0</v>
      </c>
      <c r="L544" s="9" t="s">
        <v>42</v>
      </c>
      <c r="M544" s="9" t="s">
        <v>42</v>
      </c>
      <c r="N544" s="9" t="s">
        <v>42</v>
      </c>
      <c r="O544" s="9" t="s">
        <v>87</v>
      </c>
      <c r="P544" s="9" t="s">
        <v>42</v>
      </c>
      <c r="Q544" s="9" t="n">
        <v>264</v>
      </c>
      <c r="R544" s="9" t="s">
        <v>47</v>
      </c>
      <c r="S544" s="9"/>
    </row>
    <row r="545" customFormat="false" ht="15" hidden="false" customHeight="true" outlineLevel="0" collapsed="false">
      <c r="A545" s="9" t="s">
        <v>870</v>
      </c>
      <c r="B545" s="9" t="n">
        <v>98817</v>
      </c>
      <c r="C545" s="9"/>
      <c r="D545" s="9"/>
      <c r="E545" s="9" t="s">
        <v>38</v>
      </c>
      <c r="F545" s="9" t="s">
        <v>201</v>
      </c>
      <c r="G545" s="9" t="s">
        <v>47</v>
      </c>
      <c r="H545" s="9"/>
      <c r="I545" s="9" t="s">
        <v>66</v>
      </c>
      <c r="J545" s="9" t="s">
        <v>40</v>
      </c>
      <c r="K545" s="9" t="n">
        <v>6</v>
      </c>
      <c r="L545" s="9" t="s">
        <v>63</v>
      </c>
      <c r="M545" s="9" t="s">
        <v>42</v>
      </c>
      <c r="N545" s="9" t="s">
        <v>42</v>
      </c>
      <c r="O545" s="9" t="s">
        <v>42</v>
      </c>
      <c r="P545" s="9" t="s">
        <v>42</v>
      </c>
      <c r="Q545" s="9" t="n">
        <v>100</v>
      </c>
      <c r="R545" s="9" t="s">
        <v>47</v>
      </c>
      <c r="S545" s="9"/>
    </row>
    <row r="546" customFormat="false" ht="15" hidden="false" customHeight="true" outlineLevel="0" collapsed="false">
      <c r="A546" s="9" t="s">
        <v>871</v>
      </c>
      <c r="B546" s="9" t="n">
        <v>38379</v>
      </c>
      <c r="C546" s="9" t="n">
        <v>72</v>
      </c>
      <c r="D546" s="9" t="s">
        <v>83</v>
      </c>
      <c r="E546" s="9" t="s">
        <v>38</v>
      </c>
      <c r="F546" s="9" t="s">
        <v>54</v>
      </c>
      <c r="G546" s="9" t="s">
        <v>47</v>
      </c>
      <c r="H546" s="9"/>
      <c r="I546" s="9" t="s">
        <v>41</v>
      </c>
      <c r="J546" s="9" t="s">
        <v>47</v>
      </c>
      <c r="K546" s="9" t="n">
        <v>0</v>
      </c>
      <c r="L546" s="9" t="s">
        <v>42</v>
      </c>
      <c r="M546" s="9" t="s">
        <v>42</v>
      </c>
      <c r="N546" s="9" t="s">
        <v>42</v>
      </c>
      <c r="O546" s="9" t="s">
        <v>42</v>
      </c>
      <c r="P546" s="9" t="s">
        <v>42</v>
      </c>
      <c r="Q546" s="9" t="n">
        <v>552</v>
      </c>
      <c r="R546" s="9" t="s">
        <v>47</v>
      </c>
      <c r="S546" s="9" t="s">
        <v>872</v>
      </c>
    </row>
    <row r="547" customFormat="false" ht="15" hidden="false" customHeight="true" outlineLevel="0" collapsed="false">
      <c r="A547" s="9" t="s">
        <v>873</v>
      </c>
      <c r="B547" s="9" t="n">
        <v>70558</v>
      </c>
      <c r="C547" s="9" t="n">
        <v>32</v>
      </c>
      <c r="D547" s="9"/>
      <c r="E547" s="9" t="s">
        <v>38</v>
      </c>
      <c r="F547" s="9" t="s">
        <v>39</v>
      </c>
      <c r="G547" s="9" t="s">
        <v>40</v>
      </c>
      <c r="H547" s="9"/>
      <c r="I547" s="9" t="s">
        <v>41</v>
      </c>
      <c r="J547" s="9" t="s">
        <v>40</v>
      </c>
      <c r="K547" s="9" t="n">
        <v>0</v>
      </c>
      <c r="L547" s="9" t="s">
        <v>42</v>
      </c>
      <c r="M547" s="9" t="s">
        <v>42</v>
      </c>
      <c r="N547" s="9" t="s">
        <v>42</v>
      </c>
      <c r="O547" s="9" t="s">
        <v>42</v>
      </c>
      <c r="P547" s="9" t="s">
        <v>42</v>
      </c>
      <c r="Q547" s="9" t="n">
        <v>0</v>
      </c>
      <c r="R547" s="9" t="s">
        <v>40</v>
      </c>
      <c r="S547" s="9" t="s">
        <v>409</v>
      </c>
    </row>
    <row r="548" customFormat="false" ht="15" hidden="false" customHeight="true" outlineLevel="0" collapsed="false">
      <c r="A548" s="9" t="s">
        <v>874</v>
      </c>
      <c r="B548" s="9" t="n">
        <v>61024</v>
      </c>
      <c r="C548" s="9"/>
      <c r="D548" s="9" t="s">
        <v>62</v>
      </c>
      <c r="E548" s="9" t="s">
        <v>38</v>
      </c>
      <c r="F548" s="9" t="s">
        <v>54</v>
      </c>
      <c r="G548" s="9" t="s">
        <v>40</v>
      </c>
      <c r="H548" s="9"/>
      <c r="I548" s="9" t="s">
        <v>41</v>
      </c>
      <c r="J548" s="9" t="s">
        <v>40</v>
      </c>
      <c r="K548" s="9" t="n">
        <v>1</v>
      </c>
      <c r="L548" s="9" t="s">
        <v>42</v>
      </c>
      <c r="M548" s="9" t="s">
        <v>42</v>
      </c>
      <c r="N548" s="9" t="s">
        <v>42</v>
      </c>
      <c r="O548" s="9" t="s">
        <v>42</v>
      </c>
      <c r="P548" s="9" t="s">
        <v>42</v>
      </c>
      <c r="Q548" s="9" t="n">
        <v>90</v>
      </c>
      <c r="R548" s="9" t="s">
        <v>47</v>
      </c>
      <c r="S548" s="9"/>
    </row>
    <row r="549" customFormat="false" ht="15" hidden="false" customHeight="true" outlineLevel="0" collapsed="false">
      <c r="A549" s="9" t="s">
        <v>875</v>
      </c>
      <c r="B549" s="9" t="n">
        <v>80812</v>
      </c>
      <c r="C549" s="9"/>
      <c r="D549" s="9"/>
      <c r="E549" s="9" t="s">
        <v>38</v>
      </c>
      <c r="F549" s="9" t="s">
        <v>39</v>
      </c>
      <c r="G549" s="9" t="s">
        <v>40</v>
      </c>
      <c r="H549" s="9" t="s">
        <v>81</v>
      </c>
      <c r="I549" s="9" t="s">
        <v>41</v>
      </c>
      <c r="J549" s="9" t="s">
        <v>40</v>
      </c>
      <c r="K549" s="9" t="n">
        <v>1</v>
      </c>
      <c r="L549" s="9" t="s">
        <v>42</v>
      </c>
      <c r="M549" s="9" t="s">
        <v>125</v>
      </c>
      <c r="N549" s="9" t="s">
        <v>42</v>
      </c>
      <c r="O549" s="9" t="s">
        <v>42</v>
      </c>
      <c r="P549" s="9" t="s">
        <v>42</v>
      </c>
      <c r="Q549" s="9" t="n">
        <v>84</v>
      </c>
      <c r="R549" s="9" t="s">
        <v>47</v>
      </c>
      <c r="S549" s="9"/>
    </row>
    <row r="550" customFormat="false" ht="15" hidden="false" customHeight="true" outlineLevel="0" collapsed="false">
      <c r="A550" s="9" t="s">
        <v>876</v>
      </c>
      <c r="B550" s="9" t="n">
        <v>47011</v>
      </c>
      <c r="C550" s="9" t="n">
        <v>55</v>
      </c>
      <c r="D550" s="9"/>
      <c r="E550" s="9" t="s">
        <v>44</v>
      </c>
      <c r="F550" s="9" t="s">
        <v>158</v>
      </c>
      <c r="G550" s="9" t="s">
        <v>47</v>
      </c>
      <c r="H550" s="9"/>
      <c r="I550" s="9" t="s">
        <v>41</v>
      </c>
      <c r="J550" s="9" t="s">
        <v>40</v>
      </c>
      <c r="K550" s="9" t="n">
        <v>0</v>
      </c>
      <c r="L550" s="9" t="s">
        <v>42</v>
      </c>
      <c r="M550" s="9" t="s">
        <v>42</v>
      </c>
      <c r="N550" s="9" t="s">
        <v>42</v>
      </c>
      <c r="O550" s="9" t="s">
        <v>42</v>
      </c>
      <c r="P550" s="9" t="s">
        <v>42</v>
      </c>
      <c r="Q550" s="9" t="n">
        <v>0</v>
      </c>
      <c r="R550" s="9" t="s">
        <v>40</v>
      </c>
      <c r="S550" s="9" t="s">
        <v>877</v>
      </c>
    </row>
    <row r="551" customFormat="false" ht="15" hidden="false" customHeight="true" outlineLevel="0" collapsed="false">
      <c r="A551" s="9" t="s">
        <v>878</v>
      </c>
      <c r="B551" s="9" t="n">
        <v>90265</v>
      </c>
      <c r="C551" s="9" t="n">
        <v>73</v>
      </c>
      <c r="D551" s="9"/>
      <c r="E551" s="9" t="s">
        <v>44</v>
      </c>
      <c r="F551" s="9" t="s">
        <v>39</v>
      </c>
      <c r="G551" s="9" t="s">
        <v>40</v>
      </c>
      <c r="H551" s="9"/>
      <c r="I551" s="9" t="s">
        <v>41</v>
      </c>
      <c r="J551" s="9" t="s">
        <v>40</v>
      </c>
      <c r="K551" s="9" t="n">
        <v>0</v>
      </c>
      <c r="L551" s="9" t="s">
        <v>42</v>
      </c>
      <c r="M551" s="9" t="s">
        <v>42</v>
      </c>
      <c r="N551" s="9" t="s">
        <v>42</v>
      </c>
      <c r="O551" s="9" t="s">
        <v>42</v>
      </c>
      <c r="P551" s="9" t="s">
        <v>42</v>
      </c>
      <c r="Q551" s="9" t="n">
        <v>0</v>
      </c>
      <c r="R551" s="9" t="s">
        <v>40</v>
      </c>
      <c r="S551" s="9" t="s">
        <v>879</v>
      </c>
    </row>
    <row r="552" customFormat="false" ht="15" hidden="false" customHeight="true" outlineLevel="0" collapsed="false">
      <c r="A552" s="9" t="s">
        <v>880</v>
      </c>
      <c r="B552" s="9" t="n">
        <v>90265</v>
      </c>
      <c r="C552" s="9"/>
      <c r="D552" s="9"/>
      <c r="E552" s="9" t="s">
        <v>44</v>
      </c>
      <c r="F552" s="9" t="s">
        <v>39</v>
      </c>
      <c r="G552" s="9" t="s">
        <v>40</v>
      </c>
      <c r="H552" s="9" t="s">
        <v>177</v>
      </c>
      <c r="I552" s="9"/>
      <c r="J552" s="9" t="s">
        <v>40</v>
      </c>
      <c r="K552" s="9" t="n">
        <v>7</v>
      </c>
      <c r="L552" s="9" t="s">
        <v>89</v>
      </c>
      <c r="M552" s="9" t="s">
        <v>42</v>
      </c>
      <c r="N552" s="9" t="s">
        <v>127</v>
      </c>
      <c r="O552" s="9" t="s">
        <v>127</v>
      </c>
      <c r="P552" s="9" t="s">
        <v>42</v>
      </c>
      <c r="Q552" s="9" t="n">
        <v>210</v>
      </c>
      <c r="R552" s="9" t="s">
        <v>47</v>
      </c>
      <c r="S552" s="9"/>
    </row>
    <row r="553" customFormat="false" ht="15" hidden="false" customHeight="true" outlineLevel="0" collapsed="false">
      <c r="A553" s="9" t="s">
        <v>881</v>
      </c>
      <c r="B553" s="9" t="n">
        <v>12502</v>
      </c>
      <c r="C553" s="9" t="n">
        <v>28</v>
      </c>
      <c r="D553" s="9"/>
      <c r="E553" s="9" t="s">
        <v>44</v>
      </c>
      <c r="F553" s="9" t="s">
        <v>54</v>
      </c>
      <c r="G553" s="9" t="s">
        <v>40</v>
      </c>
      <c r="H553" s="9"/>
      <c r="I553" s="9" t="s">
        <v>41</v>
      </c>
      <c r="J553" s="9" t="s">
        <v>47</v>
      </c>
      <c r="K553" s="9" t="n">
        <v>0</v>
      </c>
      <c r="L553" s="9" t="s">
        <v>42</v>
      </c>
      <c r="M553" s="9" t="s">
        <v>42</v>
      </c>
      <c r="N553" s="9" t="s">
        <v>42</v>
      </c>
      <c r="O553" s="9" t="s">
        <v>42</v>
      </c>
      <c r="P553" s="9" t="s">
        <v>42</v>
      </c>
      <c r="Q553" s="9" t="n">
        <v>100</v>
      </c>
      <c r="R553" s="9" t="s">
        <v>47</v>
      </c>
      <c r="S553" s="9" t="s">
        <v>882</v>
      </c>
    </row>
    <row r="554" customFormat="false" ht="15" hidden="false" customHeight="true" outlineLevel="0" collapsed="false">
      <c r="A554" s="9" t="s">
        <v>883</v>
      </c>
      <c r="B554" s="9" t="n">
        <v>90265</v>
      </c>
      <c r="C554" s="9"/>
      <c r="D554" s="9" t="s">
        <v>62</v>
      </c>
      <c r="E554" s="9" t="s">
        <v>44</v>
      </c>
      <c r="F554" s="9" t="s">
        <v>39</v>
      </c>
      <c r="G554" s="9" t="s">
        <v>47</v>
      </c>
      <c r="H554" s="9"/>
      <c r="I554" s="9" t="s">
        <v>41</v>
      </c>
      <c r="J554" s="9" t="s">
        <v>40</v>
      </c>
      <c r="K554" s="9" t="n">
        <v>2</v>
      </c>
      <c r="L554" s="9" t="s">
        <v>42</v>
      </c>
      <c r="M554" s="9" t="s">
        <v>42</v>
      </c>
      <c r="N554" s="9" t="s">
        <v>42</v>
      </c>
      <c r="O554" s="9" t="s">
        <v>42</v>
      </c>
      <c r="P554" s="9" t="s">
        <v>42</v>
      </c>
      <c r="Q554" s="9" t="n">
        <v>9155</v>
      </c>
      <c r="R554" s="9" t="s">
        <v>47</v>
      </c>
      <c r="S554" s="9"/>
    </row>
    <row r="555" customFormat="false" ht="15" hidden="false" customHeight="true" outlineLevel="0" collapsed="false">
      <c r="A555" s="9" t="s">
        <v>884</v>
      </c>
      <c r="B555" s="9" t="n">
        <v>90265</v>
      </c>
      <c r="C555" s="9" t="n">
        <v>79</v>
      </c>
      <c r="D555" s="9"/>
      <c r="E555" s="9" t="s">
        <v>44</v>
      </c>
      <c r="F555" s="9" t="s">
        <v>39</v>
      </c>
      <c r="G555" s="9" t="s">
        <v>40</v>
      </c>
      <c r="H555" s="9"/>
      <c r="I555" s="9" t="s">
        <v>41</v>
      </c>
      <c r="J555" s="9" t="s">
        <v>40</v>
      </c>
      <c r="K555" s="9" t="n">
        <v>0</v>
      </c>
      <c r="L555" s="9" t="s">
        <v>42</v>
      </c>
      <c r="M555" s="9" t="s">
        <v>42</v>
      </c>
      <c r="N555" s="9" t="s">
        <v>42</v>
      </c>
      <c r="O555" s="9" t="s">
        <v>42</v>
      </c>
      <c r="P555" s="9" t="s">
        <v>42</v>
      </c>
      <c r="Q555" s="9" t="n">
        <v>60</v>
      </c>
      <c r="R555" s="9" t="s">
        <v>47</v>
      </c>
      <c r="S555" s="9" t="s">
        <v>885</v>
      </c>
    </row>
    <row r="556" customFormat="false" ht="15" hidden="false" customHeight="true" outlineLevel="0" collapsed="false">
      <c r="A556" s="9" t="s">
        <v>886</v>
      </c>
      <c r="B556" s="9" t="n">
        <v>32123</v>
      </c>
      <c r="C556" s="9" t="n">
        <v>61</v>
      </c>
      <c r="D556" s="9"/>
      <c r="E556" s="9" t="s">
        <v>44</v>
      </c>
      <c r="F556" s="9" t="s">
        <v>158</v>
      </c>
      <c r="G556" s="9" t="s">
        <v>47</v>
      </c>
      <c r="H556" s="9"/>
      <c r="I556" s="9" t="s">
        <v>41</v>
      </c>
      <c r="J556" s="9" t="s">
        <v>47</v>
      </c>
      <c r="K556" s="9" t="n">
        <v>1</v>
      </c>
      <c r="L556" s="9" t="s">
        <v>42</v>
      </c>
      <c r="M556" s="9" t="s">
        <v>42</v>
      </c>
      <c r="N556" s="9" t="s">
        <v>42</v>
      </c>
      <c r="O556" s="9" t="s">
        <v>42</v>
      </c>
      <c r="P556" s="9" t="s">
        <v>42</v>
      </c>
      <c r="Q556" s="9" t="n">
        <v>25</v>
      </c>
      <c r="R556" s="9" t="s">
        <v>47</v>
      </c>
      <c r="S556" s="9" t="s">
        <v>887</v>
      </c>
    </row>
    <row r="557" customFormat="false" ht="15" hidden="false" customHeight="true" outlineLevel="0" collapsed="false">
      <c r="A557" s="9" t="s">
        <v>888</v>
      </c>
      <c r="B557" s="9" t="n">
        <v>90265</v>
      </c>
      <c r="C557" s="9"/>
      <c r="D557" s="9"/>
      <c r="E557" s="9" t="s">
        <v>44</v>
      </c>
      <c r="F557" s="9" t="s">
        <v>54</v>
      </c>
      <c r="G557" s="9" t="s">
        <v>47</v>
      </c>
      <c r="H557" s="9" t="s">
        <v>81</v>
      </c>
      <c r="I557" s="9" t="s">
        <v>41</v>
      </c>
      <c r="J557" s="9" t="s">
        <v>47</v>
      </c>
      <c r="K557" s="9" t="n">
        <v>0</v>
      </c>
      <c r="L557" s="9" t="s">
        <v>42</v>
      </c>
      <c r="M557" s="9" t="s">
        <v>42</v>
      </c>
      <c r="N557" s="9" t="s">
        <v>42</v>
      </c>
      <c r="O557" s="9" t="s">
        <v>57</v>
      </c>
      <c r="P557" s="9" t="s">
        <v>42</v>
      </c>
      <c r="Q557" s="9" t="n">
        <v>1</v>
      </c>
      <c r="R557" s="9" t="s">
        <v>47</v>
      </c>
      <c r="S557" s="9"/>
    </row>
    <row r="558" customFormat="false" ht="15" hidden="false" customHeight="true" outlineLevel="0" collapsed="false">
      <c r="A558" s="9" t="s">
        <v>889</v>
      </c>
      <c r="B558" s="9" t="n">
        <v>90265</v>
      </c>
      <c r="C558" s="9"/>
      <c r="D558" s="9"/>
      <c r="E558" s="9" t="s">
        <v>44</v>
      </c>
      <c r="F558" s="9" t="s">
        <v>39</v>
      </c>
      <c r="G558" s="9" t="s">
        <v>40</v>
      </c>
      <c r="H558" s="9"/>
      <c r="I558" s="9" t="s">
        <v>41</v>
      </c>
      <c r="J558" s="9" t="s">
        <v>40</v>
      </c>
      <c r="K558" s="9" t="n">
        <v>1</v>
      </c>
      <c r="L558" s="9" t="s">
        <v>42</v>
      </c>
      <c r="M558" s="9" t="s">
        <v>42</v>
      </c>
      <c r="N558" s="9" t="s">
        <v>42</v>
      </c>
      <c r="O558" s="9" t="s">
        <v>42</v>
      </c>
      <c r="P558" s="9" t="s">
        <v>42</v>
      </c>
      <c r="Q558" s="9" t="n">
        <v>10</v>
      </c>
      <c r="R558" s="9" t="s">
        <v>47</v>
      </c>
      <c r="S558" s="9"/>
    </row>
    <row r="559" customFormat="false" ht="15" hidden="false" customHeight="true" outlineLevel="0" collapsed="false">
      <c r="A559" s="9" t="s">
        <v>890</v>
      </c>
      <c r="B559" s="9" t="n">
        <v>17504</v>
      </c>
      <c r="C559" s="9"/>
      <c r="D559" s="9" t="s">
        <v>83</v>
      </c>
      <c r="E559" s="9" t="s">
        <v>50</v>
      </c>
      <c r="F559" s="9" t="s">
        <v>39</v>
      </c>
      <c r="G559" s="9" t="s">
        <v>40</v>
      </c>
      <c r="H559" s="9"/>
      <c r="I559" s="9"/>
      <c r="J559" s="9" t="s">
        <v>40</v>
      </c>
      <c r="K559" s="9" t="n">
        <v>0</v>
      </c>
      <c r="L559" s="9" t="s">
        <v>42</v>
      </c>
      <c r="M559" s="9" t="s">
        <v>42</v>
      </c>
      <c r="N559" s="9" t="s">
        <v>42</v>
      </c>
      <c r="O559" s="9" t="s">
        <v>42</v>
      </c>
      <c r="P559" s="9" t="s">
        <v>198</v>
      </c>
      <c r="Q559" s="9" t="n">
        <v>150</v>
      </c>
      <c r="R559" s="9" t="s">
        <v>47</v>
      </c>
      <c r="S559" s="9"/>
    </row>
    <row r="560" customFormat="false" ht="15" hidden="false" customHeight="true" outlineLevel="0" collapsed="false">
      <c r="A560" s="9" t="s">
        <v>891</v>
      </c>
      <c r="B560" s="9" t="n">
        <v>90265</v>
      </c>
      <c r="C560" s="9"/>
      <c r="D560" s="9" t="s">
        <v>62</v>
      </c>
      <c r="E560" s="9" t="s">
        <v>44</v>
      </c>
      <c r="F560" s="9" t="s">
        <v>45</v>
      </c>
      <c r="G560" s="9" t="s">
        <v>40</v>
      </c>
      <c r="H560" s="9"/>
      <c r="I560" s="9" t="s">
        <v>41</v>
      </c>
      <c r="J560" s="9" t="s">
        <v>47</v>
      </c>
      <c r="K560" s="9" t="n">
        <v>0</v>
      </c>
      <c r="L560" s="9" t="s">
        <v>42</v>
      </c>
      <c r="M560" s="9" t="s">
        <v>42</v>
      </c>
      <c r="N560" s="9" t="s">
        <v>42</v>
      </c>
      <c r="O560" s="9" t="s">
        <v>42</v>
      </c>
      <c r="P560" s="9" t="s">
        <v>42</v>
      </c>
      <c r="Q560" s="9" t="n">
        <v>90</v>
      </c>
      <c r="R560" s="9" t="s">
        <v>47</v>
      </c>
      <c r="S560" s="9"/>
    </row>
    <row r="561" customFormat="false" ht="15" hidden="false" customHeight="true" outlineLevel="0" collapsed="false">
      <c r="A561" s="9" t="s">
        <v>892</v>
      </c>
      <c r="B561" s="9" t="n">
        <v>42262</v>
      </c>
      <c r="C561" s="9"/>
      <c r="D561" s="9" t="s">
        <v>62</v>
      </c>
      <c r="E561" s="9" t="s">
        <v>38</v>
      </c>
      <c r="F561" s="9" t="s">
        <v>39</v>
      </c>
      <c r="G561" s="9" t="s">
        <v>47</v>
      </c>
      <c r="H561" s="9"/>
      <c r="I561" s="9" t="s">
        <v>41</v>
      </c>
      <c r="J561" s="9" t="s">
        <v>40</v>
      </c>
      <c r="K561" s="9" t="n">
        <v>1</v>
      </c>
      <c r="L561" s="9" t="s">
        <v>42</v>
      </c>
      <c r="M561" s="9" t="s">
        <v>42</v>
      </c>
      <c r="N561" s="9" t="s">
        <v>42</v>
      </c>
      <c r="O561" s="9" t="s">
        <v>42</v>
      </c>
      <c r="P561" s="9" t="s">
        <v>42</v>
      </c>
      <c r="Q561" s="9" t="n">
        <v>30</v>
      </c>
      <c r="R561" s="9" t="s">
        <v>47</v>
      </c>
      <c r="S561" s="9"/>
    </row>
    <row r="562" customFormat="false" ht="15" hidden="false" customHeight="true" outlineLevel="0" collapsed="false">
      <c r="A562" s="9" t="s">
        <v>893</v>
      </c>
      <c r="B562" s="9" t="n">
        <v>95694</v>
      </c>
      <c r="C562" s="9"/>
      <c r="D562" s="9" t="s">
        <v>62</v>
      </c>
      <c r="E562" s="9" t="s">
        <v>38</v>
      </c>
      <c r="F562" s="9" t="s">
        <v>45</v>
      </c>
      <c r="G562" s="9" t="s">
        <v>47</v>
      </c>
      <c r="H562" s="9"/>
      <c r="I562" s="9" t="s">
        <v>41</v>
      </c>
      <c r="J562" s="9" t="s">
        <v>47</v>
      </c>
      <c r="K562" s="9" t="n">
        <v>2</v>
      </c>
      <c r="L562" s="9" t="s">
        <v>42</v>
      </c>
      <c r="M562" s="9" t="s">
        <v>42</v>
      </c>
      <c r="N562" s="9" t="s">
        <v>42</v>
      </c>
      <c r="O562" s="9" t="s">
        <v>42</v>
      </c>
      <c r="P562" s="9" t="s">
        <v>42</v>
      </c>
      <c r="Q562" s="9" t="n">
        <v>20</v>
      </c>
      <c r="R562" s="9" t="s">
        <v>47</v>
      </c>
      <c r="S562" s="9"/>
    </row>
    <row r="563" customFormat="false" ht="15" hidden="false" customHeight="true" outlineLevel="0" collapsed="false">
      <c r="A563" s="9" t="s">
        <v>894</v>
      </c>
      <c r="B563" s="9" t="n">
        <v>6092</v>
      </c>
      <c r="C563" s="9" t="n">
        <v>65</v>
      </c>
      <c r="D563" s="9"/>
      <c r="E563" s="9" t="s">
        <v>38</v>
      </c>
      <c r="F563" s="9" t="s">
        <v>39</v>
      </c>
      <c r="G563" s="9" t="s">
        <v>40</v>
      </c>
      <c r="H563" s="9"/>
      <c r="I563" s="9" t="s">
        <v>41</v>
      </c>
      <c r="J563" s="9" t="s">
        <v>40</v>
      </c>
      <c r="K563" s="9" t="n">
        <v>0</v>
      </c>
      <c r="L563" s="9" t="s">
        <v>42</v>
      </c>
      <c r="M563" s="9" t="s">
        <v>42</v>
      </c>
      <c r="N563" s="9" t="s">
        <v>42</v>
      </c>
      <c r="O563" s="9" t="s">
        <v>42</v>
      </c>
      <c r="P563" s="9" t="s">
        <v>42</v>
      </c>
      <c r="Q563" s="9" t="n">
        <v>120</v>
      </c>
      <c r="R563" s="9" t="s">
        <v>47</v>
      </c>
      <c r="S563" s="9" t="s">
        <v>895</v>
      </c>
    </row>
    <row r="564" customFormat="false" ht="15" hidden="false" customHeight="true" outlineLevel="0" collapsed="false">
      <c r="A564" s="9" t="s">
        <v>896</v>
      </c>
      <c r="B564" s="9" t="n">
        <v>12958</v>
      </c>
      <c r="C564" s="9"/>
      <c r="D564" s="9" t="s">
        <v>62</v>
      </c>
      <c r="E564" s="9" t="s">
        <v>38</v>
      </c>
      <c r="F564" s="9" t="s">
        <v>39</v>
      </c>
      <c r="G564" s="9" t="s">
        <v>40</v>
      </c>
      <c r="H564" s="9"/>
      <c r="I564" s="9" t="s">
        <v>41</v>
      </c>
      <c r="J564" s="9" t="s">
        <v>40</v>
      </c>
      <c r="K564" s="9" t="n">
        <v>3</v>
      </c>
      <c r="L564" s="9" t="s">
        <v>42</v>
      </c>
      <c r="M564" s="9" t="s">
        <v>42</v>
      </c>
      <c r="N564" s="9" t="s">
        <v>171</v>
      </c>
      <c r="O564" s="9" t="s">
        <v>42</v>
      </c>
      <c r="P564" s="9" t="s">
        <v>42</v>
      </c>
      <c r="Q564" s="9" t="n">
        <v>15</v>
      </c>
      <c r="R564" s="9" t="s">
        <v>47</v>
      </c>
      <c r="S564" s="9"/>
    </row>
    <row r="565" customFormat="false" ht="15" hidden="false" customHeight="true" outlineLevel="0" collapsed="false">
      <c r="A565" s="9" t="s">
        <v>897</v>
      </c>
      <c r="B565" s="9" t="n">
        <v>82224</v>
      </c>
      <c r="C565" s="9"/>
      <c r="D565" s="9" t="s">
        <v>62</v>
      </c>
      <c r="E565" s="9" t="s">
        <v>44</v>
      </c>
      <c r="F565" s="9" t="s">
        <v>39</v>
      </c>
      <c r="G565" s="9" t="s">
        <v>40</v>
      </c>
      <c r="H565" s="9"/>
      <c r="I565" s="9" t="s">
        <v>41</v>
      </c>
      <c r="J565" s="9" t="s">
        <v>40</v>
      </c>
      <c r="K565" s="9" t="n">
        <v>1</v>
      </c>
      <c r="L565" s="9" t="s">
        <v>42</v>
      </c>
      <c r="M565" s="9" t="s">
        <v>42</v>
      </c>
      <c r="N565" s="9" t="s">
        <v>42</v>
      </c>
      <c r="O565" s="9" t="s">
        <v>42</v>
      </c>
      <c r="P565" s="9" t="s">
        <v>898</v>
      </c>
      <c r="Q565" s="9" t="n">
        <v>350</v>
      </c>
      <c r="R565" s="9" t="s">
        <v>47</v>
      </c>
      <c r="S565" s="9"/>
    </row>
    <row r="566" customFormat="false" ht="15" hidden="false" customHeight="true" outlineLevel="0" collapsed="false">
      <c r="A566" s="9" t="s">
        <v>899</v>
      </c>
      <c r="B566" s="9" t="n">
        <v>90265</v>
      </c>
      <c r="C566" s="9" t="n">
        <v>45</v>
      </c>
      <c r="D566" s="9"/>
      <c r="E566" s="9" t="s">
        <v>44</v>
      </c>
      <c r="F566" s="9" t="s">
        <v>54</v>
      </c>
      <c r="G566" s="9" t="s">
        <v>47</v>
      </c>
      <c r="H566" s="9"/>
      <c r="I566" s="9"/>
      <c r="J566" s="9" t="s">
        <v>40</v>
      </c>
      <c r="K566" s="9" t="n">
        <v>0</v>
      </c>
      <c r="L566" s="9" t="s">
        <v>42</v>
      </c>
      <c r="M566" s="9" t="s">
        <v>42</v>
      </c>
      <c r="N566" s="9" t="s">
        <v>42</v>
      </c>
      <c r="O566" s="9" t="s">
        <v>42</v>
      </c>
      <c r="P566" s="9" t="s">
        <v>42</v>
      </c>
      <c r="Q566" s="9" t="n">
        <v>50</v>
      </c>
      <c r="R566" s="9" t="s">
        <v>47</v>
      </c>
      <c r="S566" s="9" t="s">
        <v>900</v>
      </c>
    </row>
    <row r="567" customFormat="false" ht="15" hidden="false" customHeight="true" outlineLevel="0" collapsed="false">
      <c r="A567" s="9" t="s">
        <v>901</v>
      </c>
      <c r="B567" s="9" t="n">
        <v>77508</v>
      </c>
      <c r="C567" s="9"/>
      <c r="D567" s="9" t="s">
        <v>62</v>
      </c>
      <c r="E567" s="9" t="s">
        <v>44</v>
      </c>
      <c r="F567" s="9" t="s">
        <v>45</v>
      </c>
      <c r="G567" s="9" t="s">
        <v>40</v>
      </c>
      <c r="H567" s="9"/>
      <c r="I567" s="9" t="s">
        <v>41</v>
      </c>
      <c r="J567" s="9" t="s">
        <v>40</v>
      </c>
      <c r="K567" s="9" t="n">
        <v>0</v>
      </c>
      <c r="L567" s="9" t="s">
        <v>42</v>
      </c>
      <c r="M567" s="9" t="s">
        <v>42</v>
      </c>
      <c r="N567" s="9" t="s">
        <v>42</v>
      </c>
      <c r="O567" s="9" t="s">
        <v>187</v>
      </c>
      <c r="P567" s="9" t="s">
        <v>42</v>
      </c>
      <c r="Q567" s="9" t="n">
        <v>120</v>
      </c>
      <c r="R567" s="9" t="s">
        <v>47</v>
      </c>
      <c r="S567" s="9"/>
    </row>
    <row r="568" customFormat="false" ht="15" hidden="false" customHeight="true" outlineLevel="0" collapsed="false">
      <c r="A568" s="9" t="s">
        <v>902</v>
      </c>
      <c r="B568" s="9" t="n">
        <v>43903</v>
      </c>
      <c r="C568" s="9"/>
      <c r="D568" s="9"/>
      <c r="E568" s="9" t="s">
        <v>44</v>
      </c>
      <c r="F568" s="9" t="s">
        <v>54</v>
      </c>
      <c r="G568" s="9" t="s">
        <v>40</v>
      </c>
      <c r="H568" s="9"/>
      <c r="I568" s="9" t="s">
        <v>46</v>
      </c>
      <c r="J568" s="9" t="s">
        <v>47</v>
      </c>
      <c r="K568" s="9" t="n">
        <v>0</v>
      </c>
      <c r="L568" s="9" t="s">
        <v>42</v>
      </c>
      <c r="M568" s="9" t="s">
        <v>42</v>
      </c>
      <c r="N568" s="9" t="s">
        <v>42</v>
      </c>
      <c r="O568" s="9" t="s">
        <v>42</v>
      </c>
      <c r="P568" s="9" t="s">
        <v>42</v>
      </c>
      <c r="Q568" s="9" t="n">
        <v>120</v>
      </c>
      <c r="R568" s="9" t="s">
        <v>47</v>
      </c>
      <c r="S568" s="9"/>
    </row>
    <row r="569" customFormat="false" ht="15" hidden="false" customHeight="true" outlineLevel="0" collapsed="false">
      <c r="A569" s="9" t="s">
        <v>903</v>
      </c>
      <c r="B569" s="9" t="n">
        <v>64051</v>
      </c>
      <c r="C569" s="9" t="n">
        <v>49</v>
      </c>
      <c r="D569" s="9"/>
      <c r="E569" s="9" t="s">
        <v>44</v>
      </c>
      <c r="F569" s="9" t="s">
        <v>54</v>
      </c>
      <c r="G569" s="9" t="s">
        <v>40</v>
      </c>
      <c r="H569" s="9"/>
      <c r="I569" s="9" t="s">
        <v>41</v>
      </c>
      <c r="J569" s="9" t="s">
        <v>47</v>
      </c>
      <c r="K569" s="9" t="n">
        <v>0</v>
      </c>
      <c r="L569" s="9" t="s">
        <v>42</v>
      </c>
      <c r="M569" s="9" t="s">
        <v>42</v>
      </c>
      <c r="N569" s="9" t="s">
        <v>42</v>
      </c>
      <c r="O569" s="9" t="s">
        <v>57</v>
      </c>
      <c r="P569" s="9" t="s">
        <v>42</v>
      </c>
      <c r="Q569" s="9" t="n">
        <v>20</v>
      </c>
      <c r="R569" s="9" t="s">
        <v>47</v>
      </c>
      <c r="S569" s="9" t="s">
        <v>904</v>
      </c>
    </row>
    <row r="570" customFormat="false" ht="15" hidden="false" customHeight="true" outlineLevel="0" collapsed="false">
      <c r="A570" s="9" t="s">
        <v>905</v>
      </c>
      <c r="B570" s="9" t="n">
        <v>90265</v>
      </c>
      <c r="C570" s="9"/>
      <c r="D570" s="9" t="s">
        <v>62</v>
      </c>
      <c r="E570" s="9" t="s">
        <v>44</v>
      </c>
      <c r="F570" s="9" t="s">
        <v>39</v>
      </c>
      <c r="G570" s="9" t="s">
        <v>40</v>
      </c>
      <c r="H570" s="9"/>
      <c r="I570" s="9" t="s">
        <v>41</v>
      </c>
      <c r="J570" s="9" t="s">
        <v>40</v>
      </c>
      <c r="K570" s="9" t="n">
        <v>1</v>
      </c>
      <c r="L570" s="9" t="s">
        <v>42</v>
      </c>
      <c r="M570" s="9" t="s">
        <v>42</v>
      </c>
      <c r="N570" s="9" t="s">
        <v>42</v>
      </c>
      <c r="O570" s="9" t="s">
        <v>42</v>
      </c>
      <c r="P570" s="9" t="s">
        <v>42</v>
      </c>
      <c r="Q570" s="9" t="n">
        <v>0</v>
      </c>
      <c r="R570" s="9" t="s">
        <v>40</v>
      </c>
      <c r="S570" s="9"/>
    </row>
    <row r="571" customFormat="false" ht="15" hidden="false" customHeight="true" outlineLevel="0" collapsed="false">
      <c r="A571" s="9" t="s">
        <v>906</v>
      </c>
      <c r="B571" s="9" t="n">
        <v>99758</v>
      </c>
      <c r="C571" s="9"/>
      <c r="D571" s="9"/>
      <c r="E571" s="9" t="s">
        <v>38</v>
      </c>
      <c r="F571" s="9" t="s">
        <v>54</v>
      </c>
      <c r="G571" s="9" t="s">
        <v>40</v>
      </c>
      <c r="H571" s="9"/>
      <c r="I571" s="9"/>
      <c r="J571" s="9" t="s">
        <v>40</v>
      </c>
      <c r="K571" s="9" t="n">
        <v>0</v>
      </c>
      <c r="L571" s="9" t="s">
        <v>42</v>
      </c>
      <c r="M571" s="9" t="s">
        <v>42</v>
      </c>
      <c r="N571" s="9" t="s">
        <v>42</v>
      </c>
      <c r="O571" s="9" t="s">
        <v>42</v>
      </c>
      <c r="P571" s="9" t="s">
        <v>42</v>
      </c>
      <c r="Q571" s="9" t="n">
        <v>0</v>
      </c>
      <c r="R571" s="9" t="s">
        <v>40</v>
      </c>
      <c r="S571" s="9"/>
    </row>
    <row r="572" customFormat="false" ht="15" hidden="false" customHeight="true" outlineLevel="0" collapsed="false">
      <c r="A572" s="9" t="s">
        <v>907</v>
      </c>
      <c r="B572" s="9" t="n">
        <v>74451</v>
      </c>
      <c r="C572" s="9" t="n">
        <v>55</v>
      </c>
      <c r="D572" s="9"/>
      <c r="E572" s="9" t="s">
        <v>38</v>
      </c>
      <c r="F572" s="9" t="s">
        <v>54</v>
      </c>
      <c r="G572" s="9" t="s">
        <v>47</v>
      </c>
      <c r="H572" s="9"/>
      <c r="I572" s="9" t="s">
        <v>41</v>
      </c>
      <c r="J572" s="9" t="s">
        <v>47</v>
      </c>
      <c r="K572" s="9" t="n">
        <v>0</v>
      </c>
      <c r="L572" s="9" t="s">
        <v>72</v>
      </c>
      <c r="M572" s="9" t="s">
        <v>42</v>
      </c>
      <c r="N572" s="9" t="s">
        <v>42</v>
      </c>
      <c r="O572" s="9" t="s">
        <v>42</v>
      </c>
      <c r="P572" s="9" t="s">
        <v>42</v>
      </c>
      <c r="Q572" s="9" t="n">
        <v>186</v>
      </c>
      <c r="R572" s="9" t="s">
        <v>47</v>
      </c>
      <c r="S572" s="9" t="s">
        <v>908</v>
      </c>
    </row>
    <row r="573" customFormat="false" ht="15" hidden="false" customHeight="true" outlineLevel="0" collapsed="false">
      <c r="A573" s="9" t="s">
        <v>909</v>
      </c>
      <c r="B573" s="9" t="n">
        <v>90265</v>
      </c>
      <c r="C573" s="9"/>
      <c r="D573" s="9"/>
      <c r="E573" s="9" t="s">
        <v>44</v>
      </c>
      <c r="F573" s="9" t="s">
        <v>54</v>
      </c>
      <c r="G573" s="9" t="s">
        <v>40</v>
      </c>
      <c r="H573" s="9"/>
      <c r="I573" s="9" t="s">
        <v>41</v>
      </c>
      <c r="J573" s="9" t="s">
        <v>40</v>
      </c>
      <c r="K573" s="9" t="n">
        <v>0</v>
      </c>
      <c r="L573" s="9" t="s">
        <v>42</v>
      </c>
      <c r="M573" s="9" t="s">
        <v>42</v>
      </c>
      <c r="N573" s="9" t="s">
        <v>42</v>
      </c>
      <c r="O573" s="9" t="s">
        <v>42</v>
      </c>
      <c r="P573" s="9" t="s">
        <v>42</v>
      </c>
      <c r="Q573" s="9" t="n">
        <v>0</v>
      </c>
      <c r="R573" s="9" t="s">
        <v>40</v>
      </c>
      <c r="S573" s="9"/>
    </row>
    <row r="574" customFormat="false" ht="15" hidden="false" customHeight="true" outlineLevel="0" collapsed="false">
      <c r="A574" s="9" t="s">
        <v>910</v>
      </c>
      <c r="B574" s="9" t="n">
        <v>72003</v>
      </c>
      <c r="C574" s="9"/>
      <c r="D574" s="9"/>
      <c r="E574" s="9" t="s">
        <v>38</v>
      </c>
      <c r="F574" s="9" t="s">
        <v>39</v>
      </c>
      <c r="G574" s="9" t="s">
        <v>40</v>
      </c>
      <c r="H574" s="9"/>
      <c r="I574" s="9" t="s">
        <v>41</v>
      </c>
      <c r="J574" s="9" t="s">
        <v>40</v>
      </c>
      <c r="K574" s="9" t="n">
        <v>10</v>
      </c>
      <c r="L574" s="9" t="s">
        <v>42</v>
      </c>
      <c r="M574" s="9" t="s">
        <v>42</v>
      </c>
      <c r="N574" s="9" t="s">
        <v>528</v>
      </c>
      <c r="O574" s="9" t="s">
        <v>42</v>
      </c>
      <c r="P574" s="9" t="s">
        <v>42</v>
      </c>
      <c r="Q574" s="9" t="n">
        <v>724</v>
      </c>
      <c r="R574" s="9" t="s">
        <v>47</v>
      </c>
      <c r="S574" s="9"/>
    </row>
    <row r="575" customFormat="false" ht="15" hidden="false" customHeight="true" outlineLevel="0" collapsed="false">
      <c r="A575" s="9" t="s">
        <v>911</v>
      </c>
      <c r="B575" s="9" t="n">
        <v>77471</v>
      </c>
      <c r="C575" s="9"/>
      <c r="D575" s="9"/>
      <c r="E575" s="9" t="s">
        <v>38</v>
      </c>
      <c r="F575" s="9" t="s">
        <v>39</v>
      </c>
      <c r="G575" s="9" t="s">
        <v>40</v>
      </c>
      <c r="H575" s="9"/>
      <c r="I575" s="9"/>
      <c r="J575" s="9" t="s">
        <v>40</v>
      </c>
      <c r="K575" s="9" t="n">
        <v>3</v>
      </c>
      <c r="L575" s="9" t="s">
        <v>42</v>
      </c>
      <c r="M575" s="9" t="s">
        <v>42</v>
      </c>
      <c r="N575" s="9" t="s">
        <v>42</v>
      </c>
      <c r="O575" s="9" t="s">
        <v>42</v>
      </c>
      <c r="P575" s="9" t="s">
        <v>42</v>
      </c>
      <c r="Q575" s="9" t="n">
        <v>100</v>
      </c>
      <c r="R575" s="9" t="s">
        <v>47</v>
      </c>
      <c r="S575" s="9"/>
    </row>
    <row r="576" customFormat="false" ht="15" hidden="false" customHeight="true" outlineLevel="0" collapsed="false">
      <c r="A576" s="9" t="s">
        <v>912</v>
      </c>
      <c r="B576" s="9" t="n">
        <v>90265</v>
      </c>
      <c r="C576" s="9"/>
      <c r="D576" s="9" t="s">
        <v>83</v>
      </c>
      <c r="E576" s="9" t="s">
        <v>44</v>
      </c>
      <c r="F576" s="9" t="s">
        <v>39</v>
      </c>
      <c r="G576" s="9" t="s">
        <v>40</v>
      </c>
      <c r="H576" s="9"/>
      <c r="I576" s="9" t="s">
        <v>41</v>
      </c>
      <c r="J576" s="9" t="s">
        <v>40</v>
      </c>
      <c r="K576" s="9" t="n">
        <v>1</v>
      </c>
      <c r="L576" s="9" t="s">
        <v>42</v>
      </c>
      <c r="M576" s="9" t="s">
        <v>42</v>
      </c>
      <c r="N576" s="9" t="s">
        <v>42</v>
      </c>
      <c r="O576" s="9" t="s">
        <v>57</v>
      </c>
      <c r="P576" s="9" t="s">
        <v>42</v>
      </c>
      <c r="Q576" s="9" t="n">
        <v>1</v>
      </c>
      <c r="R576" s="9" t="s">
        <v>47</v>
      </c>
      <c r="S576" s="9"/>
    </row>
    <row r="577" customFormat="false" ht="15" hidden="false" customHeight="true" outlineLevel="0" collapsed="false">
      <c r="A577" s="9" t="s">
        <v>913</v>
      </c>
      <c r="B577" s="9" t="n">
        <v>67752</v>
      </c>
      <c r="C577" s="9"/>
      <c r="D577" s="9"/>
      <c r="E577" s="9" t="s">
        <v>38</v>
      </c>
      <c r="F577" s="9" t="s">
        <v>39</v>
      </c>
      <c r="G577" s="9" t="s">
        <v>40</v>
      </c>
      <c r="H577" s="9"/>
      <c r="I577" s="9"/>
      <c r="J577" s="9" t="s">
        <v>40</v>
      </c>
      <c r="K577" s="9" t="n">
        <v>9</v>
      </c>
      <c r="L577" s="9" t="s">
        <v>72</v>
      </c>
      <c r="M577" s="9" t="s">
        <v>42</v>
      </c>
      <c r="N577" s="9" t="s">
        <v>42</v>
      </c>
      <c r="O577" s="9" t="s">
        <v>42</v>
      </c>
      <c r="P577" s="9" t="s">
        <v>42</v>
      </c>
      <c r="Q577" s="9" t="n">
        <v>3864</v>
      </c>
      <c r="R577" s="9" t="s">
        <v>47</v>
      </c>
      <c r="S577" s="9"/>
    </row>
    <row r="578" customFormat="false" ht="15" hidden="false" customHeight="true" outlineLevel="0" collapsed="false">
      <c r="A578" s="9" t="s">
        <v>914</v>
      </c>
      <c r="B578" s="9" t="n">
        <v>48832</v>
      </c>
      <c r="C578" s="9"/>
      <c r="D578" s="9" t="s">
        <v>62</v>
      </c>
      <c r="E578" s="9" t="s">
        <v>44</v>
      </c>
      <c r="F578" s="9" t="s">
        <v>39</v>
      </c>
      <c r="G578" s="9" t="s">
        <v>40</v>
      </c>
      <c r="H578" s="9"/>
      <c r="I578" s="9" t="s">
        <v>41</v>
      </c>
      <c r="J578" s="9" t="s">
        <v>40</v>
      </c>
      <c r="K578" s="9" t="n">
        <v>0</v>
      </c>
      <c r="L578" s="9" t="s">
        <v>42</v>
      </c>
      <c r="M578" s="9" t="s">
        <v>42</v>
      </c>
      <c r="N578" s="9" t="s">
        <v>42</v>
      </c>
      <c r="O578" s="9" t="s">
        <v>42</v>
      </c>
      <c r="P578" s="9" t="s">
        <v>42</v>
      </c>
      <c r="Q578" s="9" t="n">
        <v>65</v>
      </c>
      <c r="R578" s="9" t="s">
        <v>47</v>
      </c>
      <c r="S578" s="9"/>
    </row>
    <row r="579" customFormat="false" ht="15" hidden="false" customHeight="true" outlineLevel="0" collapsed="false">
      <c r="A579" s="9" t="s">
        <v>915</v>
      </c>
      <c r="B579" s="9" t="n">
        <v>65756</v>
      </c>
      <c r="C579" s="9" t="n">
        <v>33</v>
      </c>
      <c r="D579" s="9"/>
      <c r="E579" s="9" t="s">
        <v>38</v>
      </c>
      <c r="F579" s="9" t="s">
        <v>39</v>
      </c>
      <c r="G579" s="9" t="s">
        <v>40</v>
      </c>
      <c r="H579" s="9"/>
      <c r="I579" s="9" t="s">
        <v>41</v>
      </c>
      <c r="J579" s="9" t="s">
        <v>47</v>
      </c>
      <c r="K579" s="9" t="n">
        <v>0</v>
      </c>
      <c r="L579" s="9" t="s">
        <v>42</v>
      </c>
      <c r="M579" s="9" t="s">
        <v>42</v>
      </c>
      <c r="N579" s="9" t="s">
        <v>42</v>
      </c>
      <c r="O579" s="9" t="s">
        <v>42</v>
      </c>
      <c r="P579" s="9" t="s">
        <v>42</v>
      </c>
      <c r="Q579" s="9" t="n">
        <v>325</v>
      </c>
      <c r="R579" s="9" t="s">
        <v>47</v>
      </c>
      <c r="S579" s="9" t="s">
        <v>916</v>
      </c>
    </row>
    <row r="580" customFormat="false" ht="15" hidden="false" customHeight="true" outlineLevel="0" collapsed="false">
      <c r="A580" s="9" t="s">
        <v>917</v>
      </c>
      <c r="B580" s="9" t="n">
        <v>90265</v>
      </c>
      <c r="C580" s="9" t="n">
        <v>46</v>
      </c>
      <c r="D580" s="9"/>
      <c r="E580" s="9" t="s">
        <v>44</v>
      </c>
      <c r="F580" s="9" t="s">
        <v>54</v>
      </c>
      <c r="G580" s="9" t="s">
        <v>47</v>
      </c>
      <c r="H580" s="9"/>
      <c r="I580" s="9" t="s">
        <v>41</v>
      </c>
      <c r="J580" s="9" t="s">
        <v>47</v>
      </c>
      <c r="K580" s="9" t="n">
        <v>0</v>
      </c>
      <c r="L580" s="9" t="s">
        <v>42</v>
      </c>
      <c r="M580" s="9" t="s">
        <v>42</v>
      </c>
      <c r="N580" s="9" t="s">
        <v>42</v>
      </c>
      <c r="O580" s="9" t="s">
        <v>42</v>
      </c>
      <c r="P580" s="9" t="s">
        <v>42</v>
      </c>
      <c r="Q580" s="9" t="n">
        <v>0</v>
      </c>
      <c r="R580" s="9" t="s">
        <v>40</v>
      </c>
      <c r="S580" s="9" t="s">
        <v>918</v>
      </c>
    </row>
    <row r="581" customFormat="false" ht="15" hidden="false" customHeight="true" outlineLevel="0" collapsed="false">
      <c r="A581" s="9" t="s">
        <v>919</v>
      </c>
      <c r="B581" s="9" t="n">
        <v>33510</v>
      </c>
      <c r="C581" s="9"/>
      <c r="D581" s="9"/>
      <c r="E581" s="9" t="s">
        <v>44</v>
      </c>
      <c r="F581" s="9" t="s">
        <v>39</v>
      </c>
      <c r="G581" s="9" t="s">
        <v>40</v>
      </c>
      <c r="H581" s="9"/>
      <c r="I581" s="9" t="s">
        <v>41</v>
      </c>
      <c r="J581" s="9" t="s">
        <v>40</v>
      </c>
      <c r="K581" s="9" t="n">
        <v>1</v>
      </c>
      <c r="L581" s="9" t="s">
        <v>42</v>
      </c>
      <c r="M581" s="9" t="s">
        <v>42</v>
      </c>
      <c r="N581" s="9" t="s">
        <v>42</v>
      </c>
      <c r="O581" s="9" t="s">
        <v>920</v>
      </c>
      <c r="P581" s="9" t="s">
        <v>42</v>
      </c>
      <c r="Q581" s="9" t="n">
        <v>625</v>
      </c>
      <c r="R581" s="9" t="s">
        <v>47</v>
      </c>
      <c r="S581" s="9"/>
    </row>
    <row r="582" customFormat="false" ht="15" hidden="false" customHeight="true" outlineLevel="0" collapsed="false">
      <c r="A582" s="9" t="s">
        <v>921</v>
      </c>
      <c r="B582" s="9" t="n">
        <v>47713</v>
      </c>
      <c r="C582" s="9" t="n">
        <v>55</v>
      </c>
      <c r="D582" s="9" t="s">
        <v>83</v>
      </c>
      <c r="E582" s="9" t="s">
        <v>44</v>
      </c>
      <c r="F582" s="9" t="s">
        <v>54</v>
      </c>
      <c r="G582" s="9" t="s">
        <v>40</v>
      </c>
      <c r="H582" s="9"/>
      <c r="I582" s="9" t="s">
        <v>66</v>
      </c>
      <c r="J582" s="9" t="s">
        <v>47</v>
      </c>
      <c r="K582" s="9" t="n">
        <v>0</v>
      </c>
      <c r="L582" s="9" t="s">
        <v>42</v>
      </c>
      <c r="M582" s="9" t="s">
        <v>42</v>
      </c>
      <c r="N582" s="9" t="s">
        <v>42</v>
      </c>
      <c r="O582" s="9" t="s">
        <v>42</v>
      </c>
      <c r="P582" s="9" t="s">
        <v>42</v>
      </c>
      <c r="Q582" s="9" t="n">
        <v>250</v>
      </c>
      <c r="R582" s="9" t="s">
        <v>47</v>
      </c>
      <c r="S582" s="9" t="s">
        <v>922</v>
      </c>
    </row>
    <row r="583" customFormat="false" ht="15" hidden="false" customHeight="true" outlineLevel="0" collapsed="false">
      <c r="A583" s="9" t="s">
        <v>923</v>
      </c>
      <c r="B583" s="9"/>
      <c r="C583" s="9"/>
      <c r="D583" s="9"/>
      <c r="E583" s="9" t="s">
        <v>44</v>
      </c>
      <c r="F583" s="9" t="s">
        <v>158</v>
      </c>
      <c r="G583" s="9" t="s">
        <v>47</v>
      </c>
      <c r="H583" s="9"/>
      <c r="I583" s="9" t="s">
        <v>41</v>
      </c>
      <c r="J583" s="9" t="s">
        <v>47</v>
      </c>
      <c r="K583" s="9" t="n">
        <v>0</v>
      </c>
      <c r="L583" s="9" t="s">
        <v>42</v>
      </c>
      <c r="M583" s="9" t="s">
        <v>42</v>
      </c>
      <c r="N583" s="9" t="s">
        <v>42</v>
      </c>
      <c r="O583" s="9" t="s">
        <v>42</v>
      </c>
      <c r="P583" s="9" t="s">
        <v>42</v>
      </c>
      <c r="Q583" s="9" t="n">
        <v>0</v>
      </c>
      <c r="R583" s="9" t="s">
        <v>40</v>
      </c>
      <c r="S583" s="9"/>
    </row>
    <row r="584" customFormat="false" ht="15" hidden="false" customHeight="true" outlineLevel="0" collapsed="false">
      <c r="A584" s="9" t="s">
        <v>924</v>
      </c>
      <c r="B584" s="9" t="n">
        <v>90888</v>
      </c>
      <c r="C584" s="9"/>
      <c r="D584" s="9"/>
      <c r="E584" s="9" t="s">
        <v>38</v>
      </c>
      <c r="F584" s="9" t="s">
        <v>39</v>
      </c>
      <c r="G584" s="9" t="s">
        <v>40</v>
      </c>
      <c r="H584" s="9"/>
      <c r="I584" s="9" t="s">
        <v>41</v>
      </c>
      <c r="J584" s="9" t="s">
        <v>40</v>
      </c>
      <c r="K584" s="9" t="n">
        <v>1</v>
      </c>
      <c r="L584" s="9" t="s">
        <v>42</v>
      </c>
      <c r="M584" s="9" t="s">
        <v>42</v>
      </c>
      <c r="N584" s="9" t="s">
        <v>42</v>
      </c>
      <c r="O584" s="9" t="s">
        <v>42</v>
      </c>
      <c r="P584" s="9" t="s">
        <v>42</v>
      </c>
      <c r="Q584" s="9" t="n">
        <v>30</v>
      </c>
      <c r="R584" s="9" t="s">
        <v>47</v>
      </c>
      <c r="S584" s="9"/>
    </row>
    <row r="585" customFormat="false" ht="15" hidden="false" customHeight="true" outlineLevel="0" collapsed="false">
      <c r="A585" s="9" t="s">
        <v>925</v>
      </c>
      <c r="B585" s="9" t="n">
        <v>98294</v>
      </c>
      <c r="C585" s="9" t="n">
        <v>70</v>
      </c>
      <c r="D585" s="9"/>
      <c r="E585" s="9"/>
      <c r="F585" s="9" t="s">
        <v>54</v>
      </c>
      <c r="G585" s="9" t="s">
        <v>40</v>
      </c>
      <c r="H585" s="9"/>
      <c r="I585" s="9"/>
      <c r="J585" s="9" t="s">
        <v>40</v>
      </c>
      <c r="K585" s="9" t="n">
        <v>0</v>
      </c>
      <c r="L585" s="9" t="s">
        <v>42</v>
      </c>
      <c r="M585" s="9" t="s">
        <v>42</v>
      </c>
      <c r="N585" s="9" t="s">
        <v>42</v>
      </c>
      <c r="O585" s="9" t="s">
        <v>42</v>
      </c>
      <c r="P585" s="9" t="s">
        <v>42</v>
      </c>
      <c r="Q585" s="9" t="n">
        <v>0</v>
      </c>
      <c r="R585" s="9" t="s">
        <v>40</v>
      </c>
      <c r="S585" s="9" t="s">
        <v>433</v>
      </c>
    </row>
    <row r="586" customFormat="false" ht="15" hidden="false" customHeight="true" outlineLevel="0" collapsed="false">
      <c r="A586" s="9" t="s">
        <v>926</v>
      </c>
      <c r="B586" s="9" t="n">
        <v>60911</v>
      </c>
      <c r="C586" s="9"/>
      <c r="D586" s="9" t="s">
        <v>62</v>
      </c>
      <c r="E586" s="9" t="s">
        <v>38</v>
      </c>
      <c r="F586" s="9" t="s">
        <v>39</v>
      </c>
      <c r="G586" s="9" t="s">
        <v>40</v>
      </c>
      <c r="H586" s="9"/>
      <c r="I586" s="9" t="s">
        <v>41</v>
      </c>
      <c r="J586" s="9" t="s">
        <v>40</v>
      </c>
      <c r="K586" s="9" t="n">
        <v>1</v>
      </c>
      <c r="L586" s="9" t="s">
        <v>42</v>
      </c>
      <c r="M586" s="9" t="s">
        <v>42</v>
      </c>
      <c r="N586" s="9" t="s">
        <v>42</v>
      </c>
      <c r="O586" s="9" t="s">
        <v>198</v>
      </c>
      <c r="P586" s="9" t="s">
        <v>42</v>
      </c>
      <c r="Q586" s="9" t="n">
        <v>360</v>
      </c>
      <c r="R586" s="9" t="s">
        <v>47</v>
      </c>
      <c r="S586" s="9"/>
    </row>
    <row r="587" customFormat="false" ht="15" hidden="false" customHeight="true" outlineLevel="0" collapsed="false">
      <c r="A587" s="9" t="s">
        <v>927</v>
      </c>
      <c r="B587" s="9" t="n">
        <v>62361</v>
      </c>
      <c r="C587" s="9" t="n">
        <v>27</v>
      </c>
      <c r="D587" s="9"/>
      <c r="E587" s="9" t="s">
        <v>44</v>
      </c>
      <c r="F587" s="9" t="s">
        <v>54</v>
      </c>
      <c r="G587" s="9" t="s">
        <v>47</v>
      </c>
      <c r="H587" s="9"/>
      <c r="I587" s="9" t="s">
        <v>41</v>
      </c>
      <c r="J587" s="9" t="s">
        <v>47</v>
      </c>
      <c r="K587" s="9" t="n">
        <v>0</v>
      </c>
      <c r="L587" s="9" t="s">
        <v>42</v>
      </c>
      <c r="M587" s="9" t="s">
        <v>42</v>
      </c>
      <c r="N587" s="9" t="s">
        <v>42</v>
      </c>
      <c r="O587" s="9" t="s">
        <v>42</v>
      </c>
      <c r="P587" s="9" t="s">
        <v>42</v>
      </c>
      <c r="Q587" s="9" t="n">
        <v>76500</v>
      </c>
      <c r="R587" s="9" t="s">
        <v>47</v>
      </c>
      <c r="S587" s="9" t="s">
        <v>928</v>
      </c>
    </row>
    <row r="588" customFormat="false" ht="15" hidden="false" customHeight="true" outlineLevel="0" collapsed="false">
      <c r="A588" s="9" t="s">
        <v>929</v>
      </c>
      <c r="B588" s="9" t="n">
        <v>57235</v>
      </c>
      <c r="C588" s="9" t="n">
        <v>33</v>
      </c>
      <c r="D588" s="9"/>
      <c r="E588" s="9" t="s">
        <v>38</v>
      </c>
      <c r="F588" s="9" t="s">
        <v>54</v>
      </c>
      <c r="G588" s="9" t="s">
        <v>47</v>
      </c>
      <c r="H588" s="9"/>
      <c r="I588" s="9" t="s">
        <v>41</v>
      </c>
      <c r="J588" s="9" t="s">
        <v>47</v>
      </c>
      <c r="K588" s="9" t="n">
        <v>3</v>
      </c>
      <c r="L588" s="9" t="s">
        <v>42</v>
      </c>
      <c r="M588" s="9" t="s">
        <v>42</v>
      </c>
      <c r="N588" s="9" t="s">
        <v>42</v>
      </c>
      <c r="O588" s="9" t="s">
        <v>42</v>
      </c>
      <c r="P588" s="9" t="s">
        <v>42</v>
      </c>
      <c r="Q588" s="9" t="n">
        <v>0</v>
      </c>
      <c r="R588" s="9" t="s">
        <v>40</v>
      </c>
      <c r="S588" s="9" t="s">
        <v>930</v>
      </c>
    </row>
    <row r="589" customFormat="false" ht="15" hidden="false" customHeight="true" outlineLevel="0" collapsed="false">
      <c r="A589" s="9" t="s">
        <v>931</v>
      </c>
      <c r="B589" s="9" t="n">
        <v>47223</v>
      </c>
      <c r="C589" s="9" t="n">
        <v>78</v>
      </c>
      <c r="D589" s="9"/>
      <c r="E589" s="9" t="s">
        <v>38</v>
      </c>
      <c r="F589" s="9" t="s">
        <v>39</v>
      </c>
      <c r="G589" s="9" t="s">
        <v>40</v>
      </c>
      <c r="H589" s="9"/>
      <c r="I589" s="9" t="s">
        <v>66</v>
      </c>
      <c r="J589" s="9" t="s">
        <v>40</v>
      </c>
      <c r="K589" s="9" t="n">
        <v>0</v>
      </c>
      <c r="L589" s="9" t="s">
        <v>42</v>
      </c>
      <c r="M589" s="9" t="s">
        <v>72</v>
      </c>
      <c r="N589" s="9" t="s">
        <v>42</v>
      </c>
      <c r="O589" s="9" t="s">
        <v>42</v>
      </c>
      <c r="P589" s="9" t="s">
        <v>42</v>
      </c>
      <c r="Q589" s="9" t="n">
        <v>25</v>
      </c>
      <c r="R589" s="9" t="s">
        <v>47</v>
      </c>
      <c r="S589" s="9" t="s">
        <v>932</v>
      </c>
    </row>
    <row r="590" customFormat="false" ht="15" hidden="false" customHeight="true" outlineLevel="0" collapsed="false">
      <c r="A590" s="9" t="s">
        <v>933</v>
      </c>
      <c r="B590" s="9" t="n">
        <v>90265</v>
      </c>
      <c r="C590" s="9"/>
      <c r="D590" s="9" t="s">
        <v>83</v>
      </c>
      <c r="E590" s="9" t="s">
        <v>50</v>
      </c>
      <c r="F590" s="9" t="s">
        <v>39</v>
      </c>
      <c r="G590" s="9" t="s">
        <v>47</v>
      </c>
      <c r="H590" s="9"/>
      <c r="I590" s="9" t="s">
        <v>41</v>
      </c>
      <c r="J590" s="9" t="s">
        <v>47</v>
      </c>
      <c r="K590" s="9" t="n">
        <v>0</v>
      </c>
      <c r="L590" s="9" t="s">
        <v>42</v>
      </c>
      <c r="M590" s="9" t="s">
        <v>42</v>
      </c>
      <c r="N590" s="9" t="s">
        <v>42</v>
      </c>
      <c r="O590" s="9" t="s">
        <v>42</v>
      </c>
      <c r="P590" s="9" t="s">
        <v>42</v>
      </c>
      <c r="Q590" s="9" t="n">
        <v>0</v>
      </c>
      <c r="R590" s="9" t="s">
        <v>40</v>
      </c>
      <c r="S590" s="9"/>
    </row>
    <row r="591" customFormat="false" ht="15" hidden="false" customHeight="true" outlineLevel="0" collapsed="false">
      <c r="A591" s="9" t="s">
        <v>934</v>
      </c>
      <c r="B591" s="9" t="n">
        <v>9808</v>
      </c>
      <c r="C591" s="9"/>
      <c r="D591" s="9"/>
      <c r="E591" s="9" t="s">
        <v>44</v>
      </c>
      <c r="F591" s="9" t="s">
        <v>39</v>
      </c>
      <c r="G591" s="9" t="s">
        <v>40</v>
      </c>
      <c r="H591" s="9"/>
      <c r="I591" s="9" t="s">
        <v>66</v>
      </c>
      <c r="J591" s="9" t="s">
        <v>40</v>
      </c>
      <c r="K591" s="9" t="n">
        <v>1</v>
      </c>
      <c r="L591" s="9" t="s">
        <v>42</v>
      </c>
      <c r="M591" s="9" t="s">
        <v>42</v>
      </c>
      <c r="N591" s="9" t="s">
        <v>42</v>
      </c>
      <c r="O591" s="9" t="s">
        <v>42</v>
      </c>
      <c r="P591" s="9" t="s">
        <v>42</v>
      </c>
      <c r="Q591" s="9" t="n">
        <v>100000</v>
      </c>
      <c r="R591" s="9" t="s">
        <v>47</v>
      </c>
      <c r="S591" s="9"/>
    </row>
    <row r="592" customFormat="false" ht="15" hidden="false" customHeight="true" outlineLevel="0" collapsed="false">
      <c r="A592" s="9" t="s">
        <v>935</v>
      </c>
      <c r="B592" s="9" t="n">
        <v>46616</v>
      </c>
      <c r="C592" s="9"/>
      <c r="D592" s="9"/>
      <c r="E592" s="9" t="s">
        <v>44</v>
      </c>
      <c r="F592" s="9" t="s">
        <v>39</v>
      </c>
      <c r="G592" s="9" t="s">
        <v>47</v>
      </c>
      <c r="H592" s="9"/>
      <c r="I592" s="9" t="s">
        <v>41</v>
      </c>
      <c r="J592" s="9" t="s">
        <v>40</v>
      </c>
      <c r="K592" s="9" t="n">
        <v>2</v>
      </c>
      <c r="L592" s="9" t="s">
        <v>42</v>
      </c>
      <c r="M592" s="9" t="s">
        <v>42</v>
      </c>
      <c r="N592" s="9" t="s">
        <v>42</v>
      </c>
      <c r="O592" s="9" t="s">
        <v>42</v>
      </c>
      <c r="P592" s="9" t="s">
        <v>42</v>
      </c>
      <c r="Q592" s="9" t="n">
        <v>0</v>
      </c>
      <c r="R592" s="9" t="s">
        <v>40</v>
      </c>
      <c r="S592" s="9"/>
    </row>
    <row r="593" customFormat="false" ht="15" hidden="false" customHeight="true" outlineLevel="0" collapsed="false">
      <c r="A593" s="9" t="s">
        <v>936</v>
      </c>
      <c r="B593" s="9" t="n">
        <v>44599</v>
      </c>
      <c r="C593" s="9"/>
      <c r="D593" s="9"/>
      <c r="E593" s="9" t="s">
        <v>38</v>
      </c>
      <c r="F593" s="9" t="s">
        <v>54</v>
      </c>
      <c r="G593" s="9" t="s">
        <v>47</v>
      </c>
      <c r="H593" s="9"/>
      <c r="I593" s="9" t="s">
        <v>41</v>
      </c>
      <c r="J593" s="9" t="s">
        <v>47</v>
      </c>
      <c r="K593" s="9" t="n">
        <v>1</v>
      </c>
      <c r="L593" s="9" t="s">
        <v>42</v>
      </c>
      <c r="M593" s="9" t="s">
        <v>42</v>
      </c>
      <c r="N593" s="9" t="s">
        <v>42</v>
      </c>
      <c r="O593" s="9" t="s">
        <v>72</v>
      </c>
      <c r="P593" s="9" t="s">
        <v>42</v>
      </c>
      <c r="Q593" s="9" t="n">
        <v>25</v>
      </c>
      <c r="R593" s="9" t="s">
        <v>47</v>
      </c>
      <c r="S593" s="9"/>
    </row>
    <row r="594" customFormat="false" ht="15" hidden="false" customHeight="true" outlineLevel="0" collapsed="false">
      <c r="A594" s="9" t="s">
        <v>937</v>
      </c>
      <c r="B594" s="9" t="n">
        <v>90265</v>
      </c>
      <c r="C594" s="9"/>
      <c r="D594" s="9"/>
      <c r="E594" s="9" t="s">
        <v>44</v>
      </c>
      <c r="F594" s="9" t="s">
        <v>39</v>
      </c>
      <c r="G594" s="9" t="s">
        <v>40</v>
      </c>
      <c r="H594" s="9"/>
      <c r="I594" s="9" t="s">
        <v>41</v>
      </c>
      <c r="J594" s="9" t="s">
        <v>40</v>
      </c>
      <c r="K594" s="9" t="n">
        <v>1</v>
      </c>
      <c r="L594" s="9" t="s">
        <v>42</v>
      </c>
      <c r="M594" s="9" t="s">
        <v>42</v>
      </c>
      <c r="N594" s="9" t="s">
        <v>42</v>
      </c>
      <c r="O594" s="9" t="s">
        <v>42</v>
      </c>
      <c r="P594" s="9" t="s">
        <v>42</v>
      </c>
      <c r="Q594" s="9" t="n">
        <v>85</v>
      </c>
      <c r="R594" s="9" t="s">
        <v>47</v>
      </c>
      <c r="S594" s="9"/>
    </row>
    <row r="595" customFormat="false" ht="15" hidden="false" customHeight="true" outlineLevel="0" collapsed="false">
      <c r="A595" s="9" t="s">
        <v>938</v>
      </c>
      <c r="B595" s="9" t="n">
        <v>6156</v>
      </c>
      <c r="C595" s="9" t="n">
        <v>88</v>
      </c>
      <c r="D595" s="9" t="s">
        <v>62</v>
      </c>
      <c r="E595" s="9" t="s">
        <v>44</v>
      </c>
      <c r="F595" s="9" t="s">
        <v>39</v>
      </c>
      <c r="G595" s="9" t="s">
        <v>40</v>
      </c>
      <c r="H595" s="9" t="s">
        <v>494</v>
      </c>
      <c r="I595" s="9" t="s">
        <v>41</v>
      </c>
      <c r="J595" s="9" t="s">
        <v>47</v>
      </c>
      <c r="K595" s="9" t="n">
        <v>1</v>
      </c>
      <c r="L595" s="9" t="s">
        <v>42</v>
      </c>
      <c r="M595" s="9" t="s">
        <v>42</v>
      </c>
      <c r="N595" s="9" t="s">
        <v>63</v>
      </c>
      <c r="O595" s="9" t="s">
        <v>939</v>
      </c>
      <c r="P595" s="9" t="s">
        <v>42</v>
      </c>
      <c r="Q595" s="9" t="n">
        <v>126500</v>
      </c>
      <c r="R595" s="9" t="s">
        <v>47</v>
      </c>
      <c r="S595" s="9" t="s">
        <v>940</v>
      </c>
    </row>
    <row r="596" customFormat="false" ht="15" hidden="false" customHeight="true" outlineLevel="0" collapsed="false">
      <c r="A596" s="9" t="s">
        <v>941</v>
      </c>
      <c r="B596" s="9" t="n">
        <v>29112</v>
      </c>
      <c r="C596" s="9"/>
      <c r="D596" s="9"/>
      <c r="E596" s="9" t="s">
        <v>38</v>
      </c>
      <c r="F596" s="9" t="s">
        <v>39</v>
      </c>
      <c r="G596" s="9" t="s">
        <v>40</v>
      </c>
      <c r="H596" s="9"/>
      <c r="I596" s="9" t="s">
        <v>66</v>
      </c>
      <c r="J596" s="9" t="s">
        <v>40</v>
      </c>
      <c r="K596" s="9" t="n">
        <v>4</v>
      </c>
      <c r="L596" s="9" t="s">
        <v>42</v>
      </c>
      <c r="M596" s="9" t="s">
        <v>42</v>
      </c>
      <c r="N596" s="9" t="s">
        <v>42</v>
      </c>
      <c r="O596" s="9" t="s">
        <v>42</v>
      </c>
      <c r="P596" s="9" t="s">
        <v>42</v>
      </c>
      <c r="Q596" s="9" t="n">
        <v>905</v>
      </c>
      <c r="R596" s="9" t="s">
        <v>47</v>
      </c>
      <c r="S596" s="9"/>
    </row>
    <row r="597" customFormat="false" ht="15" hidden="false" customHeight="true" outlineLevel="0" collapsed="false">
      <c r="A597" s="9" t="s">
        <v>942</v>
      </c>
      <c r="B597" s="9" t="n">
        <v>23964</v>
      </c>
      <c r="C597" s="9"/>
      <c r="D597" s="9"/>
      <c r="E597" s="9" t="s">
        <v>44</v>
      </c>
      <c r="F597" s="9" t="s">
        <v>39</v>
      </c>
      <c r="G597" s="9" t="s">
        <v>40</v>
      </c>
      <c r="H597" s="9"/>
      <c r="I597" s="9" t="s">
        <v>46</v>
      </c>
      <c r="J597" s="9" t="s">
        <v>40</v>
      </c>
      <c r="K597" s="9" t="n">
        <v>1</v>
      </c>
      <c r="L597" s="9" t="s">
        <v>42</v>
      </c>
      <c r="M597" s="9" t="s">
        <v>42</v>
      </c>
      <c r="N597" s="9" t="s">
        <v>42</v>
      </c>
      <c r="O597" s="9" t="s">
        <v>42</v>
      </c>
      <c r="P597" s="9" t="s">
        <v>42</v>
      </c>
      <c r="Q597" s="9" t="n">
        <v>30</v>
      </c>
      <c r="R597" s="9" t="s">
        <v>47</v>
      </c>
      <c r="S597" s="9"/>
    </row>
    <row r="598" customFormat="false" ht="15" hidden="false" customHeight="true" outlineLevel="0" collapsed="false">
      <c r="A598" s="9" t="s">
        <v>943</v>
      </c>
      <c r="B598" s="9" t="n">
        <v>67564</v>
      </c>
      <c r="C598" s="9"/>
      <c r="D598" s="9"/>
      <c r="E598" s="9" t="s">
        <v>44</v>
      </c>
      <c r="F598" s="9" t="s">
        <v>39</v>
      </c>
      <c r="G598" s="9" t="s">
        <v>40</v>
      </c>
      <c r="H598" s="9"/>
      <c r="I598" s="9" t="s">
        <v>41</v>
      </c>
      <c r="J598" s="9" t="s">
        <v>40</v>
      </c>
      <c r="K598" s="9" t="n">
        <v>1</v>
      </c>
      <c r="L598" s="9" t="s">
        <v>57</v>
      </c>
      <c r="M598" s="9" t="s">
        <v>42</v>
      </c>
      <c r="N598" s="9" t="s">
        <v>42</v>
      </c>
      <c r="O598" s="9" t="s">
        <v>42</v>
      </c>
      <c r="P598" s="9" t="s">
        <v>42</v>
      </c>
      <c r="Q598" s="9" t="n">
        <v>405</v>
      </c>
      <c r="R598" s="9" t="s">
        <v>47</v>
      </c>
      <c r="S598" s="9"/>
    </row>
    <row r="599" customFormat="false" ht="15" hidden="false" customHeight="true" outlineLevel="0" collapsed="false">
      <c r="A599" s="9" t="s">
        <v>944</v>
      </c>
      <c r="B599" s="9" t="n">
        <v>57216</v>
      </c>
      <c r="C599" s="9"/>
      <c r="D599" s="9"/>
      <c r="E599" s="9" t="s">
        <v>44</v>
      </c>
      <c r="F599" s="9" t="s">
        <v>39</v>
      </c>
      <c r="G599" s="9" t="s">
        <v>40</v>
      </c>
      <c r="H599" s="9"/>
      <c r="I599" s="9" t="s">
        <v>41</v>
      </c>
      <c r="J599" s="9" t="s">
        <v>40</v>
      </c>
      <c r="K599" s="9" t="n">
        <v>1</v>
      </c>
      <c r="L599" s="9" t="s">
        <v>42</v>
      </c>
      <c r="M599" s="9" t="s">
        <v>42</v>
      </c>
      <c r="N599" s="9" t="s">
        <v>42</v>
      </c>
      <c r="O599" s="9" t="s">
        <v>57</v>
      </c>
      <c r="P599" s="9" t="s">
        <v>57</v>
      </c>
      <c r="Q599" s="9" t="n">
        <v>2</v>
      </c>
      <c r="R599" s="9" t="s">
        <v>47</v>
      </c>
      <c r="S599" s="9"/>
    </row>
    <row r="600" customFormat="false" ht="15" hidden="false" customHeight="true" outlineLevel="0" collapsed="false">
      <c r="A600" s="9" t="s">
        <v>945</v>
      </c>
      <c r="B600" s="9" t="n">
        <v>81135</v>
      </c>
      <c r="C600" s="9"/>
      <c r="D600" s="9"/>
      <c r="E600" s="9" t="s">
        <v>38</v>
      </c>
      <c r="F600" s="9" t="s">
        <v>39</v>
      </c>
      <c r="G600" s="9" t="s">
        <v>40</v>
      </c>
      <c r="H600" s="9"/>
      <c r="I600" s="9" t="s">
        <v>46</v>
      </c>
      <c r="J600" s="9" t="s">
        <v>40</v>
      </c>
      <c r="K600" s="9" t="n">
        <v>0</v>
      </c>
      <c r="L600" s="9" t="s">
        <v>42</v>
      </c>
      <c r="M600" s="9" t="s">
        <v>42</v>
      </c>
      <c r="N600" s="9" t="s">
        <v>42</v>
      </c>
      <c r="O600" s="9" t="s">
        <v>42</v>
      </c>
      <c r="P600" s="9" t="s">
        <v>42</v>
      </c>
      <c r="Q600" s="9" t="n">
        <v>240</v>
      </c>
      <c r="R600" s="9" t="s">
        <v>47</v>
      </c>
      <c r="S600" s="9"/>
    </row>
    <row r="601" customFormat="false" ht="15" hidden="false" customHeight="true" outlineLevel="0" collapsed="false">
      <c r="A601" s="9" t="s">
        <v>946</v>
      </c>
      <c r="B601" s="9" t="n">
        <v>56212</v>
      </c>
      <c r="C601" s="9"/>
      <c r="D601" s="9"/>
      <c r="E601" s="9" t="s">
        <v>44</v>
      </c>
      <c r="F601" s="9" t="s">
        <v>39</v>
      </c>
      <c r="G601" s="9" t="s">
        <v>40</v>
      </c>
      <c r="H601" s="9"/>
      <c r="I601" s="9"/>
      <c r="J601" s="9" t="s">
        <v>40</v>
      </c>
      <c r="K601" s="9" t="n">
        <v>1</v>
      </c>
      <c r="L601" s="9" t="s">
        <v>42</v>
      </c>
      <c r="M601" s="9" t="s">
        <v>42</v>
      </c>
      <c r="N601" s="9" t="s">
        <v>42</v>
      </c>
      <c r="O601" s="9" t="s">
        <v>42</v>
      </c>
      <c r="P601" s="9" t="s">
        <v>42</v>
      </c>
      <c r="Q601" s="9" t="n">
        <v>509</v>
      </c>
      <c r="R601" s="9" t="s">
        <v>47</v>
      </c>
      <c r="S601" s="9"/>
    </row>
    <row r="602" customFormat="false" ht="15" hidden="false" customHeight="true" outlineLevel="0" collapsed="false">
      <c r="A602" s="9" t="s">
        <v>947</v>
      </c>
      <c r="B602" s="9" t="n">
        <v>33807</v>
      </c>
      <c r="C602" s="9"/>
      <c r="D602" s="9"/>
      <c r="E602" s="9" t="s">
        <v>44</v>
      </c>
      <c r="F602" s="9" t="s">
        <v>54</v>
      </c>
      <c r="G602" s="9" t="s">
        <v>40</v>
      </c>
      <c r="H602" s="9"/>
      <c r="I602" s="9"/>
      <c r="J602" s="9" t="s">
        <v>40</v>
      </c>
      <c r="K602" s="9" t="n">
        <v>0</v>
      </c>
      <c r="L602" s="9" t="s">
        <v>42</v>
      </c>
      <c r="M602" s="9" t="s">
        <v>42</v>
      </c>
      <c r="N602" s="9" t="s">
        <v>42</v>
      </c>
      <c r="O602" s="9" t="s">
        <v>42</v>
      </c>
      <c r="P602" s="9" t="s">
        <v>42</v>
      </c>
      <c r="Q602" s="9" t="n">
        <v>0</v>
      </c>
      <c r="R602" s="9" t="s">
        <v>40</v>
      </c>
      <c r="S602" s="9"/>
    </row>
    <row r="603" customFormat="false" ht="15" hidden="false" customHeight="true" outlineLevel="0" collapsed="false">
      <c r="A603" s="9" t="s">
        <v>948</v>
      </c>
      <c r="B603" s="9" t="n">
        <v>97486</v>
      </c>
      <c r="C603" s="9"/>
      <c r="D603" s="9" t="s">
        <v>62</v>
      </c>
      <c r="E603" s="9" t="s">
        <v>44</v>
      </c>
      <c r="F603" s="9" t="s">
        <v>158</v>
      </c>
      <c r="G603" s="9" t="s">
        <v>47</v>
      </c>
      <c r="H603" s="9"/>
      <c r="I603" s="9" t="s">
        <v>41</v>
      </c>
      <c r="J603" s="9" t="s">
        <v>40</v>
      </c>
      <c r="K603" s="9" t="n">
        <v>4</v>
      </c>
      <c r="L603" s="9" t="s">
        <v>42</v>
      </c>
      <c r="M603" s="9" t="s">
        <v>42</v>
      </c>
      <c r="N603" s="9" t="s">
        <v>42</v>
      </c>
      <c r="O603" s="9" t="s">
        <v>42</v>
      </c>
      <c r="P603" s="9" t="s">
        <v>42</v>
      </c>
      <c r="Q603" s="9" t="n">
        <v>0</v>
      </c>
      <c r="R603" s="9" t="s">
        <v>40</v>
      </c>
      <c r="S603" s="9"/>
    </row>
    <row r="604" customFormat="false" ht="15" hidden="false" customHeight="true" outlineLevel="0" collapsed="false">
      <c r="A604" s="9" t="s">
        <v>949</v>
      </c>
      <c r="B604" s="9" t="n">
        <v>90265</v>
      </c>
      <c r="C604" s="9"/>
      <c r="D604" s="9"/>
      <c r="E604" s="9" t="s">
        <v>44</v>
      </c>
      <c r="F604" s="9" t="s">
        <v>39</v>
      </c>
      <c r="G604" s="9" t="s">
        <v>40</v>
      </c>
      <c r="H604" s="9"/>
      <c r="I604" s="9" t="s">
        <v>41</v>
      </c>
      <c r="J604" s="9" t="s">
        <v>40</v>
      </c>
      <c r="K604" s="9" t="n">
        <v>1</v>
      </c>
      <c r="L604" s="9" t="s">
        <v>42</v>
      </c>
      <c r="M604" s="9" t="s">
        <v>42</v>
      </c>
      <c r="N604" s="9" t="s">
        <v>42</v>
      </c>
      <c r="O604" s="9" t="s">
        <v>42</v>
      </c>
      <c r="P604" s="9" t="s">
        <v>42</v>
      </c>
      <c r="Q604" s="9" t="n">
        <v>0</v>
      </c>
      <c r="R604" s="9" t="s">
        <v>40</v>
      </c>
      <c r="S604" s="9"/>
    </row>
    <row r="605" customFormat="false" ht="15" hidden="false" customHeight="true" outlineLevel="0" collapsed="false">
      <c r="A605" s="9" t="s">
        <v>950</v>
      </c>
      <c r="B605" s="9" t="n">
        <v>71642</v>
      </c>
      <c r="C605" s="9" t="n">
        <v>70</v>
      </c>
      <c r="D605" s="9"/>
      <c r="E605" s="9" t="s">
        <v>44</v>
      </c>
      <c r="F605" s="9" t="s">
        <v>39</v>
      </c>
      <c r="G605" s="9" t="s">
        <v>40</v>
      </c>
      <c r="H605" s="9"/>
      <c r="I605" s="9" t="s">
        <v>41</v>
      </c>
      <c r="J605" s="9" t="s">
        <v>47</v>
      </c>
      <c r="K605" s="9" t="n">
        <v>0</v>
      </c>
      <c r="L605" s="9" t="s">
        <v>42</v>
      </c>
      <c r="M605" s="9" t="s">
        <v>42</v>
      </c>
      <c r="N605" s="9" t="s">
        <v>42</v>
      </c>
      <c r="O605" s="9" t="s">
        <v>42</v>
      </c>
      <c r="P605" s="9" t="s">
        <v>42</v>
      </c>
      <c r="Q605" s="9" t="n">
        <v>100</v>
      </c>
      <c r="R605" s="9" t="s">
        <v>47</v>
      </c>
      <c r="S605" s="9" t="s">
        <v>951</v>
      </c>
    </row>
    <row r="606" customFormat="false" ht="15" hidden="false" customHeight="true" outlineLevel="0" collapsed="false">
      <c r="A606" s="9" t="s">
        <v>952</v>
      </c>
      <c r="B606" s="9" t="n">
        <v>9252</v>
      </c>
      <c r="C606" s="9"/>
      <c r="D606" s="9"/>
      <c r="E606" s="9" t="s">
        <v>38</v>
      </c>
      <c r="F606" s="9" t="s">
        <v>39</v>
      </c>
      <c r="G606" s="9" t="s">
        <v>40</v>
      </c>
      <c r="H606" s="9"/>
      <c r="I606" s="9" t="s">
        <v>41</v>
      </c>
      <c r="J606" s="9" t="s">
        <v>40</v>
      </c>
      <c r="K606" s="9" t="n">
        <v>2</v>
      </c>
      <c r="L606" s="9" t="s">
        <v>42</v>
      </c>
      <c r="M606" s="9" t="s">
        <v>42</v>
      </c>
      <c r="N606" s="9" t="s">
        <v>42</v>
      </c>
      <c r="O606" s="9" t="s">
        <v>42</v>
      </c>
      <c r="P606" s="9" t="s">
        <v>42</v>
      </c>
      <c r="Q606" s="9" t="n">
        <v>0</v>
      </c>
      <c r="R606" s="9" t="s">
        <v>40</v>
      </c>
      <c r="S606" s="9"/>
    </row>
    <row r="607" customFormat="false" ht="15" hidden="false" customHeight="true" outlineLevel="0" collapsed="false">
      <c r="A607" s="9" t="s">
        <v>953</v>
      </c>
      <c r="B607" s="9" t="n">
        <v>90265</v>
      </c>
      <c r="C607" s="9"/>
      <c r="D607" s="9" t="s">
        <v>83</v>
      </c>
      <c r="E607" s="9" t="s">
        <v>50</v>
      </c>
      <c r="F607" s="9" t="s">
        <v>39</v>
      </c>
      <c r="G607" s="9" t="s">
        <v>47</v>
      </c>
      <c r="H607" s="9"/>
      <c r="I607" s="9" t="s">
        <v>41</v>
      </c>
      <c r="J607" s="9" t="s">
        <v>40</v>
      </c>
      <c r="K607" s="9" t="n">
        <v>0</v>
      </c>
      <c r="L607" s="9" t="s">
        <v>42</v>
      </c>
      <c r="M607" s="9" t="s">
        <v>42</v>
      </c>
      <c r="N607" s="9" t="s">
        <v>42</v>
      </c>
      <c r="O607" s="9" t="s">
        <v>42</v>
      </c>
      <c r="P607" s="9" t="s">
        <v>63</v>
      </c>
      <c r="Q607" s="9" t="n">
        <v>100</v>
      </c>
      <c r="R607" s="9" t="s">
        <v>47</v>
      </c>
      <c r="S607" s="9"/>
    </row>
    <row r="608" customFormat="false" ht="15" hidden="false" customHeight="true" outlineLevel="0" collapsed="false">
      <c r="A608" s="9" t="s">
        <v>954</v>
      </c>
      <c r="B608" s="9" t="n">
        <v>20711</v>
      </c>
      <c r="C608" s="9"/>
      <c r="D608" s="9" t="s">
        <v>83</v>
      </c>
      <c r="E608" s="9" t="s">
        <v>44</v>
      </c>
      <c r="F608" s="9" t="s">
        <v>39</v>
      </c>
      <c r="G608" s="9" t="s">
        <v>40</v>
      </c>
      <c r="H608" s="9"/>
      <c r="I608" s="9" t="s">
        <v>41</v>
      </c>
      <c r="J608" s="9" t="s">
        <v>40</v>
      </c>
      <c r="K608" s="9" t="n">
        <v>0</v>
      </c>
      <c r="L608" s="9" t="s">
        <v>42</v>
      </c>
      <c r="M608" s="9" t="s">
        <v>42</v>
      </c>
      <c r="N608" s="9" t="s">
        <v>42</v>
      </c>
      <c r="O608" s="9" t="s">
        <v>57</v>
      </c>
      <c r="P608" s="9" t="s">
        <v>42</v>
      </c>
      <c r="Q608" s="9" t="n">
        <v>1</v>
      </c>
      <c r="R608" s="9" t="s">
        <v>47</v>
      </c>
      <c r="S608" s="9"/>
    </row>
    <row r="609" customFormat="false" ht="15" hidden="false" customHeight="true" outlineLevel="0" collapsed="false">
      <c r="A609" s="9" t="s">
        <v>955</v>
      </c>
      <c r="B609" s="9" t="n">
        <v>18435</v>
      </c>
      <c r="C609" s="9"/>
      <c r="D609" s="9" t="s">
        <v>62</v>
      </c>
      <c r="E609" s="9" t="s">
        <v>38</v>
      </c>
      <c r="F609" s="9" t="s">
        <v>45</v>
      </c>
      <c r="G609" s="9" t="s">
        <v>40</v>
      </c>
      <c r="H609" s="9"/>
      <c r="I609" s="9" t="s">
        <v>41</v>
      </c>
      <c r="J609" s="9" t="s">
        <v>40</v>
      </c>
      <c r="K609" s="9" t="n">
        <v>0</v>
      </c>
      <c r="L609" s="9" t="s">
        <v>42</v>
      </c>
      <c r="M609" s="9" t="s">
        <v>42</v>
      </c>
      <c r="N609" s="9" t="s">
        <v>42</v>
      </c>
      <c r="O609" s="9" t="s">
        <v>42</v>
      </c>
      <c r="P609" s="9" t="s">
        <v>42</v>
      </c>
      <c r="Q609" s="9" t="n">
        <v>0</v>
      </c>
      <c r="R609" s="9" t="s">
        <v>40</v>
      </c>
      <c r="S609" s="9"/>
    </row>
    <row r="610" customFormat="false" ht="15" hidden="false" customHeight="true" outlineLevel="0" collapsed="false">
      <c r="A610" s="9" t="s">
        <v>956</v>
      </c>
      <c r="B610" s="9" t="n">
        <v>81020</v>
      </c>
      <c r="C610" s="9"/>
      <c r="D610" s="9" t="s">
        <v>62</v>
      </c>
      <c r="E610" s="9" t="s">
        <v>44</v>
      </c>
      <c r="F610" s="9" t="s">
        <v>39</v>
      </c>
      <c r="G610" s="9" t="s">
        <v>40</v>
      </c>
      <c r="H610" s="9"/>
      <c r="I610" s="9" t="s">
        <v>41</v>
      </c>
      <c r="J610" s="9" t="s">
        <v>40</v>
      </c>
      <c r="K610" s="9" t="n">
        <v>0</v>
      </c>
      <c r="L610" s="9" t="s">
        <v>42</v>
      </c>
      <c r="M610" s="9" t="s">
        <v>42</v>
      </c>
      <c r="N610" s="9" t="s">
        <v>42</v>
      </c>
      <c r="O610" s="9" t="s">
        <v>381</v>
      </c>
      <c r="P610" s="9" t="s">
        <v>42</v>
      </c>
      <c r="Q610" s="9" t="n">
        <v>60</v>
      </c>
      <c r="R610" s="9" t="s">
        <v>47</v>
      </c>
      <c r="S610" s="9"/>
    </row>
    <row r="611" customFormat="false" ht="15" hidden="false" customHeight="true" outlineLevel="0" collapsed="false">
      <c r="A611" s="9" t="s">
        <v>957</v>
      </c>
      <c r="B611" s="9" t="n">
        <v>82631</v>
      </c>
      <c r="C611" s="9"/>
      <c r="D611" s="9" t="s">
        <v>62</v>
      </c>
      <c r="E611" s="9" t="s">
        <v>38</v>
      </c>
      <c r="F611" s="9" t="s">
        <v>45</v>
      </c>
      <c r="G611" s="9" t="s">
        <v>47</v>
      </c>
      <c r="H611" s="9"/>
      <c r="I611" s="9" t="s">
        <v>41</v>
      </c>
      <c r="J611" s="9" t="s">
        <v>40</v>
      </c>
      <c r="K611" s="9" t="n">
        <v>0</v>
      </c>
      <c r="L611" s="9" t="s">
        <v>42</v>
      </c>
      <c r="M611" s="9" t="s">
        <v>42</v>
      </c>
      <c r="N611" s="9" t="s">
        <v>42</v>
      </c>
      <c r="O611" s="9" t="s">
        <v>42</v>
      </c>
      <c r="P611" s="9" t="s">
        <v>42</v>
      </c>
      <c r="Q611" s="9" t="n">
        <v>123</v>
      </c>
      <c r="R611" s="9" t="s">
        <v>47</v>
      </c>
      <c r="S611" s="9"/>
    </row>
    <row r="612" customFormat="false" ht="15" hidden="false" customHeight="true" outlineLevel="0" collapsed="false">
      <c r="A612" s="9" t="s">
        <v>958</v>
      </c>
      <c r="B612" s="9" t="n">
        <v>45280</v>
      </c>
      <c r="C612" s="9" t="n">
        <v>32</v>
      </c>
      <c r="D612" s="9"/>
      <c r="E612" s="9" t="s">
        <v>38</v>
      </c>
      <c r="F612" s="9" t="s">
        <v>39</v>
      </c>
      <c r="G612" s="9" t="s">
        <v>40</v>
      </c>
      <c r="H612" s="9"/>
      <c r="I612" s="9" t="s">
        <v>41</v>
      </c>
      <c r="J612" s="9" t="s">
        <v>40</v>
      </c>
      <c r="K612" s="9" t="n">
        <v>0</v>
      </c>
      <c r="L612" s="9" t="s">
        <v>42</v>
      </c>
      <c r="M612" s="9" t="s">
        <v>42</v>
      </c>
      <c r="N612" s="9" t="s">
        <v>42</v>
      </c>
      <c r="O612" s="9" t="s">
        <v>42</v>
      </c>
      <c r="P612" s="9" t="s">
        <v>42</v>
      </c>
      <c r="Q612" s="9" t="n">
        <v>0</v>
      </c>
      <c r="R612" s="9" t="s">
        <v>40</v>
      </c>
      <c r="S612" s="9" t="s">
        <v>959</v>
      </c>
    </row>
    <row r="613" customFormat="false" ht="15" hidden="false" customHeight="true" outlineLevel="0" collapsed="false">
      <c r="A613" s="9" t="s">
        <v>960</v>
      </c>
      <c r="B613" s="9" t="n">
        <v>49502</v>
      </c>
      <c r="C613" s="9"/>
      <c r="D613" s="9" t="s">
        <v>62</v>
      </c>
      <c r="E613" s="9" t="s">
        <v>38</v>
      </c>
      <c r="F613" s="9" t="s">
        <v>39</v>
      </c>
      <c r="G613" s="9" t="s">
        <v>40</v>
      </c>
      <c r="H613" s="9"/>
      <c r="I613" s="9" t="s">
        <v>46</v>
      </c>
      <c r="J613" s="9" t="s">
        <v>47</v>
      </c>
      <c r="K613" s="9" t="n">
        <v>0</v>
      </c>
      <c r="L613" s="9" t="s">
        <v>42</v>
      </c>
      <c r="M613" s="9" t="s">
        <v>42</v>
      </c>
      <c r="N613" s="9" t="s">
        <v>42</v>
      </c>
      <c r="O613" s="9" t="s">
        <v>42</v>
      </c>
      <c r="P613" s="9" t="s">
        <v>42</v>
      </c>
      <c r="Q613" s="9" t="n">
        <v>0</v>
      </c>
      <c r="R613" s="9" t="s">
        <v>40</v>
      </c>
      <c r="S613" s="9"/>
    </row>
    <row r="614" customFormat="false" ht="15" hidden="false" customHeight="true" outlineLevel="0" collapsed="false">
      <c r="A614" s="9" t="s">
        <v>961</v>
      </c>
      <c r="B614" s="9" t="n">
        <v>23501</v>
      </c>
      <c r="C614" s="9" t="n">
        <v>34</v>
      </c>
      <c r="D614" s="9"/>
      <c r="E614" s="9" t="s">
        <v>38</v>
      </c>
      <c r="F614" s="9" t="s">
        <v>54</v>
      </c>
      <c r="G614" s="9" t="s">
        <v>47</v>
      </c>
      <c r="H614" s="9"/>
      <c r="I614" s="9" t="s">
        <v>41</v>
      </c>
      <c r="J614" s="9" t="s">
        <v>47</v>
      </c>
      <c r="K614" s="9" t="n">
        <v>1</v>
      </c>
      <c r="L614" s="9" t="s">
        <v>42</v>
      </c>
      <c r="M614" s="9" t="s">
        <v>42</v>
      </c>
      <c r="N614" s="9" t="s">
        <v>42</v>
      </c>
      <c r="O614" s="9" t="s">
        <v>42</v>
      </c>
      <c r="P614" s="9" t="s">
        <v>42</v>
      </c>
      <c r="Q614" s="9" t="n">
        <v>0</v>
      </c>
      <c r="R614" s="9" t="s">
        <v>40</v>
      </c>
      <c r="S614" s="9" t="s">
        <v>962</v>
      </c>
    </row>
    <row r="615" customFormat="false" ht="15" hidden="false" customHeight="true" outlineLevel="0" collapsed="false">
      <c r="A615" s="9" t="s">
        <v>963</v>
      </c>
      <c r="B615" s="9" t="n">
        <v>90265</v>
      </c>
      <c r="C615" s="9"/>
      <c r="D615" s="9"/>
      <c r="E615" s="9" t="s">
        <v>38</v>
      </c>
      <c r="F615" s="9" t="s">
        <v>39</v>
      </c>
      <c r="G615" s="9" t="s">
        <v>40</v>
      </c>
      <c r="H615" s="9"/>
      <c r="I615" s="9" t="s">
        <v>41</v>
      </c>
      <c r="J615" s="9" t="s">
        <v>40</v>
      </c>
      <c r="K615" s="9" t="n">
        <v>1</v>
      </c>
      <c r="L615" s="9" t="s">
        <v>42</v>
      </c>
      <c r="M615" s="9" t="s">
        <v>42</v>
      </c>
      <c r="N615" s="9" t="s">
        <v>42</v>
      </c>
      <c r="O615" s="9" t="s">
        <v>42</v>
      </c>
      <c r="P615" s="9" t="s">
        <v>197</v>
      </c>
      <c r="Q615" s="9" t="n">
        <v>203</v>
      </c>
      <c r="R615" s="9" t="s">
        <v>47</v>
      </c>
      <c r="S615" s="9"/>
    </row>
    <row r="616" customFormat="false" ht="15" hidden="false" customHeight="true" outlineLevel="0" collapsed="false">
      <c r="A616" s="9" t="s">
        <v>964</v>
      </c>
      <c r="B616" s="9" t="n">
        <v>90265</v>
      </c>
      <c r="C616" s="9"/>
      <c r="D616" s="9"/>
      <c r="E616" s="9" t="s">
        <v>38</v>
      </c>
      <c r="F616" s="9" t="s">
        <v>39</v>
      </c>
      <c r="G616" s="9" t="s">
        <v>40</v>
      </c>
      <c r="H616" s="9"/>
      <c r="I616" s="9" t="s">
        <v>41</v>
      </c>
      <c r="J616" s="9" t="s">
        <v>40</v>
      </c>
      <c r="K616" s="9" t="n">
        <v>2</v>
      </c>
      <c r="L616" s="9" t="s">
        <v>42</v>
      </c>
      <c r="M616" s="9" t="s">
        <v>965</v>
      </c>
      <c r="N616" s="9" t="s">
        <v>42</v>
      </c>
      <c r="O616" s="9" t="s">
        <v>42</v>
      </c>
      <c r="P616" s="9" t="s">
        <v>42</v>
      </c>
      <c r="Q616" s="9" t="n">
        <v>1525</v>
      </c>
      <c r="R616" s="9" t="s">
        <v>47</v>
      </c>
      <c r="S616" s="9"/>
    </row>
    <row r="617" customFormat="false" ht="15" hidden="false" customHeight="true" outlineLevel="0" collapsed="false">
      <c r="A617" s="9" t="s">
        <v>966</v>
      </c>
      <c r="B617" s="9" t="n">
        <v>78261</v>
      </c>
      <c r="C617" s="9" t="n">
        <v>48</v>
      </c>
      <c r="D617" s="9"/>
      <c r="E617" s="9" t="s">
        <v>44</v>
      </c>
      <c r="F617" s="9" t="s">
        <v>54</v>
      </c>
      <c r="G617" s="9" t="s">
        <v>47</v>
      </c>
      <c r="H617" s="9"/>
      <c r="I617" s="9" t="s">
        <v>41</v>
      </c>
      <c r="J617" s="9" t="s">
        <v>47</v>
      </c>
      <c r="K617" s="9" t="n">
        <v>0</v>
      </c>
      <c r="L617" s="9" t="s">
        <v>42</v>
      </c>
      <c r="M617" s="9" t="s">
        <v>42</v>
      </c>
      <c r="N617" s="9" t="s">
        <v>42</v>
      </c>
      <c r="O617" s="9" t="s">
        <v>42</v>
      </c>
      <c r="P617" s="9" t="s">
        <v>42</v>
      </c>
      <c r="Q617" s="9" t="n">
        <v>15</v>
      </c>
      <c r="R617" s="9" t="s">
        <v>47</v>
      </c>
      <c r="S617" s="9" t="s">
        <v>967</v>
      </c>
    </row>
    <row r="618" customFormat="false" ht="15" hidden="false" customHeight="true" outlineLevel="0" collapsed="false">
      <c r="A618" s="9" t="s">
        <v>968</v>
      </c>
      <c r="B618" s="9" t="n">
        <v>9069</v>
      </c>
      <c r="C618" s="9"/>
      <c r="D618" s="9"/>
      <c r="E618" s="9" t="s">
        <v>44</v>
      </c>
      <c r="F618" s="9" t="s">
        <v>39</v>
      </c>
      <c r="G618" s="9" t="s">
        <v>40</v>
      </c>
      <c r="H618" s="9"/>
      <c r="I618" s="9" t="s">
        <v>41</v>
      </c>
      <c r="J618" s="9" t="s">
        <v>40</v>
      </c>
      <c r="K618" s="9" t="n">
        <v>1</v>
      </c>
      <c r="L618" s="9" t="s">
        <v>42</v>
      </c>
      <c r="M618" s="9" t="s">
        <v>42</v>
      </c>
      <c r="N618" s="9" t="s">
        <v>89</v>
      </c>
      <c r="O618" s="9" t="s">
        <v>42</v>
      </c>
      <c r="P618" s="9" t="s">
        <v>42</v>
      </c>
      <c r="Q618" s="9" t="n">
        <v>100</v>
      </c>
      <c r="R618" s="9" t="s">
        <v>47</v>
      </c>
      <c r="S618" s="9"/>
    </row>
    <row r="619" customFormat="false" ht="15" hidden="false" customHeight="true" outlineLevel="0" collapsed="false">
      <c r="A619" s="9" t="s">
        <v>969</v>
      </c>
      <c r="B619" s="9" t="n">
        <v>90879</v>
      </c>
      <c r="C619" s="9"/>
      <c r="D619" s="9"/>
      <c r="E619" s="9" t="s">
        <v>38</v>
      </c>
      <c r="F619" s="9" t="s">
        <v>54</v>
      </c>
      <c r="G619" s="9" t="s">
        <v>40</v>
      </c>
      <c r="H619" s="9"/>
      <c r="I619" s="9" t="s">
        <v>41</v>
      </c>
      <c r="J619" s="9" t="s">
        <v>47</v>
      </c>
      <c r="K619" s="9" t="n">
        <v>0</v>
      </c>
      <c r="L619" s="9" t="s">
        <v>42</v>
      </c>
      <c r="M619" s="9" t="s">
        <v>100</v>
      </c>
      <c r="N619" s="9" t="s">
        <v>42</v>
      </c>
      <c r="O619" s="9" t="s">
        <v>42</v>
      </c>
      <c r="P619" s="9" t="s">
        <v>57</v>
      </c>
      <c r="Q619" s="9" t="n">
        <v>301</v>
      </c>
      <c r="R619" s="9" t="s">
        <v>47</v>
      </c>
      <c r="S619" s="9"/>
    </row>
    <row r="620" customFormat="false" ht="15" hidden="false" customHeight="true" outlineLevel="0" collapsed="false">
      <c r="A620" s="9" t="s">
        <v>970</v>
      </c>
      <c r="B620" s="9" t="n">
        <v>90265</v>
      </c>
      <c r="C620" s="9" t="n">
        <v>32</v>
      </c>
      <c r="D620" s="9"/>
      <c r="E620" s="9" t="s">
        <v>38</v>
      </c>
      <c r="F620" s="9" t="s">
        <v>54</v>
      </c>
      <c r="G620" s="9" t="s">
        <v>47</v>
      </c>
      <c r="H620" s="9"/>
      <c r="I620" s="9" t="s">
        <v>41</v>
      </c>
      <c r="J620" s="9" t="s">
        <v>47</v>
      </c>
      <c r="K620" s="9" t="n">
        <v>1</v>
      </c>
      <c r="L620" s="9" t="s">
        <v>42</v>
      </c>
      <c r="M620" s="9" t="s">
        <v>42</v>
      </c>
      <c r="N620" s="9" t="s">
        <v>42</v>
      </c>
      <c r="O620" s="9" t="s">
        <v>42</v>
      </c>
      <c r="P620" s="9" t="s">
        <v>42</v>
      </c>
      <c r="Q620" s="9" t="n">
        <v>0</v>
      </c>
      <c r="R620" s="9" t="s">
        <v>40</v>
      </c>
      <c r="S620" s="9" t="s">
        <v>971</v>
      </c>
    </row>
    <row r="621" customFormat="false" ht="15" hidden="false" customHeight="true" outlineLevel="0" collapsed="false">
      <c r="A621" s="9" t="s">
        <v>972</v>
      </c>
      <c r="B621" s="9" t="n">
        <v>97865</v>
      </c>
      <c r="C621" s="9"/>
      <c r="D621" s="9"/>
      <c r="E621" s="9" t="s">
        <v>44</v>
      </c>
      <c r="F621" s="9" t="s">
        <v>39</v>
      </c>
      <c r="G621" s="9" t="s">
        <v>40</v>
      </c>
      <c r="H621" s="9"/>
      <c r="I621" s="9" t="s">
        <v>41</v>
      </c>
      <c r="J621" s="9" t="s">
        <v>40</v>
      </c>
      <c r="K621" s="9" t="n">
        <v>1</v>
      </c>
      <c r="L621" s="9" t="s">
        <v>42</v>
      </c>
      <c r="M621" s="9" t="s">
        <v>42</v>
      </c>
      <c r="N621" s="9" t="s">
        <v>42</v>
      </c>
      <c r="O621" s="9" t="s">
        <v>42</v>
      </c>
      <c r="P621" s="9" t="s">
        <v>42</v>
      </c>
      <c r="Q621" s="9" t="n">
        <v>0</v>
      </c>
      <c r="R621" s="9" t="s">
        <v>40</v>
      </c>
      <c r="S621" s="9"/>
    </row>
    <row r="622" customFormat="false" ht="15" hidden="false" customHeight="true" outlineLevel="0" collapsed="false">
      <c r="A622" s="9" t="s">
        <v>973</v>
      </c>
      <c r="B622" s="9" t="n">
        <v>90265</v>
      </c>
      <c r="C622" s="9" t="n">
        <v>50</v>
      </c>
      <c r="D622" s="9"/>
      <c r="E622" s="9" t="s">
        <v>44</v>
      </c>
      <c r="F622" s="9" t="s">
        <v>54</v>
      </c>
      <c r="G622" s="9" t="s">
        <v>40</v>
      </c>
      <c r="H622" s="9"/>
      <c r="I622" s="9"/>
      <c r="J622" s="9" t="s">
        <v>40</v>
      </c>
      <c r="K622" s="9" t="n">
        <v>0</v>
      </c>
      <c r="L622" s="9" t="s">
        <v>42</v>
      </c>
      <c r="M622" s="9" t="s">
        <v>974</v>
      </c>
      <c r="N622" s="9" t="s">
        <v>975</v>
      </c>
      <c r="O622" s="9" t="s">
        <v>42</v>
      </c>
      <c r="P622" s="9" t="s">
        <v>42</v>
      </c>
      <c r="Q622" s="9" t="n">
        <v>2040</v>
      </c>
      <c r="R622" s="9" t="s">
        <v>47</v>
      </c>
      <c r="S622" s="9" t="s">
        <v>976</v>
      </c>
    </row>
    <row r="623" customFormat="false" ht="15" hidden="false" customHeight="true" outlineLevel="0" collapsed="false">
      <c r="A623" s="9" t="s">
        <v>977</v>
      </c>
      <c r="B623" s="9" t="n">
        <v>5731</v>
      </c>
      <c r="C623" s="9"/>
      <c r="D623" s="9"/>
      <c r="E623" s="9" t="s">
        <v>44</v>
      </c>
      <c r="F623" s="9" t="s">
        <v>39</v>
      </c>
      <c r="G623" s="9" t="s">
        <v>40</v>
      </c>
      <c r="H623" s="9"/>
      <c r="I623" s="9" t="s">
        <v>41</v>
      </c>
      <c r="J623" s="9" t="s">
        <v>40</v>
      </c>
      <c r="K623" s="9" t="n">
        <v>3</v>
      </c>
      <c r="L623" s="9" t="s">
        <v>72</v>
      </c>
      <c r="M623" s="9" t="s">
        <v>42</v>
      </c>
      <c r="N623" s="9" t="s">
        <v>42</v>
      </c>
      <c r="O623" s="9" t="s">
        <v>100</v>
      </c>
      <c r="P623" s="9" t="s">
        <v>42</v>
      </c>
      <c r="Q623" s="9" t="n">
        <v>325</v>
      </c>
      <c r="R623" s="9" t="s">
        <v>47</v>
      </c>
      <c r="S623" s="9"/>
    </row>
    <row r="624" customFormat="false" ht="15" hidden="false" customHeight="true" outlineLevel="0" collapsed="false">
      <c r="A624" s="9" t="s">
        <v>978</v>
      </c>
      <c r="B624" s="9" t="n">
        <v>75116</v>
      </c>
      <c r="C624" s="9"/>
      <c r="D624" s="9"/>
      <c r="E624" s="9" t="s">
        <v>44</v>
      </c>
      <c r="F624" s="9" t="s">
        <v>39</v>
      </c>
      <c r="G624" s="9" t="s">
        <v>40</v>
      </c>
      <c r="H624" s="9"/>
      <c r="I624" s="9" t="s">
        <v>41</v>
      </c>
      <c r="J624" s="9" t="s">
        <v>40</v>
      </c>
      <c r="K624" s="9" t="n">
        <v>1</v>
      </c>
      <c r="L624" s="9" t="s">
        <v>42</v>
      </c>
      <c r="M624" s="9" t="s">
        <v>42</v>
      </c>
      <c r="N624" s="9" t="s">
        <v>42</v>
      </c>
      <c r="O624" s="9" t="s">
        <v>42</v>
      </c>
      <c r="P624" s="9" t="s">
        <v>42</v>
      </c>
      <c r="Q624" s="9" t="n">
        <v>5</v>
      </c>
      <c r="R624" s="9" t="s">
        <v>47</v>
      </c>
      <c r="S624" s="9"/>
    </row>
    <row r="625" customFormat="false" ht="15" hidden="false" customHeight="true" outlineLevel="0" collapsed="false">
      <c r="A625" s="9" t="s">
        <v>979</v>
      </c>
      <c r="B625" s="9" t="n">
        <v>28520</v>
      </c>
      <c r="C625" s="9"/>
      <c r="D625" s="9"/>
      <c r="E625" s="9"/>
      <c r="F625" s="9" t="s">
        <v>39</v>
      </c>
      <c r="G625" s="9" t="s">
        <v>40</v>
      </c>
      <c r="H625" s="9"/>
      <c r="I625" s="9" t="s">
        <v>41</v>
      </c>
      <c r="J625" s="9" t="s">
        <v>40</v>
      </c>
      <c r="K625" s="9" t="n">
        <v>1</v>
      </c>
      <c r="L625" s="9" t="s">
        <v>42</v>
      </c>
      <c r="M625" s="9" t="s">
        <v>42</v>
      </c>
      <c r="N625" s="9" t="s">
        <v>42</v>
      </c>
      <c r="O625" s="9" t="s">
        <v>42</v>
      </c>
      <c r="P625" s="9" t="s">
        <v>42</v>
      </c>
      <c r="Q625" s="9" t="n">
        <v>77</v>
      </c>
      <c r="R625" s="9" t="s">
        <v>47</v>
      </c>
      <c r="S625" s="9"/>
    </row>
    <row r="626" customFormat="false" ht="15" hidden="false" customHeight="true" outlineLevel="0" collapsed="false">
      <c r="A626" s="9" t="s">
        <v>980</v>
      </c>
      <c r="B626" s="9" t="n">
        <v>36572</v>
      </c>
      <c r="C626" s="9"/>
      <c r="D626" s="9"/>
      <c r="E626" s="9" t="s">
        <v>38</v>
      </c>
      <c r="F626" s="9" t="s">
        <v>39</v>
      </c>
      <c r="G626" s="9" t="s">
        <v>40</v>
      </c>
      <c r="H626" s="9"/>
      <c r="I626" s="9" t="s">
        <v>41</v>
      </c>
      <c r="J626" s="9" t="s">
        <v>40</v>
      </c>
      <c r="K626" s="9" t="n">
        <v>0</v>
      </c>
      <c r="L626" s="9" t="s">
        <v>42</v>
      </c>
      <c r="M626" s="9" t="s">
        <v>42</v>
      </c>
      <c r="N626" s="9" t="s">
        <v>42</v>
      </c>
      <c r="O626" s="9" t="s">
        <v>42</v>
      </c>
      <c r="P626" s="9" t="s">
        <v>42</v>
      </c>
      <c r="Q626" s="9" t="n">
        <v>0</v>
      </c>
      <c r="R626" s="9" t="s">
        <v>40</v>
      </c>
      <c r="S626" s="9"/>
    </row>
    <row r="627" customFormat="false" ht="15" hidden="false" customHeight="true" outlineLevel="0" collapsed="false">
      <c r="A627" s="9" t="s">
        <v>981</v>
      </c>
      <c r="B627" s="9" t="n">
        <v>93120</v>
      </c>
      <c r="C627" s="9" t="n">
        <v>33</v>
      </c>
      <c r="D627" s="9" t="s">
        <v>62</v>
      </c>
      <c r="E627" s="9" t="s">
        <v>38</v>
      </c>
      <c r="F627" s="9" t="s">
        <v>54</v>
      </c>
      <c r="G627" s="9" t="s">
        <v>47</v>
      </c>
      <c r="H627" s="9"/>
      <c r="I627" s="9" t="s">
        <v>41</v>
      </c>
      <c r="J627" s="9" t="s">
        <v>40</v>
      </c>
      <c r="K627" s="9" t="n">
        <v>3</v>
      </c>
      <c r="L627" s="9" t="s">
        <v>42</v>
      </c>
      <c r="M627" s="9" t="s">
        <v>42</v>
      </c>
      <c r="N627" s="9" t="s">
        <v>42</v>
      </c>
      <c r="O627" s="9" t="s">
        <v>42</v>
      </c>
      <c r="P627" s="9" t="s">
        <v>42</v>
      </c>
      <c r="Q627" s="9" t="n">
        <v>65</v>
      </c>
      <c r="R627" s="9" t="s">
        <v>47</v>
      </c>
      <c r="S627" s="9" t="s">
        <v>982</v>
      </c>
    </row>
    <row r="628" customFormat="false" ht="15" hidden="false" customHeight="true" outlineLevel="0" collapsed="false">
      <c r="A628" s="9" t="s">
        <v>983</v>
      </c>
      <c r="B628" s="9" t="n">
        <v>96351</v>
      </c>
      <c r="C628" s="9"/>
      <c r="D628" s="9" t="s">
        <v>62</v>
      </c>
      <c r="E628" s="9" t="s">
        <v>38</v>
      </c>
      <c r="F628" s="9" t="s">
        <v>45</v>
      </c>
      <c r="G628" s="9" t="s">
        <v>40</v>
      </c>
      <c r="H628" s="9"/>
      <c r="I628" s="9" t="s">
        <v>41</v>
      </c>
      <c r="J628" s="9" t="s">
        <v>47</v>
      </c>
      <c r="K628" s="9" t="n">
        <v>0</v>
      </c>
      <c r="L628" s="9" t="s">
        <v>42</v>
      </c>
      <c r="M628" s="9" t="s">
        <v>42</v>
      </c>
      <c r="N628" s="9" t="s">
        <v>42</v>
      </c>
      <c r="O628" s="9" t="s">
        <v>42</v>
      </c>
      <c r="P628" s="9" t="s">
        <v>42</v>
      </c>
      <c r="Q628" s="9" t="n">
        <v>0</v>
      </c>
      <c r="R628" s="9" t="s">
        <v>40</v>
      </c>
      <c r="S628" s="9"/>
    </row>
    <row r="629" customFormat="false" ht="15" hidden="false" customHeight="true" outlineLevel="0" collapsed="false">
      <c r="A629" s="9" t="s">
        <v>984</v>
      </c>
      <c r="B629" s="9" t="n">
        <v>75235</v>
      </c>
      <c r="C629" s="9"/>
      <c r="D629" s="9"/>
      <c r="E629" s="9" t="s">
        <v>44</v>
      </c>
      <c r="F629" s="9" t="s">
        <v>39</v>
      </c>
      <c r="G629" s="9" t="s">
        <v>40</v>
      </c>
      <c r="H629" s="9"/>
      <c r="I629" s="9" t="s">
        <v>41</v>
      </c>
      <c r="J629" s="9" t="s">
        <v>40</v>
      </c>
      <c r="K629" s="9" t="n">
        <v>5</v>
      </c>
      <c r="L629" s="9" t="s">
        <v>63</v>
      </c>
      <c r="M629" s="9" t="s">
        <v>42</v>
      </c>
      <c r="N629" s="9" t="s">
        <v>42</v>
      </c>
      <c r="O629" s="9" t="s">
        <v>42</v>
      </c>
      <c r="P629" s="9" t="s">
        <v>42</v>
      </c>
      <c r="Q629" s="9" t="n">
        <v>100</v>
      </c>
      <c r="R629" s="9" t="s">
        <v>47</v>
      </c>
      <c r="S629" s="9"/>
    </row>
    <row r="630" customFormat="false" ht="15" hidden="false" customHeight="true" outlineLevel="0" collapsed="false">
      <c r="A630" s="9" t="s">
        <v>985</v>
      </c>
      <c r="B630" s="9" t="n">
        <v>90265</v>
      </c>
      <c r="C630" s="9"/>
      <c r="D630" s="9" t="s">
        <v>83</v>
      </c>
      <c r="E630" s="9" t="s">
        <v>50</v>
      </c>
      <c r="F630" s="9" t="s">
        <v>39</v>
      </c>
      <c r="G630" s="9" t="s">
        <v>47</v>
      </c>
      <c r="H630" s="9"/>
      <c r="I630" s="9" t="s">
        <v>41</v>
      </c>
      <c r="J630" s="9" t="s">
        <v>40</v>
      </c>
      <c r="K630" s="9" t="n">
        <v>0</v>
      </c>
      <c r="L630" s="9" t="s">
        <v>42</v>
      </c>
      <c r="M630" s="9" t="s">
        <v>42</v>
      </c>
      <c r="N630" s="9" t="s">
        <v>42</v>
      </c>
      <c r="O630" s="9" t="s">
        <v>42</v>
      </c>
      <c r="P630" s="9" t="s">
        <v>42</v>
      </c>
      <c r="Q630" s="9" t="n">
        <v>10</v>
      </c>
      <c r="R630" s="9" t="s">
        <v>47</v>
      </c>
      <c r="S630" s="9"/>
    </row>
    <row r="631" customFormat="false" ht="15" hidden="false" customHeight="true" outlineLevel="0" collapsed="false">
      <c r="A631" s="9" t="s">
        <v>986</v>
      </c>
      <c r="B631" s="9" t="n">
        <v>68854</v>
      </c>
      <c r="C631" s="9"/>
      <c r="D631" s="9" t="s">
        <v>62</v>
      </c>
      <c r="E631" s="9" t="s">
        <v>44</v>
      </c>
      <c r="F631" s="9" t="s">
        <v>39</v>
      </c>
      <c r="G631" s="9" t="s">
        <v>40</v>
      </c>
      <c r="H631" s="9"/>
      <c r="I631" s="9" t="s">
        <v>41</v>
      </c>
      <c r="J631" s="9" t="s">
        <v>40</v>
      </c>
      <c r="K631" s="9" t="n">
        <v>1</v>
      </c>
      <c r="L631" s="9" t="s">
        <v>42</v>
      </c>
      <c r="M631" s="9" t="s">
        <v>42</v>
      </c>
      <c r="N631" s="9" t="s">
        <v>42</v>
      </c>
      <c r="O631" s="9" t="s">
        <v>42</v>
      </c>
      <c r="P631" s="9" t="s">
        <v>63</v>
      </c>
      <c r="Q631" s="9" t="n">
        <v>100</v>
      </c>
      <c r="R631" s="9" t="s">
        <v>47</v>
      </c>
      <c r="S631" s="9"/>
    </row>
    <row r="632" customFormat="false" ht="15" hidden="false" customHeight="true" outlineLevel="0" collapsed="false">
      <c r="A632" s="9" t="s">
        <v>987</v>
      </c>
      <c r="B632" s="9" t="n">
        <v>90265</v>
      </c>
      <c r="C632" s="9"/>
      <c r="D632" s="9"/>
      <c r="E632" s="9" t="s">
        <v>44</v>
      </c>
      <c r="F632" s="9" t="s">
        <v>39</v>
      </c>
      <c r="G632" s="9" t="s">
        <v>40</v>
      </c>
      <c r="H632" s="9"/>
      <c r="I632" s="9" t="s">
        <v>41</v>
      </c>
      <c r="J632" s="9" t="s">
        <v>47</v>
      </c>
      <c r="K632" s="9" t="n">
        <v>2</v>
      </c>
      <c r="L632" s="9" t="s">
        <v>42</v>
      </c>
      <c r="M632" s="9" t="s">
        <v>42</v>
      </c>
      <c r="N632" s="9" t="s">
        <v>42</v>
      </c>
      <c r="O632" s="9" t="s">
        <v>42</v>
      </c>
      <c r="P632" s="9" t="s">
        <v>42</v>
      </c>
      <c r="Q632" s="9" t="n">
        <v>0</v>
      </c>
      <c r="R632" s="9" t="s">
        <v>40</v>
      </c>
      <c r="S632" s="9"/>
    </row>
    <row r="633" customFormat="false" ht="15" hidden="false" customHeight="true" outlineLevel="0" collapsed="false">
      <c r="A633" s="9" t="s">
        <v>988</v>
      </c>
      <c r="B633" s="9" t="n">
        <v>85911</v>
      </c>
      <c r="C633" s="9" t="n">
        <v>54</v>
      </c>
      <c r="D633" s="9"/>
      <c r="E633" s="9" t="s">
        <v>44</v>
      </c>
      <c r="F633" s="9" t="s">
        <v>158</v>
      </c>
      <c r="G633" s="9" t="s">
        <v>47</v>
      </c>
      <c r="H633" s="9"/>
      <c r="I633" s="9" t="s">
        <v>41</v>
      </c>
      <c r="J633" s="9" t="s">
        <v>40</v>
      </c>
      <c r="K633" s="9" t="n">
        <v>3</v>
      </c>
      <c r="L633" s="9" t="s">
        <v>42</v>
      </c>
      <c r="M633" s="9" t="s">
        <v>125</v>
      </c>
      <c r="N633" s="9" t="s">
        <v>42</v>
      </c>
      <c r="O633" s="9" t="s">
        <v>42</v>
      </c>
      <c r="P633" s="9" t="s">
        <v>42</v>
      </c>
      <c r="Q633" s="9" t="n">
        <v>20</v>
      </c>
      <c r="R633" s="9" t="s">
        <v>47</v>
      </c>
      <c r="S633" s="9" t="s">
        <v>989</v>
      </c>
    </row>
    <row r="634" customFormat="false" ht="15" hidden="false" customHeight="true" outlineLevel="0" collapsed="false">
      <c r="A634" s="9" t="s">
        <v>990</v>
      </c>
      <c r="B634" s="9" t="n">
        <v>90265</v>
      </c>
      <c r="C634" s="9" t="n">
        <v>43</v>
      </c>
      <c r="D634" s="9"/>
      <c r="E634" s="9" t="s">
        <v>991</v>
      </c>
      <c r="F634" s="9" t="s">
        <v>39</v>
      </c>
      <c r="G634" s="9" t="s">
        <v>40</v>
      </c>
      <c r="H634" s="9"/>
      <c r="I634" s="9" t="s">
        <v>41</v>
      </c>
      <c r="J634" s="9" t="s">
        <v>40</v>
      </c>
      <c r="K634" s="9" t="n">
        <v>0</v>
      </c>
      <c r="L634" s="9" t="s">
        <v>42</v>
      </c>
      <c r="M634" s="9" t="s">
        <v>42</v>
      </c>
      <c r="N634" s="9" t="s">
        <v>42</v>
      </c>
      <c r="O634" s="9" t="s">
        <v>42</v>
      </c>
      <c r="P634" s="9" t="s">
        <v>42</v>
      </c>
      <c r="Q634" s="9" t="n">
        <v>0</v>
      </c>
      <c r="R634" s="9" t="s">
        <v>40</v>
      </c>
      <c r="S634" s="9" t="s">
        <v>992</v>
      </c>
    </row>
    <row r="635" customFormat="false" ht="15" hidden="false" customHeight="true" outlineLevel="0" collapsed="false">
      <c r="A635" s="9" t="s">
        <v>993</v>
      </c>
      <c r="B635" s="9" t="n">
        <v>98339</v>
      </c>
      <c r="C635" s="9" t="n">
        <v>24</v>
      </c>
      <c r="D635" s="9"/>
      <c r="E635" s="9" t="s">
        <v>38</v>
      </c>
      <c r="F635" s="9" t="s">
        <v>54</v>
      </c>
      <c r="G635" s="9" t="s">
        <v>47</v>
      </c>
      <c r="H635" s="9"/>
      <c r="I635" s="9" t="s">
        <v>41</v>
      </c>
      <c r="J635" s="9" t="s">
        <v>40</v>
      </c>
      <c r="K635" s="9" t="n">
        <v>0</v>
      </c>
      <c r="L635" s="9" t="s">
        <v>42</v>
      </c>
      <c r="M635" s="9" t="s">
        <v>42</v>
      </c>
      <c r="N635" s="9" t="s">
        <v>42</v>
      </c>
      <c r="O635" s="9" t="s">
        <v>42</v>
      </c>
      <c r="P635" s="9" t="s">
        <v>42</v>
      </c>
      <c r="Q635" s="9" t="n">
        <v>0</v>
      </c>
      <c r="R635" s="9" t="s">
        <v>40</v>
      </c>
      <c r="S635" s="9" t="s">
        <v>994</v>
      </c>
    </row>
    <row r="636" customFormat="false" ht="15" hidden="false" customHeight="true" outlineLevel="0" collapsed="false">
      <c r="A636" s="9" t="s">
        <v>995</v>
      </c>
      <c r="B636" s="9" t="n">
        <v>13744</v>
      </c>
      <c r="C636" s="9" t="n">
        <v>25</v>
      </c>
      <c r="D636" s="9"/>
      <c r="E636" s="9" t="s">
        <v>38</v>
      </c>
      <c r="F636" s="9" t="s">
        <v>39</v>
      </c>
      <c r="G636" s="9" t="s">
        <v>40</v>
      </c>
      <c r="H636" s="9"/>
      <c r="I636" s="9" t="s">
        <v>203</v>
      </c>
      <c r="J636" s="9" t="s">
        <v>47</v>
      </c>
      <c r="K636" s="9" t="n">
        <v>0</v>
      </c>
      <c r="L636" s="9" t="s">
        <v>42</v>
      </c>
      <c r="M636" s="9" t="s">
        <v>42</v>
      </c>
      <c r="N636" s="9" t="s">
        <v>187</v>
      </c>
      <c r="O636" s="9" t="s">
        <v>63</v>
      </c>
      <c r="P636" s="9" t="s">
        <v>42</v>
      </c>
      <c r="Q636" s="9" t="n">
        <v>220</v>
      </c>
      <c r="R636" s="9" t="s">
        <v>47</v>
      </c>
      <c r="S636" s="9" t="s">
        <v>996</v>
      </c>
    </row>
    <row r="637" customFormat="false" ht="15" hidden="false" customHeight="true" outlineLevel="0" collapsed="false">
      <c r="A637" s="9" t="s">
        <v>997</v>
      </c>
      <c r="B637" s="9" t="n">
        <v>51232</v>
      </c>
      <c r="C637" s="9"/>
      <c r="D637" s="9" t="s">
        <v>62</v>
      </c>
      <c r="E637" s="9" t="s">
        <v>38</v>
      </c>
      <c r="F637" s="9" t="s">
        <v>54</v>
      </c>
      <c r="G637" s="9" t="s">
        <v>47</v>
      </c>
      <c r="H637" s="9"/>
      <c r="I637" s="9" t="s">
        <v>41</v>
      </c>
      <c r="J637" s="9" t="s">
        <v>40</v>
      </c>
      <c r="K637" s="9" t="n">
        <v>11</v>
      </c>
      <c r="L637" s="9" t="s">
        <v>42</v>
      </c>
      <c r="M637" s="9" t="s">
        <v>42</v>
      </c>
      <c r="N637" s="9" t="s">
        <v>42</v>
      </c>
      <c r="O637" s="9" t="s">
        <v>42</v>
      </c>
      <c r="P637" s="9" t="s">
        <v>42</v>
      </c>
      <c r="Q637" s="9" t="n">
        <v>1195</v>
      </c>
      <c r="R637" s="9" t="s">
        <v>47</v>
      </c>
      <c r="S637" s="9"/>
    </row>
    <row r="638" customFormat="false" ht="15" hidden="false" customHeight="true" outlineLevel="0" collapsed="false">
      <c r="A638" s="9" t="s">
        <v>998</v>
      </c>
      <c r="B638" s="9" t="n">
        <v>80745</v>
      </c>
      <c r="C638" s="9"/>
      <c r="D638" s="9" t="s">
        <v>83</v>
      </c>
      <c r="E638" s="9" t="s">
        <v>50</v>
      </c>
      <c r="F638" s="9" t="s">
        <v>39</v>
      </c>
      <c r="G638" s="9" t="s">
        <v>47</v>
      </c>
      <c r="H638" s="9"/>
      <c r="I638" s="9"/>
      <c r="J638" s="9" t="s">
        <v>40</v>
      </c>
      <c r="K638" s="9" t="n">
        <v>0</v>
      </c>
      <c r="L638" s="9" t="s">
        <v>42</v>
      </c>
      <c r="M638" s="9" t="s">
        <v>42</v>
      </c>
      <c r="N638" s="9" t="s">
        <v>42</v>
      </c>
      <c r="O638" s="9" t="s">
        <v>42</v>
      </c>
      <c r="P638" s="9" t="s">
        <v>407</v>
      </c>
      <c r="Q638" s="9" t="n">
        <v>270</v>
      </c>
      <c r="R638" s="9" t="s">
        <v>47</v>
      </c>
      <c r="S638" s="9"/>
    </row>
    <row r="639" customFormat="false" ht="15" hidden="false" customHeight="true" outlineLevel="0" collapsed="false">
      <c r="A639" s="9" t="s">
        <v>999</v>
      </c>
      <c r="B639" s="9" t="n">
        <v>30350</v>
      </c>
      <c r="C639" s="9"/>
      <c r="D639" s="9"/>
      <c r="E639" s="9" t="s">
        <v>44</v>
      </c>
      <c r="F639" s="9" t="s">
        <v>39</v>
      </c>
      <c r="G639" s="9" t="s">
        <v>40</v>
      </c>
      <c r="H639" s="9"/>
      <c r="I639" s="9"/>
      <c r="J639" s="9" t="s">
        <v>40</v>
      </c>
      <c r="K639" s="9" t="n">
        <v>1</v>
      </c>
      <c r="L639" s="9" t="s">
        <v>42</v>
      </c>
      <c r="M639" s="9" t="s">
        <v>42</v>
      </c>
      <c r="N639" s="9" t="s">
        <v>42</v>
      </c>
      <c r="O639" s="9" t="s">
        <v>42</v>
      </c>
      <c r="P639" s="9" t="s">
        <v>42</v>
      </c>
      <c r="Q639" s="9" t="n">
        <v>120</v>
      </c>
      <c r="R639" s="9" t="s">
        <v>47</v>
      </c>
      <c r="S639" s="9"/>
    </row>
    <row r="640" customFormat="false" ht="15" hidden="false" customHeight="true" outlineLevel="0" collapsed="false">
      <c r="A640" s="9" t="s">
        <v>1000</v>
      </c>
      <c r="B640" s="9" t="n">
        <v>72448</v>
      </c>
      <c r="C640" s="9"/>
      <c r="D640" s="9"/>
      <c r="E640" s="9" t="s">
        <v>44</v>
      </c>
      <c r="F640" s="9" t="s">
        <v>54</v>
      </c>
      <c r="G640" s="9" t="s">
        <v>40</v>
      </c>
      <c r="H640" s="9"/>
      <c r="I640" s="9"/>
      <c r="J640" s="9" t="s">
        <v>40</v>
      </c>
      <c r="K640" s="9" t="n">
        <v>0</v>
      </c>
      <c r="L640" s="9" t="s">
        <v>42</v>
      </c>
      <c r="M640" s="9" t="s">
        <v>42</v>
      </c>
      <c r="N640" s="9" t="s">
        <v>42</v>
      </c>
      <c r="O640" s="9" t="s">
        <v>42</v>
      </c>
      <c r="P640" s="9" t="s">
        <v>42</v>
      </c>
      <c r="Q640" s="9" t="n">
        <v>40</v>
      </c>
      <c r="R640" s="9" t="s">
        <v>47</v>
      </c>
      <c r="S640" s="9"/>
    </row>
    <row r="641" customFormat="false" ht="15" hidden="false" customHeight="true" outlineLevel="0" collapsed="false">
      <c r="A641" s="9" t="s">
        <v>1001</v>
      </c>
      <c r="B641" s="9" t="n">
        <v>30370</v>
      </c>
      <c r="C641" s="9"/>
      <c r="D641" s="9" t="s">
        <v>83</v>
      </c>
      <c r="E641" s="9" t="s">
        <v>44</v>
      </c>
      <c r="F641" s="9" t="s">
        <v>39</v>
      </c>
      <c r="G641" s="9" t="s">
        <v>40</v>
      </c>
      <c r="H641" s="9"/>
      <c r="I641" s="9" t="s">
        <v>41</v>
      </c>
      <c r="J641" s="9" t="s">
        <v>40</v>
      </c>
      <c r="K641" s="9" t="n">
        <v>0</v>
      </c>
      <c r="L641" s="9" t="s">
        <v>42</v>
      </c>
      <c r="M641" s="9" t="s">
        <v>42</v>
      </c>
      <c r="N641" s="9" t="s">
        <v>42</v>
      </c>
      <c r="O641" s="9" t="s">
        <v>42</v>
      </c>
      <c r="P641" s="9" t="s">
        <v>42</v>
      </c>
      <c r="Q641" s="9" t="n">
        <v>0</v>
      </c>
      <c r="R641" s="9" t="s">
        <v>40</v>
      </c>
      <c r="S641" s="9"/>
    </row>
    <row r="642" customFormat="false" ht="15" hidden="false" customHeight="true" outlineLevel="0" collapsed="false">
      <c r="A642" s="9" t="s">
        <v>1002</v>
      </c>
      <c r="B642" s="9" t="n">
        <v>90265</v>
      </c>
      <c r="C642" s="9" t="n">
        <v>37</v>
      </c>
      <c r="D642" s="9"/>
      <c r="E642" s="9" t="s">
        <v>44</v>
      </c>
      <c r="F642" s="9" t="s">
        <v>54</v>
      </c>
      <c r="G642" s="9" t="s">
        <v>47</v>
      </c>
      <c r="H642" s="9"/>
      <c r="I642" s="9" t="s">
        <v>41</v>
      </c>
      <c r="J642" s="9" t="s">
        <v>47</v>
      </c>
      <c r="K642" s="9" t="n">
        <v>0</v>
      </c>
      <c r="L642" s="9" t="s">
        <v>42</v>
      </c>
      <c r="M642" s="9" t="s">
        <v>42</v>
      </c>
      <c r="N642" s="9" t="s">
        <v>42</v>
      </c>
      <c r="O642" s="9" t="s">
        <v>42</v>
      </c>
      <c r="P642" s="9" t="s">
        <v>42</v>
      </c>
      <c r="Q642" s="9" t="n">
        <v>230</v>
      </c>
      <c r="R642" s="9" t="s">
        <v>47</v>
      </c>
      <c r="S642" s="9" t="s">
        <v>1003</v>
      </c>
    </row>
    <row r="643" customFormat="false" ht="15" hidden="false" customHeight="true" outlineLevel="0" collapsed="false">
      <c r="A643" s="9" t="s">
        <v>1004</v>
      </c>
      <c r="B643" s="9" t="n">
        <v>90296</v>
      </c>
      <c r="C643" s="9"/>
      <c r="D643" s="9"/>
      <c r="E643" s="9" t="s">
        <v>38</v>
      </c>
      <c r="F643" s="9" t="s">
        <v>54</v>
      </c>
      <c r="G643" s="9" t="s">
        <v>47</v>
      </c>
      <c r="H643" s="9"/>
      <c r="I643" s="9" t="s">
        <v>41</v>
      </c>
      <c r="J643" s="9" t="s">
        <v>40</v>
      </c>
      <c r="K643" s="9" t="n">
        <v>1</v>
      </c>
      <c r="L643" s="9" t="s">
        <v>42</v>
      </c>
      <c r="M643" s="9" t="s">
        <v>42</v>
      </c>
      <c r="N643" s="9" t="s">
        <v>42</v>
      </c>
      <c r="O643" s="9" t="s">
        <v>125</v>
      </c>
      <c r="P643" s="9" t="s">
        <v>42</v>
      </c>
      <c r="Q643" s="9" t="n">
        <v>75</v>
      </c>
      <c r="R643" s="9" t="s">
        <v>47</v>
      </c>
      <c r="S643" s="9"/>
    </row>
    <row r="644" customFormat="false" ht="15" hidden="false" customHeight="true" outlineLevel="0" collapsed="false">
      <c r="A644" s="9" t="s">
        <v>1005</v>
      </c>
      <c r="B644" s="9" t="n">
        <v>95439</v>
      </c>
      <c r="C644" s="9" t="n">
        <v>59</v>
      </c>
      <c r="D644" s="9"/>
      <c r="E644" s="9" t="s">
        <v>44</v>
      </c>
      <c r="F644" s="9" t="s">
        <v>54</v>
      </c>
      <c r="G644" s="9" t="s">
        <v>40</v>
      </c>
      <c r="H644" s="9"/>
      <c r="I644" s="9" t="s">
        <v>41</v>
      </c>
      <c r="J644" s="9" t="s">
        <v>40</v>
      </c>
      <c r="K644" s="9" t="n">
        <v>0</v>
      </c>
      <c r="L644" s="9" t="s">
        <v>42</v>
      </c>
      <c r="M644" s="9" t="s">
        <v>42</v>
      </c>
      <c r="N644" s="9" t="s">
        <v>42</v>
      </c>
      <c r="O644" s="9" t="s">
        <v>42</v>
      </c>
      <c r="P644" s="9" t="s">
        <v>42</v>
      </c>
      <c r="Q644" s="9" t="n">
        <v>61</v>
      </c>
      <c r="R644" s="9" t="s">
        <v>47</v>
      </c>
      <c r="S644" s="9" t="s">
        <v>1006</v>
      </c>
    </row>
    <row r="645" customFormat="false" ht="15" hidden="false" customHeight="true" outlineLevel="0" collapsed="false">
      <c r="A645" s="9" t="s">
        <v>1007</v>
      </c>
      <c r="B645" s="9" t="n">
        <v>53191</v>
      </c>
      <c r="C645" s="9"/>
      <c r="D645" s="9" t="s">
        <v>62</v>
      </c>
      <c r="E645" s="9" t="s">
        <v>44</v>
      </c>
      <c r="F645" s="9" t="s">
        <v>45</v>
      </c>
      <c r="G645" s="9" t="s">
        <v>40</v>
      </c>
      <c r="H645" s="9"/>
      <c r="I645" s="9" t="s">
        <v>41</v>
      </c>
      <c r="J645" s="9" t="s">
        <v>47</v>
      </c>
      <c r="K645" s="9" t="n">
        <v>0</v>
      </c>
      <c r="L645" s="9" t="s">
        <v>42</v>
      </c>
      <c r="M645" s="9" t="s">
        <v>42</v>
      </c>
      <c r="N645" s="9" t="s">
        <v>42</v>
      </c>
      <c r="O645" s="9" t="s">
        <v>1008</v>
      </c>
      <c r="P645" s="9" t="s">
        <v>42</v>
      </c>
      <c r="Q645" s="9" t="n">
        <v>250</v>
      </c>
      <c r="R645" s="9" t="s">
        <v>47</v>
      </c>
      <c r="S645" s="9"/>
    </row>
    <row r="646" customFormat="false" ht="15" hidden="false" customHeight="true" outlineLevel="0" collapsed="false">
      <c r="A646" s="9" t="s">
        <v>1009</v>
      </c>
      <c r="B646" s="9" t="n">
        <v>32733</v>
      </c>
      <c r="C646" s="9"/>
      <c r="D646" s="9"/>
      <c r="E646" s="9" t="s">
        <v>44</v>
      </c>
      <c r="F646" s="9" t="s">
        <v>39</v>
      </c>
      <c r="G646" s="9" t="s">
        <v>47</v>
      </c>
      <c r="H646" s="9"/>
      <c r="I646" s="9" t="s">
        <v>41</v>
      </c>
      <c r="J646" s="9" t="s">
        <v>40</v>
      </c>
      <c r="K646" s="9" t="n">
        <v>2</v>
      </c>
      <c r="L646" s="9" t="s">
        <v>42</v>
      </c>
      <c r="M646" s="9" t="s">
        <v>42</v>
      </c>
      <c r="N646" s="9" t="s">
        <v>42</v>
      </c>
      <c r="O646" s="9" t="s">
        <v>42</v>
      </c>
      <c r="P646" s="9" t="s">
        <v>42</v>
      </c>
      <c r="Q646" s="9" t="n">
        <v>0</v>
      </c>
      <c r="R646" s="9" t="s">
        <v>40</v>
      </c>
      <c r="S646" s="9"/>
    </row>
    <row r="647" customFormat="false" ht="15" hidden="false" customHeight="true" outlineLevel="0" collapsed="false">
      <c r="A647" s="9" t="s">
        <v>1010</v>
      </c>
      <c r="B647" s="9" t="n">
        <v>27018</v>
      </c>
      <c r="C647" s="9" t="n">
        <v>44</v>
      </c>
      <c r="D647" s="9"/>
      <c r="E647" s="9" t="s">
        <v>44</v>
      </c>
      <c r="F647" s="9" t="s">
        <v>54</v>
      </c>
      <c r="G647" s="9" t="s">
        <v>40</v>
      </c>
      <c r="H647" s="9"/>
      <c r="I647" s="9" t="s">
        <v>41</v>
      </c>
      <c r="J647" s="9" t="s">
        <v>40</v>
      </c>
      <c r="K647" s="9" t="n">
        <v>0</v>
      </c>
      <c r="L647" s="9" t="s">
        <v>42</v>
      </c>
      <c r="M647" s="9" t="s">
        <v>42</v>
      </c>
      <c r="N647" s="9" t="s">
        <v>42</v>
      </c>
      <c r="O647" s="9" t="s">
        <v>42</v>
      </c>
      <c r="P647" s="9" t="s">
        <v>42</v>
      </c>
      <c r="Q647" s="9" t="n">
        <v>0</v>
      </c>
      <c r="R647" s="9" t="s">
        <v>40</v>
      </c>
      <c r="S647" s="9" t="s">
        <v>1011</v>
      </c>
    </row>
    <row r="648" customFormat="false" ht="15" hidden="false" customHeight="true" outlineLevel="0" collapsed="false">
      <c r="A648" s="9" t="s">
        <v>1012</v>
      </c>
      <c r="B648" s="9" t="n">
        <v>90265</v>
      </c>
      <c r="C648" s="9" t="n">
        <v>24</v>
      </c>
      <c r="D648" s="9"/>
      <c r="E648" s="9" t="s">
        <v>38</v>
      </c>
      <c r="F648" s="9" t="s">
        <v>39</v>
      </c>
      <c r="G648" s="9" t="s">
        <v>40</v>
      </c>
      <c r="H648" s="9"/>
      <c r="I648" s="9" t="s">
        <v>203</v>
      </c>
      <c r="J648" s="9" t="s">
        <v>47</v>
      </c>
      <c r="K648" s="9" t="n">
        <v>0</v>
      </c>
      <c r="L648" s="9" t="s">
        <v>42</v>
      </c>
      <c r="M648" s="9" t="s">
        <v>42</v>
      </c>
      <c r="N648" s="9" t="s">
        <v>42</v>
      </c>
      <c r="O648" s="9" t="s">
        <v>42</v>
      </c>
      <c r="P648" s="9" t="s">
        <v>1013</v>
      </c>
      <c r="Q648" s="9" t="n">
        <v>294</v>
      </c>
      <c r="R648" s="9" t="s">
        <v>47</v>
      </c>
      <c r="S648" s="9" t="s">
        <v>1014</v>
      </c>
    </row>
    <row r="649" customFormat="false" ht="15" hidden="false" customHeight="true" outlineLevel="0" collapsed="false">
      <c r="A649" s="9" t="s">
        <v>1015</v>
      </c>
      <c r="B649" s="9" t="n">
        <v>74085</v>
      </c>
      <c r="C649" s="9" t="n">
        <v>33</v>
      </c>
      <c r="D649" s="9"/>
      <c r="E649" s="9" t="s">
        <v>44</v>
      </c>
      <c r="F649" s="9" t="s">
        <v>39</v>
      </c>
      <c r="G649" s="9" t="s">
        <v>40</v>
      </c>
      <c r="H649" s="9"/>
      <c r="I649" s="9" t="s">
        <v>41</v>
      </c>
      <c r="J649" s="9" t="s">
        <v>40</v>
      </c>
      <c r="K649" s="9" t="n">
        <v>0</v>
      </c>
      <c r="L649" s="9" t="s">
        <v>42</v>
      </c>
      <c r="M649" s="9" t="s">
        <v>42</v>
      </c>
      <c r="N649" s="9" t="s">
        <v>42</v>
      </c>
      <c r="O649" s="9" t="s">
        <v>42</v>
      </c>
      <c r="P649" s="9" t="s">
        <v>42</v>
      </c>
      <c r="Q649" s="9" t="n">
        <v>0</v>
      </c>
      <c r="R649" s="9" t="s">
        <v>40</v>
      </c>
      <c r="S649" s="9" t="s">
        <v>1016</v>
      </c>
    </row>
    <row r="650" customFormat="false" ht="15" hidden="false" customHeight="true" outlineLevel="0" collapsed="false">
      <c r="A650" s="9" t="s">
        <v>1017</v>
      </c>
      <c r="B650" s="9" t="n">
        <v>16228</v>
      </c>
      <c r="C650" s="9"/>
      <c r="D650" s="9"/>
      <c r="E650" s="9" t="s">
        <v>38</v>
      </c>
      <c r="F650" s="9" t="s">
        <v>39</v>
      </c>
      <c r="G650" s="9" t="s">
        <v>40</v>
      </c>
      <c r="H650" s="9" t="s">
        <v>110</v>
      </c>
      <c r="I650" s="9" t="s">
        <v>41</v>
      </c>
      <c r="J650" s="9" t="s">
        <v>40</v>
      </c>
      <c r="K650" s="9" t="n">
        <v>1</v>
      </c>
      <c r="L650" s="9" t="s">
        <v>42</v>
      </c>
      <c r="M650" s="9" t="s">
        <v>42</v>
      </c>
      <c r="N650" s="9" t="s">
        <v>42</v>
      </c>
      <c r="O650" s="9" t="s">
        <v>42</v>
      </c>
      <c r="P650" s="9" t="s">
        <v>89</v>
      </c>
      <c r="Q650" s="9" t="n">
        <v>50</v>
      </c>
      <c r="R650" s="9" t="s">
        <v>47</v>
      </c>
      <c r="S650" s="9"/>
    </row>
    <row r="651" customFormat="false" ht="15" hidden="false" customHeight="true" outlineLevel="0" collapsed="false">
      <c r="A651" s="9" t="s">
        <v>1018</v>
      </c>
      <c r="B651" s="9" t="n">
        <v>27569</v>
      </c>
      <c r="C651" s="9"/>
      <c r="D651" s="9"/>
      <c r="E651" s="9" t="s">
        <v>44</v>
      </c>
      <c r="F651" s="9" t="s">
        <v>39</v>
      </c>
      <c r="G651" s="9" t="s">
        <v>40</v>
      </c>
      <c r="H651" s="9"/>
      <c r="I651" s="9"/>
      <c r="J651" s="9" t="s">
        <v>40</v>
      </c>
      <c r="K651" s="9" t="n">
        <v>1</v>
      </c>
      <c r="L651" s="9" t="s">
        <v>42</v>
      </c>
      <c r="M651" s="9" t="s">
        <v>42</v>
      </c>
      <c r="N651" s="9" t="s">
        <v>42</v>
      </c>
      <c r="O651" s="9" t="s">
        <v>42</v>
      </c>
      <c r="P651" s="9" t="s">
        <v>42</v>
      </c>
      <c r="Q651" s="9" t="n">
        <v>0</v>
      </c>
      <c r="R651" s="9" t="s">
        <v>40</v>
      </c>
      <c r="S651" s="9"/>
    </row>
    <row r="652" customFormat="false" ht="15" hidden="false" customHeight="true" outlineLevel="0" collapsed="false">
      <c r="A652" s="9" t="s">
        <v>1019</v>
      </c>
      <c r="B652" s="9" t="n">
        <v>19316</v>
      </c>
      <c r="C652" s="9"/>
      <c r="D652" s="9"/>
      <c r="E652" s="9" t="s">
        <v>38</v>
      </c>
      <c r="F652" s="9" t="s">
        <v>39</v>
      </c>
      <c r="G652" s="9" t="s">
        <v>40</v>
      </c>
      <c r="H652" s="9"/>
      <c r="I652" s="9" t="s">
        <v>41</v>
      </c>
      <c r="J652" s="9" t="s">
        <v>47</v>
      </c>
      <c r="K652" s="9" t="n">
        <v>5</v>
      </c>
      <c r="L652" s="9" t="s">
        <v>42</v>
      </c>
      <c r="M652" s="9" t="s">
        <v>42</v>
      </c>
      <c r="N652" s="9" t="s">
        <v>42</v>
      </c>
      <c r="O652" s="9" t="s">
        <v>42</v>
      </c>
      <c r="P652" s="9" t="s">
        <v>42</v>
      </c>
      <c r="Q652" s="9" t="n">
        <v>95</v>
      </c>
      <c r="R652" s="9" t="s">
        <v>47</v>
      </c>
      <c r="S652" s="9"/>
    </row>
    <row r="653" customFormat="false" ht="15" hidden="false" customHeight="true" outlineLevel="0" collapsed="false">
      <c r="A653" s="9" t="s">
        <v>1020</v>
      </c>
      <c r="B653" s="9" t="n">
        <v>87515</v>
      </c>
      <c r="C653" s="9"/>
      <c r="D653" s="9"/>
      <c r="E653" s="9" t="s">
        <v>44</v>
      </c>
      <c r="F653" s="9" t="s">
        <v>39</v>
      </c>
      <c r="G653" s="9" t="s">
        <v>40</v>
      </c>
      <c r="H653" s="9"/>
      <c r="I653" s="9" t="s">
        <v>41</v>
      </c>
      <c r="J653" s="9" t="s">
        <v>40</v>
      </c>
      <c r="K653" s="9" t="n">
        <v>1</v>
      </c>
      <c r="L653" s="9" t="s">
        <v>42</v>
      </c>
      <c r="M653" s="9" t="s">
        <v>42</v>
      </c>
      <c r="N653" s="9" t="s">
        <v>42</v>
      </c>
      <c r="O653" s="9" t="s">
        <v>42</v>
      </c>
      <c r="P653" s="9" t="s">
        <v>42</v>
      </c>
      <c r="Q653" s="9" t="n">
        <v>220</v>
      </c>
      <c r="R653" s="9" t="s">
        <v>47</v>
      </c>
      <c r="S653" s="9"/>
    </row>
    <row r="654" customFormat="false" ht="15" hidden="false" customHeight="true" outlineLevel="0" collapsed="false">
      <c r="A654" s="9" t="s">
        <v>1021</v>
      </c>
      <c r="B654" s="9" t="n">
        <v>33616</v>
      </c>
      <c r="C654" s="9"/>
      <c r="D654" s="9"/>
      <c r="E654" s="9" t="s">
        <v>44</v>
      </c>
      <c r="F654" s="9" t="s">
        <v>39</v>
      </c>
      <c r="G654" s="9" t="s">
        <v>40</v>
      </c>
      <c r="H654" s="9"/>
      <c r="I654" s="9" t="s">
        <v>41</v>
      </c>
      <c r="J654" s="9" t="s">
        <v>40</v>
      </c>
      <c r="K654" s="9" t="n">
        <v>1</v>
      </c>
      <c r="L654" s="9" t="s">
        <v>42</v>
      </c>
      <c r="M654" s="9" t="s">
        <v>42</v>
      </c>
      <c r="N654" s="9" t="s">
        <v>42</v>
      </c>
      <c r="O654" s="9" t="s">
        <v>42</v>
      </c>
      <c r="P654" s="9" t="s">
        <v>42</v>
      </c>
      <c r="Q654" s="9" t="n">
        <v>75</v>
      </c>
      <c r="R654" s="9" t="s">
        <v>47</v>
      </c>
      <c r="S654" s="9"/>
    </row>
    <row r="655" customFormat="false" ht="15" hidden="false" customHeight="true" outlineLevel="0" collapsed="false">
      <c r="A655" s="9" t="s">
        <v>1022</v>
      </c>
      <c r="B655" s="9" t="n">
        <v>32412</v>
      </c>
      <c r="C655" s="9" t="n">
        <v>55</v>
      </c>
      <c r="D655" s="9"/>
      <c r="E655" s="9" t="s">
        <v>38</v>
      </c>
      <c r="F655" s="9" t="s">
        <v>39</v>
      </c>
      <c r="G655" s="9" t="s">
        <v>40</v>
      </c>
      <c r="H655" s="9"/>
      <c r="I655" s="9" t="s">
        <v>41</v>
      </c>
      <c r="J655" s="9" t="s">
        <v>40</v>
      </c>
      <c r="K655" s="9" t="n">
        <v>0</v>
      </c>
      <c r="L655" s="9" t="s">
        <v>42</v>
      </c>
      <c r="M655" s="9" t="s">
        <v>42</v>
      </c>
      <c r="N655" s="9" t="s">
        <v>42</v>
      </c>
      <c r="O655" s="9" t="s">
        <v>42</v>
      </c>
      <c r="P655" s="9" t="s">
        <v>42</v>
      </c>
      <c r="Q655" s="9" t="n">
        <v>70</v>
      </c>
      <c r="R655" s="9" t="s">
        <v>47</v>
      </c>
      <c r="S655" s="9" t="s">
        <v>1023</v>
      </c>
    </row>
    <row r="656" customFormat="false" ht="15" hidden="false" customHeight="true" outlineLevel="0" collapsed="false">
      <c r="A656" s="9" t="s">
        <v>1024</v>
      </c>
      <c r="B656" s="9" t="n">
        <v>33459</v>
      </c>
      <c r="C656" s="9" t="n">
        <v>36</v>
      </c>
      <c r="D656" s="9"/>
      <c r="E656" s="9" t="s">
        <v>38</v>
      </c>
      <c r="F656" s="9" t="s">
        <v>39</v>
      </c>
      <c r="G656" s="9" t="s">
        <v>40</v>
      </c>
      <c r="H656" s="9"/>
      <c r="I656" s="9" t="s">
        <v>41</v>
      </c>
      <c r="J656" s="9" t="s">
        <v>40</v>
      </c>
      <c r="K656" s="9" t="n">
        <v>0</v>
      </c>
      <c r="L656" s="9" t="s">
        <v>42</v>
      </c>
      <c r="M656" s="9" t="s">
        <v>89</v>
      </c>
      <c r="N656" s="9" t="s">
        <v>42</v>
      </c>
      <c r="O656" s="9" t="s">
        <v>42</v>
      </c>
      <c r="P656" s="9" t="s">
        <v>42</v>
      </c>
      <c r="Q656" s="9" t="n">
        <v>100</v>
      </c>
      <c r="R656" s="9" t="s">
        <v>47</v>
      </c>
      <c r="S656" s="9" t="s">
        <v>1025</v>
      </c>
    </row>
    <row r="657" customFormat="false" ht="15" hidden="false" customHeight="true" outlineLevel="0" collapsed="false">
      <c r="A657" s="9" t="s">
        <v>1026</v>
      </c>
      <c r="B657" s="9" t="n">
        <v>93301</v>
      </c>
      <c r="C657" s="9"/>
      <c r="D657" s="9" t="s">
        <v>83</v>
      </c>
      <c r="E657" s="9" t="s">
        <v>38</v>
      </c>
      <c r="F657" s="9" t="s">
        <v>39</v>
      </c>
      <c r="G657" s="9" t="s">
        <v>40</v>
      </c>
      <c r="H657" s="9"/>
      <c r="I657" s="9"/>
      <c r="J657" s="9" t="s">
        <v>40</v>
      </c>
      <c r="K657" s="9" t="n">
        <v>0</v>
      </c>
      <c r="L657" s="9" t="s">
        <v>42</v>
      </c>
      <c r="M657" s="9" t="s">
        <v>42</v>
      </c>
      <c r="N657" s="9" t="s">
        <v>42</v>
      </c>
      <c r="O657" s="9" t="s">
        <v>42</v>
      </c>
      <c r="P657" s="9" t="s">
        <v>42</v>
      </c>
      <c r="Q657" s="9" t="n">
        <v>0</v>
      </c>
      <c r="R657" s="9" t="s">
        <v>40</v>
      </c>
      <c r="S657" s="9"/>
    </row>
    <row r="658" customFormat="false" ht="15" hidden="false" customHeight="true" outlineLevel="0" collapsed="false">
      <c r="A658" s="9" t="s">
        <v>1027</v>
      </c>
      <c r="B658" s="9" t="n">
        <v>54847</v>
      </c>
      <c r="C658" s="9"/>
      <c r="D658" s="9"/>
      <c r="E658" s="9" t="s">
        <v>38</v>
      </c>
      <c r="F658" s="9" t="s">
        <v>39</v>
      </c>
      <c r="G658" s="9" t="s">
        <v>40</v>
      </c>
      <c r="H658" s="9"/>
      <c r="I658" s="9" t="s">
        <v>41</v>
      </c>
      <c r="J658" s="9" t="s">
        <v>40</v>
      </c>
      <c r="K658" s="9" t="n">
        <v>1</v>
      </c>
      <c r="L658" s="9" t="s">
        <v>42</v>
      </c>
      <c r="M658" s="9" t="s">
        <v>42</v>
      </c>
      <c r="N658" s="9" t="s">
        <v>42</v>
      </c>
      <c r="O658" s="9" t="s">
        <v>42</v>
      </c>
      <c r="P658" s="9" t="s">
        <v>42</v>
      </c>
      <c r="Q658" s="9" t="n">
        <v>100</v>
      </c>
      <c r="R658" s="9" t="s">
        <v>47</v>
      </c>
      <c r="S658" s="9"/>
    </row>
    <row r="659" customFormat="false" ht="15" hidden="false" customHeight="true" outlineLevel="0" collapsed="false">
      <c r="A659" s="9" t="s">
        <v>1028</v>
      </c>
      <c r="B659" s="9" t="n">
        <v>98070</v>
      </c>
      <c r="C659" s="9"/>
      <c r="D659" s="9"/>
      <c r="E659" s="9" t="s">
        <v>38</v>
      </c>
      <c r="F659" s="9" t="s">
        <v>54</v>
      </c>
      <c r="G659" s="9" t="s">
        <v>40</v>
      </c>
      <c r="H659" s="9"/>
      <c r="I659" s="9"/>
      <c r="J659" s="9" t="s">
        <v>40</v>
      </c>
      <c r="K659" s="9" t="n">
        <v>0</v>
      </c>
      <c r="L659" s="9" t="s">
        <v>42</v>
      </c>
      <c r="M659" s="9" t="s">
        <v>42</v>
      </c>
      <c r="N659" s="9" t="s">
        <v>42</v>
      </c>
      <c r="O659" s="9" t="s">
        <v>42</v>
      </c>
      <c r="P659" s="9" t="s">
        <v>42</v>
      </c>
      <c r="Q659" s="9" t="n">
        <v>0</v>
      </c>
      <c r="R659" s="9" t="s">
        <v>40</v>
      </c>
      <c r="S659" s="9"/>
    </row>
    <row r="660" customFormat="false" ht="15" hidden="false" customHeight="true" outlineLevel="0" collapsed="false">
      <c r="A660" s="9" t="s">
        <v>1029</v>
      </c>
      <c r="B660" s="9" t="n">
        <v>13673</v>
      </c>
      <c r="C660" s="9"/>
      <c r="D660" s="9"/>
      <c r="E660" s="9" t="s">
        <v>44</v>
      </c>
      <c r="F660" s="9" t="s">
        <v>54</v>
      </c>
      <c r="G660" s="9" t="s">
        <v>47</v>
      </c>
      <c r="H660" s="9"/>
      <c r="I660" s="9" t="s">
        <v>41</v>
      </c>
      <c r="J660" s="9" t="s">
        <v>47</v>
      </c>
      <c r="K660" s="9" t="n">
        <v>2</v>
      </c>
      <c r="L660" s="9" t="s">
        <v>42</v>
      </c>
      <c r="M660" s="9" t="s">
        <v>42</v>
      </c>
      <c r="N660" s="9" t="s">
        <v>42</v>
      </c>
      <c r="O660" s="9" t="s">
        <v>42</v>
      </c>
      <c r="P660" s="9" t="s">
        <v>42</v>
      </c>
      <c r="Q660" s="9" t="n">
        <v>215</v>
      </c>
      <c r="R660" s="9" t="s">
        <v>47</v>
      </c>
      <c r="S660" s="9"/>
    </row>
    <row r="661" customFormat="false" ht="15" hidden="false" customHeight="true" outlineLevel="0" collapsed="false">
      <c r="A661" s="9" t="s">
        <v>1030</v>
      </c>
      <c r="B661" s="9" t="n">
        <v>68881</v>
      </c>
      <c r="C661" s="9"/>
      <c r="D661" s="9"/>
      <c r="E661" s="9" t="s">
        <v>44</v>
      </c>
      <c r="F661" s="9" t="s">
        <v>39</v>
      </c>
      <c r="G661" s="9" t="s">
        <v>40</v>
      </c>
      <c r="H661" s="9"/>
      <c r="I661" s="9" t="s">
        <v>41</v>
      </c>
      <c r="J661" s="9" t="s">
        <v>40</v>
      </c>
      <c r="K661" s="9" t="n">
        <v>0</v>
      </c>
      <c r="L661" s="9" t="s">
        <v>42</v>
      </c>
      <c r="M661" s="9" t="s">
        <v>42</v>
      </c>
      <c r="N661" s="9" t="s">
        <v>42</v>
      </c>
      <c r="O661" s="9" t="s">
        <v>42</v>
      </c>
      <c r="P661" s="9" t="s">
        <v>42</v>
      </c>
      <c r="Q661" s="9" t="n">
        <v>0</v>
      </c>
      <c r="R661" s="9" t="s">
        <v>40</v>
      </c>
      <c r="S661" s="9"/>
    </row>
    <row r="662" customFormat="false" ht="15" hidden="false" customHeight="true" outlineLevel="0" collapsed="false">
      <c r="A662" s="9" t="s">
        <v>1031</v>
      </c>
      <c r="B662" s="9" t="n">
        <v>38746</v>
      </c>
      <c r="C662" s="9"/>
      <c r="D662" s="9" t="s">
        <v>83</v>
      </c>
      <c r="E662" s="9" t="s">
        <v>38</v>
      </c>
      <c r="F662" s="9" t="s">
        <v>39</v>
      </c>
      <c r="G662" s="9" t="s">
        <v>40</v>
      </c>
      <c r="H662" s="9"/>
      <c r="I662" s="9" t="s">
        <v>66</v>
      </c>
      <c r="J662" s="9" t="s">
        <v>40</v>
      </c>
      <c r="K662" s="9" t="n">
        <v>1</v>
      </c>
      <c r="L662" s="9" t="s">
        <v>42</v>
      </c>
      <c r="M662" s="9" t="s">
        <v>42</v>
      </c>
      <c r="N662" s="9" t="s">
        <v>42</v>
      </c>
      <c r="O662" s="9" t="s">
        <v>42</v>
      </c>
      <c r="P662" s="9" t="s">
        <v>42</v>
      </c>
      <c r="Q662" s="9" t="n">
        <v>35</v>
      </c>
      <c r="R662" s="9" t="s">
        <v>47</v>
      </c>
      <c r="S662" s="9"/>
    </row>
    <row r="663" customFormat="false" ht="15" hidden="false" customHeight="true" outlineLevel="0" collapsed="false">
      <c r="A663" s="9" t="s">
        <v>1032</v>
      </c>
      <c r="B663" s="9" t="n">
        <v>75248</v>
      </c>
      <c r="C663" s="9" t="n">
        <v>34</v>
      </c>
      <c r="D663" s="9"/>
      <c r="E663" s="9" t="s">
        <v>991</v>
      </c>
      <c r="F663" s="9" t="s">
        <v>39</v>
      </c>
      <c r="G663" s="9" t="s">
        <v>40</v>
      </c>
      <c r="H663" s="9"/>
      <c r="I663" s="9" t="s">
        <v>41</v>
      </c>
      <c r="J663" s="9" t="s">
        <v>40</v>
      </c>
      <c r="K663" s="9" t="n">
        <v>0</v>
      </c>
      <c r="L663" s="9" t="s">
        <v>42</v>
      </c>
      <c r="M663" s="9" t="s">
        <v>42</v>
      </c>
      <c r="N663" s="9" t="s">
        <v>42</v>
      </c>
      <c r="O663" s="9" t="s">
        <v>42</v>
      </c>
      <c r="P663" s="9" t="s">
        <v>42</v>
      </c>
      <c r="Q663" s="9" t="n">
        <v>35</v>
      </c>
      <c r="R663" s="9" t="s">
        <v>47</v>
      </c>
      <c r="S663" s="9" t="s">
        <v>1033</v>
      </c>
    </row>
    <row r="664" customFormat="false" ht="15" hidden="false" customHeight="true" outlineLevel="0" collapsed="false">
      <c r="A664" s="9" t="s">
        <v>1034</v>
      </c>
      <c r="B664" s="9" t="n">
        <v>38389</v>
      </c>
      <c r="C664" s="9" t="n">
        <v>35</v>
      </c>
      <c r="D664" s="9"/>
      <c r="E664" s="9" t="s">
        <v>44</v>
      </c>
      <c r="F664" s="9" t="s">
        <v>54</v>
      </c>
      <c r="G664" s="9" t="s">
        <v>47</v>
      </c>
      <c r="H664" s="9"/>
      <c r="I664" s="9" t="s">
        <v>41</v>
      </c>
      <c r="J664" s="9" t="s">
        <v>47</v>
      </c>
      <c r="K664" s="9" t="n">
        <v>0</v>
      </c>
      <c r="L664" s="9" t="s">
        <v>42</v>
      </c>
      <c r="M664" s="9" t="s">
        <v>42</v>
      </c>
      <c r="N664" s="9" t="s">
        <v>42</v>
      </c>
      <c r="O664" s="9" t="s">
        <v>42</v>
      </c>
      <c r="P664" s="9" t="s">
        <v>42</v>
      </c>
      <c r="Q664" s="9" t="n">
        <v>100</v>
      </c>
      <c r="R664" s="9" t="s">
        <v>47</v>
      </c>
      <c r="S664" s="9" t="s">
        <v>1035</v>
      </c>
    </row>
    <row r="665" customFormat="false" ht="15" hidden="false" customHeight="true" outlineLevel="0" collapsed="false">
      <c r="A665" s="9" t="s">
        <v>1036</v>
      </c>
      <c r="B665" s="9" t="n">
        <v>37246</v>
      </c>
      <c r="C665" s="9"/>
      <c r="D665" s="9"/>
      <c r="E665" s="9" t="s">
        <v>44</v>
      </c>
      <c r="F665" s="9" t="s">
        <v>39</v>
      </c>
      <c r="G665" s="9" t="s">
        <v>40</v>
      </c>
      <c r="H665" s="9"/>
      <c r="I665" s="9" t="s">
        <v>66</v>
      </c>
      <c r="J665" s="9" t="s">
        <v>40</v>
      </c>
      <c r="K665" s="9" t="n">
        <v>1</v>
      </c>
      <c r="L665" s="9" t="s">
        <v>42</v>
      </c>
      <c r="M665" s="9" t="s">
        <v>42</v>
      </c>
      <c r="N665" s="9" t="s">
        <v>42</v>
      </c>
      <c r="O665" s="9" t="s">
        <v>42</v>
      </c>
      <c r="P665" s="9" t="s">
        <v>42</v>
      </c>
      <c r="Q665" s="9" t="n">
        <v>25</v>
      </c>
      <c r="R665" s="9" t="s">
        <v>47</v>
      </c>
      <c r="S665" s="9"/>
    </row>
    <row r="666" customFormat="false" ht="15" hidden="false" customHeight="true" outlineLevel="0" collapsed="false">
      <c r="A666" s="9" t="s">
        <v>1037</v>
      </c>
      <c r="B666" s="9" t="n">
        <v>98207</v>
      </c>
      <c r="C666" s="9"/>
      <c r="D666" s="9"/>
      <c r="E666" s="9" t="s">
        <v>38</v>
      </c>
      <c r="F666" s="9" t="s">
        <v>39</v>
      </c>
      <c r="G666" s="9" t="s">
        <v>40</v>
      </c>
      <c r="H666" s="9"/>
      <c r="I666" s="9" t="s">
        <v>41</v>
      </c>
      <c r="J666" s="9" t="s">
        <v>47</v>
      </c>
      <c r="K666" s="9" t="n">
        <v>0</v>
      </c>
      <c r="L666" s="9" t="s">
        <v>42</v>
      </c>
      <c r="M666" s="9" t="s">
        <v>42</v>
      </c>
      <c r="N666" s="9" t="s">
        <v>42</v>
      </c>
      <c r="O666" s="9" t="s">
        <v>42</v>
      </c>
      <c r="P666" s="9" t="s">
        <v>42</v>
      </c>
      <c r="Q666" s="9" t="n">
        <v>400</v>
      </c>
      <c r="R666" s="9" t="s">
        <v>47</v>
      </c>
      <c r="S666" s="9"/>
    </row>
    <row r="667" customFormat="false" ht="15" hidden="false" customHeight="true" outlineLevel="0" collapsed="false">
      <c r="A667" s="9" t="s">
        <v>1038</v>
      </c>
      <c r="B667" s="9" t="n">
        <v>65236</v>
      </c>
      <c r="C667" s="9"/>
      <c r="D667" s="9" t="s">
        <v>62</v>
      </c>
      <c r="E667" s="9" t="s">
        <v>38</v>
      </c>
      <c r="F667" s="9" t="s">
        <v>39</v>
      </c>
      <c r="G667" s="9" t="s">
        <v>40</v>
      </c>
      <c r="H667" s="9"/>
      <c r="I667" s="9" t="s">
        <v>41</v>
      </c>
      <c r="J667" s="9" t="s">
        <v>47</v>
      </c>
      <c r="K667" s="9" t="n">
        <v>0</v>
      </c>
      <c r="L667" s="9" t="s">
        <v>42</v>
      </c>
      <c r="M667" s="9" t="s">
        <v>42</v>
      </c>
      <c r="N667" s="9" t="s">
        <v>42</v>
      </c>
      <c r="O667" s="9" t="s">
        <v>42</v>
      </c>
      <c r="P667" s="9" t="s">
        <v>1039</v>
      </c>
      <c r="Q667" s="9" t="n">
        <v>744</v>
      </c>
      <c r="R667" s="9" t="s">
        <v>47</v>
      </c>
      <c r="S667" s="9"/>
    </row>
    <row r="668" customFormat="false" ht="15" hidden="false" customHeight="true" outlineLevel="0" collapsed="false">
      <c r="A668" s="9" t="s">
        <v>1040</v>
      </c>
      <c r="B668" s="9" t="n">
        <v>19112</v>
      </c>
      <c r="C668" s="9" t="n">
        <v>43</v>
      </c>
      <c r="D668" s="9"/>
      <c r="E668" s="9" t="s">
        <v>38</v>
      </c>
      <c r="F668" s="9" t="s">
        <v>54</v>
      </c>
      <c r="G668" s="9" t="s">
        <v>47</v>
      </c>
      <c r="H668" s="9"/>
      <c r="I668" s="9"/>
      <c r="J668" s="9" t="s">
        <v>40</v>
      </c>
      <c r="K668" s="9" t="n">
        <v>1</v>
      </c>
      <c r="L668" s="9" t="s">
        <v>42</v>
      </c>
      <c r="M668" s="9" t="s">
        <v>42</v>
      </c>
      <c r="N668" s="9" t="s">
        <v>42</v>
      </c>
      <c r="O668" s="9" t="s">
        <v>42</v>
      </c>
      <c r="P668" s="9" t="s">
        <v>334</v>
      </c>
      <c r="Q668" s="9" t="n">
        <v>35</v>
      </c>
      <c r="R668" s="9" t="s">
        <v>47</v>
      </c>
      <c r="S668" s="9" t="s">
        <v>1041</v>
      </c>
    </row>
    <row r="669" customFormat="false" ht="15" hidden="false" customHeight="true" outlineLevel="0" collapsed="false">
      <c r="A669" s="9" t="s">
        <v>1042</v>
      </c>
      <c r="B669" s="9" t="n">
        <v>31605</v>
      </c>
      <c r="C669" s="9"/>
      <c r="D669" s="9" t="s">
        <v>62</v>
      </c>
      <c r="E669" s="9" t="s">
        <v>44</v>
      </c>
      <c r="F669" s="9" t="s">
        <v>39</v>
      </c>
      <c r="G669" s="9" t="s">
        <v>40</v>
      </c>
      <c r="H669" s="9"/>
      <c r="I669" s="9" t="s">
        <v>41</v>
      </c>
      <c r="J669" s="9" t="s">
        <v>40</v>
      </c>
      <c r="K669" s="9" t="n">
        <v>0</v>
      </c>
      <c r="L669" s="9" t="s">
        <v>42</v>
      </c>
      <c r="M669" s="9" t="s">
        <v>42</v>
      </c>
      <c r="N669" s="9" t="s">
        <v>42</v>
      </c>
      <c r="O669" s="9" t="s">
        <v>42</v>
      </c>
      <c r="P669" s="9" t="s">
        <v>42</v>
      </c>
      <c r="Q669" s="9" t="n">
        <v>0</v>
      </c>
      <c r="R669" s="9" t="s">
        <v>40</v>
      </c>
      <c r="S669" s="9"/>
    </row>
    <row r="670" customFormat="false" ht="15" hidden="false" customHeight="true" outlineLevel="0" collapsed="false">
      <c r="A670" s="9" t="s">
        <v>1043</v>
      </c>
      <c r="B670" s="9" t="n">
        <v>41746</v>
      </c>
      <c r="C670" s="9"/>
      <c r="D670" s="9"/>
      <c r="E670" s="9" t="s">
        <v>38</v>
      </c>
      <c r="F670" s="9" t="s">
        <v>39</v>
      </c>
      <c r="G670" s="9" t="s">
        <v>40</v>
      </c>
      <c r="H670" s="9"/>
      <c r="I670" s="9" t="s">
        <v>41</v>
      </c>
      <c r="J670" s="9" t="s">
        <v>40</v>
      </c>
      <c r="K670" s="9" t="n">
        <v>1</v>
      </c>
      <c r="L670" s="9" t="s">
        <v>42</v>
      </c>
      <c r="M670" s="9" t="s">
        <v>42</v>
      </c>
      <c r="N670" s="9" t="s">
        <v>42</v>
      </c>
      <c r="O670" s="9" t="s">
        <v>42</v>
      </c>
      <c r="P670" s="9" t="s">
        <v>42</v>
      </c>
      <c r="Q670" s="9" t="n">
        <v>500</v>
      </c>
      <c r="R670" s="9" t="s">
        <v>47</v>
      </c>
      <c r="S670" s="9"/>
    </row>
    <row r="671" customFormat="false" ht="15" hidden="false" customHeight="true" outlineLevel="0" collapsed="false">
      <c r="A671" s="9" t="s">
        <v>1044</v>
      </c>
      <c r="B671" s="9" t="n">
        <v>90265</v>
      </c>
      <c r="C671" s="9" t="n">
        <v>47</v>
      </c>
      <c r="D671" s="9"/>
      <c r="E671" s="9" t="s">
        <v>44</v>
      </c>
      <c r="F671" s="9" t="s">
        <v>54</v>
      </c>
      <c r="G671" s="9" t="s">
        <v>47</v>
      </c>
      <c r="H671" s="9"/>
      <c r="I671" s="9" t="s">
        <v>41</v>
      </c>
      <c r="J671" s="9" t="s">
        <v>47</v>
      </c>
      <c r="K671" s="9" t="n">
        <v>0</v>
      </c>
      <c r="L671" s="9" t="s">
        <v>42</v>
      </c>
      <c r="M671" s="9" t="s">
        <v>42</v>
      </c>
      <c r="N671" s="9" t="s">
        <v>42</v>
      </c>
      <c r="O671" s="9" t="s">
        <v>42</v>
      </c>
      <c r="P671" s="9" t="s">
        <v>42</v>
      </c>
      <c r="Q671" s="9" t="n">
        <v>25</v>
      </c>
      <c r="R671" s="9" t="s">
        <v>47</v>
      </c>
      <c r="S671" s="9" t="s">
        <v>1045</v>
      </c>
    </row>
    <row r="672" customFormat="false" ht="15" hidden="false" customHeight="true" outlineLevel="0" collapsed="false">
      <c r="A672" s="9" t="s">
        <v>1046</v>
      </c>
      <c r="B672" s="9" t="n">
        <v>85722</v>
      </c>
      <c r="C672" s="9"/>
      <c r="D672" s="9"/>
      <c r="E672" s="9" t="s">
        <v>38</v>
      </c>
      <c r="F672" s="9" t="s">
        <v>39</v>
      </c>
      <c r="G672" s="9" t="s">
        <v>40</v>
      </c>
      <c r="H672" s="9"/>
      <c r="I672" s="9" t="s">
        <v>41</v>
      </c>
      <c r="J672" s="9" t="s">
        <v>47</v>
      </c>
      <c r="K672" s="9" t="n">
        <v>1</v>
      </c>
      <c r="L672" s="9" t="s">
        <v>334</v>
      </c>
      <c r="M672" s="9" t="s">
        <v>42</v>
      </c>
      <c r="N672" s="9" t="s">
        <v>42</v>
      </c>
      <c r="O672" s="9" t="s">
        <v>42</v>
      </c>
      <c r="P672" s="9" t="s">
        <v>42</v>
      </c>
      <c r="Q672" s="9" t="n">
        <v>270</v>
      </c>
      <c r="R672" s="9" t="s">
        <v>47</v>
      </c>
      <c r="S672" s="9"/>
    </row>
    <row r="673" customFormat="false" ht="15" hidden="false" customHeight="true" outlineLevel="0" collapsed="false">
      <c r="A673" s="9" t="s">
        <v>1047</v>
      </c>
      <c r="B673" s="9" t="n">
        <v>91016</v>
      </c>
      <c r="C673" s="9"/>
      <c r="D673" s="9"/>
      <c r="E673" s="9" t="s">
        <v>44</v>
      </c>
      <c r="F673" s="9" t="s">
        <v>39</v>
      </c>
      <c r="G673" s="9" t="s">
        <v>40</v>
      </c>
      <c r="H673" s="9"/>
      <c r="I673" s="9" t="s">
        <v>41</v>
      </c>
      <c r="J673" s="9" t="s">
        <v>40</v>
      </c>
      <c r="K673" s="9" t="n">
        <v>2</v>
      </c>
      <c r="L673" s="9" t="s">
        <v>42</v>
      </c>
      <c r="M673" s="9" t="s">
        <v>42</v>
      </c>
      <c r="N673" s="9" t="s">
        <v>42</v>
      </c>
      <c r="O673" s="9" t="s">
        <v>42</v>
      </c>
      <c r="P673" s="9" t="s">
        <v>42</v>
      </c>
      <c r="Q673" s="9" t="n">
        <v>0</v>
      </c>
      <c r="R673" s="9" t="s">
        <v>40</v>
      </c>
      <c r="S673" s="9"/>
    </row>
    <row r="674" customFormat="false" ht="15" hidden="false" customHeight="true" outlineLevel="0" collapsed="false">
      <c r="A674" s="9" t="s">
        <v>1048</v>
      </c>
      <c r="B674" s="9" t="n">
        <v>96260</v>
      </c>
      <c r="C674" s="9" t="n">
        <v>45</v>
      </c>
      <c r="D674" s="9"/>
      <c r="E674" s="9" t="s">
        <v>44</v>
      </c>
      <c r="F674" s="9" t="s">
        <v>39</v>
      </c>
      <c r="G674" s="9" t="s">
        <v>40</v>
      </c>
      <c r="H674" s="9"/>
      <c r="I674" s="9" t="s">
        <v>41</v>
      </c>
      <c r="J674" s="9" t="s">
        <v>40</v>
      </c>
      <c r="K674" s="9" t="n">
        <v>0</v>
      </c>
      <c r="L674" s="9" t="s">
        <v>42</v>
      </c>
      <c r="M674" s="9" t="s">
        <v>42</v>
      </c>
      <c r="N674" s="9" t="s">
        <v>42</v>
      </c>
      <c r="O674" s="9" t="s">
        <v>42</v>
      </c>
      <c r="P674" s="9" t="s">
        <v>42</v>
      </c>
      <c r="Q674" s="9" t="n">
        <v>0</v>
      </c>
      <c r="R674" s="9" t="s">
        <v>40</v>
      </c>
      <c r="S674" s="9" t="s">
        <v>1049</v>
      </c>
    </row>
    <row r="675" customFormat="false" ht="15" hidden="false" customHeight="true" outlineLevel="0" collapsed="false">
      <c r="A675" s="9" t="s">
        <v>1050</v>
      </c>
      <c r="B675" s="9" t="n">
        <v>78043</v>
      </c>
      <c r="C675" s="9"/>
      <c r="D675" s="9"/>
      <c r="E675" s="9" t="s">
        <v>38</v>
      </c>
      <c r="F675" s="9" t="s">
        <v>39</v>
      </c>
      <c r="G675" s="9" t="s">
        <v>40</v>
      </c>
      <c r="H675" s="9"/>
      <c r="I675" s="9" t="s">
        <v>41</v>
      </c>
      <c r="J675" s="9" t="s">
        <v>40</v>
      </c>
      <c r="K675" s="9" t="n">
        <v>2</v>
      </c>
      <c r="L675" s="9" t="s">
        <v>42</v>
      </c>
      <c r="M675" s="9" t="s">
        <v>42</v>
      </c>
      <c r="N675" s="9" t="s">
        <v>42</v>
      </c>
      <c r="O675" s="9" t="s">
        <v>42</v>
      </c>
      <c r="P675" s="9" t="s">
        <v>42</v>
      </c>
      <c r="Q675" s="9" t="n">
        <v>255</v>
      </c>
      <c r="R675" s="9" t="s">
        <v>47</v>
      </c>
      <c r="S675" s="9"/>
    </row>
    <row r="676" customFormat="false" ht="15" hidden="false" customHeight="true" outlineLevel="0" collapsed="false">
      <c r="A676" s="9" t="s">
        <v>1051</v>
      </c>
      <c r="B676" s="9" t="n">
        <v>90265</v>
      </c>
      <c r="C676" s="9"/>
      <c r="D676" s="9"/>
      <c r="E676" s="9" t="s">
        <v>44</v>
      </c>
      <c r="F676" s="9" t="s">
        <v>39</v>
      </c>
      <c r="G676" s="9" t="s">
        <v>47</v>
      </c>
      <c r="H676" s="9"/>
      <c r="I676" s="9" t="s">
        <v>41</v>
      </c>
      <c r="J676" s="9" t="s">
        <v>40</v>
      </c>
      <c r="K676" s="9" t="n">
        <v>3</v>
      </c>
      <c r="L676" s="9" t="s">
        <v>42</v>
      </c>
      <c r="M676" s="9" t="s">
        <v>42</v>
      </c>
      <c r="N676" s="9" t="s">
        <v>42</v>
      </c>
      <c r="O676" s="9" t="s">
        <v>42</v>
      </c>
      <c r="P676" s="9" t="s">
        <v>42</v>
      </c>
      <c r="Q676" s="9" t="n">
        <v>32</v>
      </c>
      <c r="R676" s="9" t="s">
        <v>47</v>
      </c>
      <c r="S676" s="9"/>
    </row>
    <row r="677" customFormat="false" ht="15" hidden="false" customHeight="true" outlineLevel="0" collapsed="false">
      <c r="A677" s="9" t="s">
        <v>1052</v>
      </c>
      <c r="B677" s="9" t="n">
        <v>64864</v>
      </c>
      <c r="C677" s="9"/>
      <c r="D677" s="9"/>
      <c r="E677" s="9" t="s">
        <v>44</v>
      </c>
      <c r="F677" s="9" t="s">
        <v>39</v>
      </c>
      <c r="G677" s="9" t="s">
        <v>40</v>
      </c>
      <c r="H677" s="9"/>
      <c r="I677" s="9" t="s">
        <v>41</v>
      </c>
      <c r="J677" s="9" t="s">
        <v>40</v>
      </c>
      <c r="K677" s="9" t="n">
        <v>2</v>
      </c>
      <c r="L677" s="9" t="s">
        <v>42</v>
      </c>
      <c r="M677" s="9" t="s">
        <v>42</v>
      </c>
      <c r="N677" s="9" t="s">
        <v>42</v>
      </c>
      <c r="O677" s="9" t="s">
        <v>42</v>
      </c>
      <c r="P677" s="9" t="s">
        <v>42</v>
      </c>
      <c r="Q677" s="9" t="n">
        <v>0</v>
      </c>
      <c r="R677" s="9" t="s">
        <v>40</v>
      </c>
      <c r="S677" s="9"/>
    </row>
    <row r="678" customFormat="false" ht="15" hidden="false" customHeight="true" outlineLevel="0" collapsed="false">
      <c r="A678" s="9" t="s">
        <v>1053</v>
      </c>
      <c r="B678" s="9" t="n">
        <v>50217</v>
      </c>
      <c r="C678" s="9"/>
      <c r="D678" s="9"/>
      <c r="E678" s="9" t="s">
        <v>38</v>
      </c>
      <c r="F678" s="9" t="s">
        <v>39</v>
      </c>
      <c r="G678" s="9" t="s">
        <v>40</v>
      </c>
      <c r="H678" s="9"/>
      <c r="I678" s="9" t="s">
        <v>41</v>
      </c>
      <c r="J678" s="9" t="s">
        <v>40</v>
      </c>
      <c r="K678" s="9" t="n">
        <v>1</v>
      </c>
      <c r="L678" s="9" t="s">
        <v>42</v>
      </c>
      <c r="M678" s="9" t="s">
        <v>42</v>
      </c>
      <c r="N678" s="9" t="s">
        <v>42</v>
      </c>
      <c r="O678" s="9" t="s">
        <v>42</v>
      </c>
      <c r="P678" s="9" t="s">
        <v>42</v>
      </c>
      <c r="Q678" s="9" t="n">
        <v>1</v>
      </c>
      <c r="R678" s="9" t="s">
        <v>47</v>
      </c>
      <c r="S678" s="9"/>
    </row>
    <row r="679" customFormat="false" ht="15" hidden="false" customHeight="true" outlineLevel="0" collapsed="false">
      <c r="A679" s="9" t="s">
        <v>1054</v>
      </c>
      <c r="B679" s="9" t="n">
        <v>72478</v>
      </c>
      <c r="C679" s="9"/>
      <c r="D679" s="9"/>
      <c r="E679" s="9" t="s">
        <v>44</v>
      </c>
      <c r="F679" s="9" t="s">
        <v>39</v>
      </c>
      <c r="G679" s="9" t="s">
        <v>40</v>
      </c>
      <c r="H679" s="9"/>
      <c r="I679" s="9"/>
      <c r="J679" s="9" t="s">
        <v>40</v>
      </c>
      <c r="K679" s="9" t="n">
        <v>1</v>
      </c>
      <c r="L679" s="9" t="s">
        <v>42</v>
      </c>
      <c r="M679" s="9" t="s">
        <v>42</v>
      </c>
      <c r="N679" s="9" t="s">
        <v>42</v>
      </c>
      <c r="O679" s="9" t="s">
        <v>42</v>
      </c>
      <c r="P679" s="9" t="s">
        <v>42</v>
      </c>
      <c r="Q679" s="9" t="n">
        <v>0</v>
      </c>
      <c r="R679" s="9" t="s">
        <v>40</v>
      </c>
      <c r="S679" s="9"/>
    </row>
    <row r="680" customFormat="false" ht="15" hidden="false" customHeight="true" outlineLevel="0" collapsed="false">
      <c r="A680" s="9" t="s">
        <v>1055</v>
      </c>
      <c r="B680" s="9" t="n">
        <v>71268</v>
      </c>
      <c r="C680" s="9" t="n">
        <v>73</v>
      </c>
      <c r="D680" s="9"/>
      <c r="E680" s="9" t="s">
        <v>44</v>
      </c>
      <c r="F680" s="9" t="s">
        <v>39</v>
      </c>
      <c r="G680" s="9" t="s">
        <v>40</v>
      </c>
      <c r="H680" s="9"/>
      <c r="I680" s="9" t="s">
        <v>41</v>
      </c>
      <c r="J680" s="9" t="s">
        <v>40</v>
      </c>
      <c r="K680" s="9" t="n">
        <v>0</v>
      </c>
      <c r="L680" s="9" t="s">
        <v>42</v>
      </c>
      <c r="M680" s="9" t="s">
        <v>42</v>
      </c>
      <c r="N680" s="9" t="s">
        <v>42</v>
      </c>
      <c r="O680" s="9" t="s">
        <v>42</v>
      </c>
      <c r="P680" s="9" t="s">
        <v>42</v>
      </c>
      <c r="Q680" s="9" t="n">
        <v>0</v>
      </c>
      <c r="R680" s="9" t="s">
        <v>40</v>
      </c>
      <c r="S680" s="9" t="s">
        <v>1056</v>
      </c>
    </row>
    <row r="681" customFormat="false" ht="15" hidden="false" customHeight="true" outlineLevel="0" collapsed="false">
      <c r="A681" s="9" t="s">
        <v>1057</v>
      </c>
      <c r="B681" s="9" t="n">
        <v>62523</v>
      </c>
      <c r="C681" s="9"/>
      <c r="D681" s="9"/>
      <c r="E681" s="9" t="s">
        <v>38</v>
      </c>
      <c r="F681" s="9" t="s">
        <v>39</v>
      </c>
      <c r="G681" s="9" t="s">
        <v>40</v>
      </c>
      <c r="H681" s="9"/>
      <c r="I681" s="9" t="s">
        <v>41</v>
      </c>
      <c r="J681" s="9" t="s">
        <v>47</v>
      </c>
      <c r="K681" s="9" t="n">
        <v>1</v>
      </c>
      <c r="L681" s="9" t="s">
        <v>42</v>
      </c>
      <c r="M681" s="9" t="s">
        <v>42</v>
      </c>
      <c r="N681" s="9" t="s">
        <v>42</v>
      </c>
      <c r="O681" s="9" t="s">
        <v>42</v>
      </c>
      <c r="P681" s="9" t="s">
        <v>42</v>
      </c>
      <c r="Q681" s="9" t="n">
        <v>100</v>
      </c>
      <c r="R681" s="9" t="s">
        <v>47</v>
      </c>
      <c r="S681" s="9"/>
    </row>
    <row r="682" customFormat="false" ht="15" hidden="false" customHeight="true" outlineLevel="0" collapsed="false">
      <c r="A682" s="9" t="s">
        <v>1058</v>
      </c>
      <c r="B682" s="9" t="n">
        <v>38876</v>
      </c>
      <c r="C682" s="9"/>
      <c r="D682" s="9"/>
      <c r="E682" s="9" t="s">
        <v>38</v>
      </c>
      <c r="F682" s="9" t="s">
        <v>39</v>
      </c>
      <c r="G682" s="9" t="s">
        <v>40</v>
      </c>
      <c r="H682" s="9"/>
      <c r="I682" s="9" t="s">
        <v>41</v>
      </c>
      <c r="J682" s="9" t="s">
        <v>40</v>
      </c>
      <c r="K682" s="9" t="n">
        <v>1</v>
      </c>
      <c r="L682" s="9" t="s">
        <v>42</v>
      </c>
      <c r="M682" s="9" t="s">
        <v>42</v>
      </c>
      <c r="N682" s="9" t="s">
        <v>281</v>
      </c>
      <c r="O682" s="9" t="s">
        <v>42</v>
      </c>
      <c r="P682" s="9" t="s">
        <v>1059</v>
      </c>
      <c r="Q682" s="9" t="n">
        <v>1130</v>
      </c>
      <c r="R682" s="9" t="s">
        <v>47</v>
      </c>
      <c r="S682" s="9"/>
    </row>
    <row r="683" customFormat="false" ht="15" hidden="false" customHeight="true" outlineLevel="0" collapsed="false">
      <c r="A683" s="9" t="s">
        <v>1060</v>
      </c>
      <c r="B683" s="9" t="n">
        <v>83316</v>
      </c>
      <c r="C683" s="9"/>
      <c r="D683" s="9" t="s">
        <v>62</v>
      </c>
      <c r="E683" s="9" t="s">
        <v>38</v>
      </c>
      <c r="F683" s="9" t="s">
        <v>39</v>
      </c>
      <c r="G683" s="9" t="s">
        <v>40</v>
      </c>
      <c r="H683" s="9"/>
      <c r="I683" s="9" t="s">
        <v>41</v>
      </c>
      <c r="J683" s="9" t="s">
        <v>40</v>
      </c>
      <c r="K683" s="9" t="n">
        <v>0</v>
      </c>
      <c r="L683" s="9" t="s">
        <v>42</v>
      </c>
      <c r="M683" s="9" t="s">
        <v>281</v>
      </c>
      <c r="N683" s="9" t="s">
        <v>42</v>
      </c>
      <c r="O683" s="9" t="s">
        <v>42</v>
      </c>
      <c r="P683" s="9" t="s">
        <v>42</v>
      </c>
      <c r="Q683" s="9" t="n">
        <v>30</v>
      </c>
      <c r="R683" s="9" t="s">
        <v>47</v>
      </c>
      <c r="S683" s="9"/>
    </row>
    <row r="684" customFormat="false" ht="15" hidden="false" customHeight="true" outlineLevel="0" collapsed="false">
      <c r="A684" s="9" t="s">
        <v>1061</v>
      </c>
      <c r="B684" s="9" t="n">
        <v>90265</v>
      </c>
      <c r="C684" s="9" t="n">
        <v>50</v>
      </c>
      <c r="D684" s="9" t="s">
        <v>62</v>
      </c>
      <c r="E684" s="9" t="s">
        <v>44</v>
      </c>
      <c r="F684" s="9" t="s">
        <v>54</v>
      </c>
      <c r="G684" s="9" t="s">
        <v>47</v>
      </c>
      <c r="H684" s="9"/>
      <c r="I684" s="9" t="s">
        <v>41</v>
      </c>
      <c r="J684" s="9" t="s">
        <v>40</v>
      </c>
      <c r="K684" s="9" t="n">
        <v>0</v>
      </c>
      <c r="L684" s="9" t="s">
        <v>42</v>
      </c>
      <c r="M684" s="9" t="s">
        <v>42</v>
      </c>
      <c r="N684" s="9" t="s">
        <v>42</v>
      </c>
      <c r="O684" s="9" t="s">
        <v>42</v>
      </c>
      <c r="P684" s="9" t="s">
        <v>1039</v>
      </c>
      <c r="Q684" s="9" t="n">
        <v>165</v>
      </c>
      <c r="R684" s="9" t="s">
        <v>47</v>
      </c>
      <c r="S684" s="9" t="s">
        <v>1062</v>
      </c>
    </row>
    <row r="685" customFormat="false" ht="15" hidden="false" customHeight="true" outlineLevel="0" collapsed="false">
      <c r="A685" s="9" t="s">
        <v>1063</v>
      </c>
      <c r="B685" s="9" t="n">
        <v>32406</v>
      </c>
      <c r="C685" s="9"/>
      <c r="D685" s="9"/>
      <c r="E685" s="9" t="s">
        <v>44</v>
      </c>
      <c r="F685" s="9" t="s">
        <v>39</v>
      </c>
      <c r="G685" s="9" t="s">
        <v>40</v>
      </c>
      <c r="H685" s="9"/>
      <c r="I685" s="9" t="s">
        <v>41</v>
      </c>
      <c r="J685" s="9" t="s">
        <v>40</v>
      </c>
      <c r="K685" s="9" t="n">
        <v>1</v>
      </c>
      <c r="L685" s="9" t="s">
        <v>42</v>
      </c>
      <c r="M685" s="9" t="s">
        <v>42</v>
      </c>
      <c r="N685" s="9" t="s">
        <v>42</v>
      </c>
      <c r="O685" s="9" t="s">
        <v>42</v>
      </c>
      <c r="P685" s="9" t="s">
        <v>42</v>
      </c>
      <c r="Q685" s="9" t="n">
        <v>75</v>
      </c>
      <c r="R685" s="9" t="s">
        <v>47</v>
      </c>
      <c r="S685" s="9"/>
    </row>
    <row r="686" customFormat="false" ht="15" hidden="false" customHeight="true" outlineLevel="0" collapsed="false">
      <c r="A686" s="9" t="s">
        <v>1064</v>
      </c>
      <c r="B686" s="9" t="n">
        <v>969</v>
      </c>
      <c r="C686" s="9"/>
      <c r="D686" s="9" t="s">
        <v>62</v>
      </c>
      <c r="E686" s="9" t="s">
        <v>38</v>
      </c>
      <c r="F686" s="9" t="s">
        <v>39</v>
      </c>
      <c r="G686" s="9" t="s">
        <v>40</v>
      </c>
      <c r="H686" s="9"/>
      <c r="I686" s="9" t="s">
        <v>41</v>
      </c>
      <c r="J686" s="9" t="s">
        <v>40</v>
      </c>
      <c r="K686" s="9" t="n">
        <v>1</v>
      </c>
      <c r="L686" s="9" t="s">
        <v>42</v>
      </c>
      <c r="M686" s="9" t="s">
        <v>125</v>
      </c>
      <c r="N686" s="9" t="s">
        <v>42</v>
      </c>
      <c r="O686" s="9" t="s">
        <v>42</v>
      </c>
      <c r="P686" s="9" t="s">
        <v>42</v>
      </c>
      <c r="Q686" s="9" t="n">
        <v>115</v>
      </c>
      <c r="R686" s="9" t="s">
        <v>47</v>
      </c>
      <c r="S686" s="9"/>
    </row>
    <row r="687" customFormat="false" ht="15" hidden="false" customHeight="true" outlineLevel="0" collapsed="false">
      <c r="A687" s="9" t="s">
        <v>1065</v>
      </c>
      <c r="B687" s="9" t="n">
        <v>71107</v>
      </c>
      <c r="C687" s="9"/>
      <c r="D687" s="9"/>
      <c r="E687" s="9" t="s">
        <v>38</v>
      </c>
      <c r="F687" s="9" t="s">
        <v>39</v>
      </c>
      <c r="G687" s="9" t="s">
        <v>40</v>
      </c>
      <c r="H687" s="9"/>
      <c r="I687" s="9" t="s">
        <v>41</v>
      </c>
      <c r="J687" s="9" t="s">
        <v>40</v>
      </c>
      <c r="K687" s="9" t="n">
        <v>1</v>
      </c>
      <c r="L687" s="9" t="s">
        <v>42</v>
      </c>
      <c r="M687" s="9" t="s">
        <v>42</v>
      </c>
      <c r="N687" s="9" t="s">
        <v>42</v>
      </c>
      <c r="O687" s="9" t="s">
        <v>42</v>
      </c>
      <c r="P687" s="9" t="s">
        <v>42</v>
      </c>
      <c r="Q687" s="9" t="n">
        <v>0</v>
      </c>
      <c r="R687" s="9" t="s">
        <v>40</v>
      </c>
      <c r="S687" s="9"/>
    </row>
    <row r="688" customFormat="false" ht="15" hidden="false" customHeight="true" outlineLevel="0" collapsed="false">
      <c r="A688" s="9" t="s">
        <v>1066</v>
      </c>
      <c r="B688" s="9" t="n">
        <v>73194</v>
      </c>
      <c r="C688" s="9"/>
      <c r="D688" s="9"/>
      <c r="E688" s="9" t="s">
        <v>44</v>
      </c>
      <c r="F688" s="9" t="s">
        <v>39</v>
      </c>
      <c r="G688" s="9" t="s">
        <v>40</v>
      </c>
      <c r="H688" s="9"/>
      <c r="I688" s="9" t="s">
        <v>41</v>
      </c>
      <c r="J688" s="9" t="s">
        <v>40</v>
      </c>
      <c r="K688" s="9" t="n">
        <v>1</v>
      </c>
      <c r="L688" s="9" t="s">
        <v>42</v>
      </c>
      <c r="M688" s="9" t="s">
        <v>42</v>
      </c>
      <c r="N688" s="9" t="s">
        <v>42</v>
      </c>
      <c r="O688" s="9" t="s">
        <v>42</v>
      </c>
      <c r="P688" s="9" t="s">
        <v>42</v>
      </c>
      <c r="Q688" s="9" t="n">
        <v>0</v>
      </c>
      <c r="R688" s="9" t="s">
        <v>40</v>
      </c>
      <c r="S688" s="9"/>
    </row>
    <row r="689" customFormat="false" ht="15" hidden="false" customHeight="true" outlineLevel="0" collapsed="false">
      <c r="A689" s="9" t="s">
        <v>1067</v>
      </c>
      <c r="B689" s="9" t="n">
        <v>66040</v>
      </c>
      <c r="C689" s="9"/>
      <c r="D689" s="9" t="s">
        <v>62</v>
      </c>
      <c r="E689" s="9" t="s">
        <v>38</v>
      </c>
      <c r="F689" s="9" t="s">
        <v>39</v>
      </c>
      <c r="G689" s="9" t="s">
        <v>40</v>
      </c>
      <c r="H689" s="9"/>
      <c r="I689" s="9"/>
      <c r="J689" s="9" t="s">
        <v>40</v>
      </c>
      <c r="K689" s="9" t="n">
        <v>0</v>
      </c>
      <c r="L689" s="9" t="s">
        <v>42</v>
      </c>
      <c r="M689" s="9" t="s">
        <v>42</v>
      </c>
      <c r="N689" s="9" t="s">
        <v>42</v>
      </c>
      <c r="O689" s="9" t="s">
        <v>42</v>
      </c>
      <c r="P689" s="9" t="s">
        <v>42</v>
      </c>
      <c r="Q689" s="9" t="n">
        <v>50</v>
      </c>
      <c r="R689" s="9" t="s">
        <v>47</v>
      </c>
      <c r="S689" s="9"/>
    </row>
    <row r="690" customFormat="false" ht="15" hidden="false" customHeight="true" outlineLevel="0" collapsed="false">
      <c r="A690" s="9" t="s">
        <v>1068</v>
      </c>
      <c r="B690" s="9" t="n">
        <v>19606</v>
      </c>
      <c r="C690" s="9" t="n">
        <v>60</v>
      </c>
      <c r="D690" s="9"/>
      <c r="E690" s="9" t="s">
        <v>44</v>
      </c>
      <c r="F690" s="9" t="s">
        <v>39</v>
      </c>
      <c r="G690" s="9" t="s">
        <v>40</v>
      </c>
      <c r="H690" s="9"/>
      <c r="I690" s="9" t="s">
        <v>41</v>
      </c>
      <c r="J690" s="9" t="s">
        <v>40</v>
      </c>
      <c r="K690" s="9" t="n">
        <v>0</v>
      </c>
      <c r="L690" s="9" t="s">
        <v>42</v>
      </c>
      <c r="M690" s="9" t="s">
        <v>42</v>
      </c>
      <c r="N690" s="9" t="s">
        <v>42</v>
      </c>
      <c r="O690" s="9" t="s">
        <v>42</v>
      </c>
      <c r="P690" s="9" t="s">
        <v>42</v>
      </c>
      <c r="Q690" s="9" t="n">
        <v>4</v>
      </c>
      <c r="R690" s="9" t="s">
        <v>47</v>
      </c>
      <c r="S690" s="9" t="s">
        <v>1069</v>
      </c>
    </row>
    <row r="691" customFormat="false" ht="15" hidden="false" customHeight="true" outlineLevel="0" collapsed="false">
      <c r="A691" s="9" t="s">
        <v>1070</v>
      </c>
      <c r="B691" s="9" t="n">
        <v>94538</v>
      </c>
      <c r="C691" s="9"/>
      <c r="D691" s="9" t="s">
        <v>62</v>
      </c>
      <c r="E691" s="9" t="s">
        <v>44</v>
      </c>
      <c r="F691" s="9" t="s">
        <v>39</v>
      </c>
      <c r="G691" s="9" t="s">
        <v>40</v>
      </c>
      <c r="H691" s="9"/>
      <c r="I691" s="9" t="s">
        <v>41</v>
      </c>
      <c r="J691" s="9" t="s">
        <v>40</v>
      </c>
      <c r="K691" s="9" t="n">
        <v>2</v>
      </c>
      <c r="L691" s="9" t="s">
        <v>431</v>
      </c>
      <c r="M691" s="9" t="s">
        <v>42</v>
      </c>
      <c r="N691" s="9" t="s">
        <v>42</v>
      </c>
      <c r="O691" s="9" t="s">
        <v>42</v>
      </c>
      <c r="P691" s="9" t="s">
        <v>42</v>
      </c>
      <c r="Q691" s="9" t="n">
        <v>11077</v>
      </c>
      <c r="R691" s="9" t="s">
        <v>47</v>
      </c>
      <c r="S691" s="9"/>
    </row>
    <row r="692" customFormat="false" ht="15" hidden="false" customHeight="true" outlineLevel="0" collapsed="false">
      <c r="A692" s="9" t="s">
        <v>1071</v>
      </c>
      <c r="B692" s="9" t="n">
        <v>8010</v>
      </c>
      <c r="C692" s="9" t="n">
        <v>35</v>
      </c>
      <c r="D692" s="9"/>
      <c r="E692" s="9" t="s">
        <v>38</v>
      </c>
      <c r="F692" s="9" t="s">
        <v>54</v>
      </c>
      <c r="G692" s="9" t="s">
        <v>47</v>
      </c>
      <c r="H692" s="9"/>
      <c r="I692" s="9" t="s">
        <v>66</v>
      </c>
      <c r="J692" s="9" t="s">
        <v>47</v>
      </c>
      <c r="K692" s="9" t="n">
        <v>4</v>
      </c>
      <c r="L692" s="9" t="s">
        <v>247</v>
      </c>
      <c r="M692" s="9" t="s">
        <v>42</v>
      </c>
      <c r="N692" s="9" t="s">
        <v>42</v>
      </c>
      <c r="O692" s="9" t="s">
        <v>42</v>
      </c>
      <c r="P692" s="9" t="s">
        <v>42</v>
      </c>
      <c r="Q692" s="9" t="n">
        <v>105</v>
      </c>
      <c r="R692" s="9" t="s">
        <v>47</v>
      </c>
      <c r="S692" s="9" t="s">
        <v>1072</v>
      </c>
    </row>
    <row r="693" customFormat="false" ht="15" hidden="false" customHeight="true" outlineLevel="0" collapsed="false">
      <c r="A693" s="9" t="s">
        <v>1073</v>
      </c>
      <c r="B693" s="9" t="n">
        <v>39110</v>
      </c>
      <c r="C693" s="9"/>
      <c r="D693" s="9"/>
      <c r="E693" s="9" t="s">
        <v>44</v>
      </c>
      <c r="F693" s="9" t="s">
        <v>39</v>
      </c>
      <c r="G693" s="9" t="s">
        <v>40</v>
      </c>
      <c r="H693" s="9"/>
      <c r="I693" s="9" t="s">
        <v>41</v>
      </c>
      <c r="J693" s="9" t="s">
        <v>40</v>
      </c>
      <c r="K693" s="9" t="n">
        <v>5</v>
      </c>
      <c r="L693" s="9" t="s">
        <v>821</v>
      </c>
      <c r="M693" s="9" t="s">
        <v>42</v>
      </c>
      <c r="N693" s="9" t="s">
        <v>42</v>
      </c>
      <c r="O693" s="9" t="s">
        <v>42</v>
      </c>
      <c r="P693" s="9" t="s">
        <v>42</v>
      </c>
      <c r="Q693" s="9" t="n">
        <v>240</v>
      </c>
      <c r="R693" s="9" t="s">
        <v>47</v>
      </c>
      <c r="S693" s="9"/>
    </row>
    <row r="694" customFormat="false" ht="15" hidden="false" customHeight="true" outlineLevel="0" collapsed="false">
      <c r="A694" s="9" t="s">
        <v>1074</v>
      </c>
      <c r="B694" s="9" t="n">
        <v>89570</v>
      </c>
      <c r="C694" s="9"/>
      <c r="D694" s="9" t="s">
        <v>62</v>
      </c>
      <c r="E694" s="9" t="s">
        <v>44</v>
      </c>
      <c r="F694" s="9" t="s">
        <v>45</v>
      </c>
      <c r="G694" s="9" t="s">
        <v>40</v>
      </c>
      <c r="H694" s="9"/>
      <c r="I694" s="9" t="s">
        <v>41</v>
      </c>
      <c r="J694" s="9" t="s">
        <v>40</v>
      </c>
      <c r="K694" s="9" t="n">
        <v>0</v>
      </c>
      <c r="L694" s="9" t="s">
        <v>42</v>
      </c>
      <c r="M694" s="9" t="s">
        <v>42</v>
      </c>
      <c r="N694" s="9" t="s">
        <v>42</v>
      </c>
      <c r="O694" s="9" t="s">
        <v>42</v>
      </c>
      <c r="P694" s="9" t="s">
        <v>42</v>
      </c>
      <c r="Q694" s="9" t="n">
        <v>40</v>
      </c>
      <c r="R694" s="9" t="s">
        <v>47</v>
      </c>
      <c r="S694" s="9"/>
    </row>
    <row r="695" customFormat="false" ht="15" hidden="false" customHeight="true" outlineLevel="0" collapsed="false">
      <c r="A695" s="9" t="s">
        <v>1075</v>
      </c>
      <c r="B695" s="9" t="n">
        <v>73179</v>
      </c>
      <c r="C695" s="9" t="n">
        <v>44</v>
      </c>
      <c r="D695" s="9"/>
      <c r="E695" s="9" t="s">
        <v>38</v>
      </c>
      <c r="F695" s="9" t="s">
        <v>39</v>
      </c>
      <c r="G695" s="9" t="s">
        <v>40</v>
      </c>
      <c r="H695" s="9"/>
      <c r="I695" s="9" t="s">
        <v>41</v>
      </c>
      <c r="J695" s="9" t="s">
        <v>40</v>
      </c>
      <c r="K695" s="9" t="n">
        <v>0</v>
      </c>
      <c r="L695" s="9" t="s">
        <v>42</v>
      </c>
      <c r="M695" s="9" t="s">
        <v>42</v>
      </c>
      <c r="N695" s="9" t="s">
        <v>42</v>
      </c>
      <c r="O695" s="9" t="s">
        <v>42</v>
      </c>
      <c r="P695" s="9" t="s">
        <v>42</v>
      </c>
      <c r="Q695" s="9" t="n">
        <v>300</v>
      </c>
      <c r="R695" s="9" t="s">
        <v>47</v>
      </c>
      <c r="S695" s="9" t="s">
        <v>1076</v>
      </c>
    </row>
    <row r="696" customFormat="false" ht="15" hidden="false" customHeight="true" outlineLevel="0" collapsed="false">
      <c r="A696" s="9" t="s">
        <v>1077</v>
      </c>
      <c r="B696" s="9" t="n">
        <v>89152</v>
      </c>
      <c r="C696" s="9"/>
      <c r="D696" s="9"/>
      <c r="E696" s="9" t="s">
        <v>50</v>
      </c>
      <c r="F696" s="9" t="s">
        <v>39</v>
      </c>
      <c r="G696" s="9" t="s">
        <v>40</v>
      </c>
      <c r="H696" s="9"/>
      <c r="I696" s="9" t="s">
        <v>41</v>
      </c>
      <c r="J696" s="9" t="s">
        <v>40</v>
      </c>
      <c r="K696" s="9" t="n">
        <v>1</v>
      </c>
      <c r="L696" s="9" t="s">
        <v>42</v>
      </c>
      <c r="M696" s="9" t="s">
        <v>42</v>
      </c>
      <c r="N696" s="9" t="s">
        <v>42</v>
      </c>
      <c r="O696" s="9" t="s">
        <v>42</v>
      </c>
      <c r="P696" s="9" t="s">
        <v>42</v>
      </c>
      <c r="Q696" s="9" t="n">
        <v>124</v>
      </c>
      <c r="R696" s="9" t="s">
        <v>47</v>
      </c>
      <c r="S696" s="9"/>
    </row>
    <row r="697" customFormat="false" ht="15" hidden="false" customHeight="true" outlineLevel="0" collapsed="false">
      <c r="A697" s="9" t="s">
        <v>1078</v>
      </c>
      <c r="B697" s="9" t="n">
        <v>90265</v>
      </c>
      <c r="C697" s="9" t="n">
        <v>36</v>
      </c>
      <c r="D697" s="9"/>
      <c r="E697" s="9" t="s">
        <v>44</v>
      </c>
      <c r="F697" s="9" t="s">
        <v>54</v>
      </c>
      <c r="G697" s="9" t="s">
        <v>47</v>
      </c>
      <c r="H697" s="9"/>
      <c r="I697" s="9" t="s">
        <v>41</v>
      </c>
      <c r="J697" s="9" t="s">
        <v>47</v>
      </c>
      <c r="K697" s="9" t="n">
        <v>1</v>
      </c>
      <c r="L697" s="9" t="s">
        <v>42</v>
      </c>
      <c r="M697" s="9" t="s">
        <v>42</v>
      </c>
      <c r="N697" s="9" t="s">
        <v>42</v>
      </c>
      <c r="O697" s="9" t="s">
        <v>42</v>
      </c>
      <c r="P697" s="9" t="s">
        <v>42</v>
      </c>
      <c r="Q697" s="9" t="n">
        <v>254</v>
      </c>
      <c r="R697" s="9" t="s">
        <v>47</v>
      </c>
      <c r="S697" s="9" t="s">
        <v>1079</v>
      </c>
    </row>
    <row r="698" customFormat="false" ht="15" hidden="false" customHeight="true" outlineLevel="0" collapsed="false">
      <c r="A698" s="9" t="s">
        <v>1080</v>
      </c>
      <c r="B698" s="9" t="n">
        <v>50061</v>
      </c>
      <c r="C698" s="9"/>
      <c r="D698" s="9" t="s">
        <v>62</v>
      </c>
      <c r="E698" s="9" t="s">
        <v>38</v>
      </c>
      <c r="F698" s="9" t="s">
        <v>39</v>
      </c>
      <c r="G698" s="9" t="s">
        <v>40</v>
      </c>
      <c r="H698" s="9"/>
      <c r="I698" s="9" t="s">
        <v>41</v>
      </c>
      <c r="J698" s="9" t="s">
        <v>40</v>
      </c>
      <c r="K698" s="9" t="n">
        <v>0</v>
      </c>
      <c r="L698" s="9" t="s">
        <v>42</v>
      </c>
      <c r="M698" s="9" t="s">
        <v>42</v>
      </c>
      <c r="N698" s="9" t="s">
        <v>42</v>
      </c>
      <c r="O698" s="9" t="s">
        <v>42</v>
      </c>
      <c r="P698" s="9" t="s">
        <v>42</v>
      </c>
      <c r="Q698" s="9" t="n">
        <v>0</v>
      </c>
      <c r="R698" s="9" t="s">
        <v>40</v>
      </c>
      <c r="S698" s="9"/>
    </row>
    <row r="699" customFormat="false" ht="15" hidden="false" customHeight="true" outlineLevel="0" collapsed="false">
      <c r="A699" s="9" t="s">
        <v>1081</v>
      </c>
      <c r="B699" s="9" t="n">
        <v>46037</v>
      </c>
      <c r="C699" s="9" t="n">
        <v>51</v>
      </c>
      <c r="D699" s="9"/>
      <c r="E699" s="9" t="s">
        <v>38</v>
      </c>
      <c r="F699" s="9" t="s">
        <v>39</v>
      </c>
      <c r="G699" s="9" t="s">
        <v>40</v>
      </c>
      <c r="H699" s="9"/>
      <c r="I699" s="9" t="s">
        <v>41</v>
      </c>
      <c r="J699" s="9" t="s">
        <v>47</v>
      </c>
      <c r="K699" s="9" t="n">
        <v>0</v>
      </c>
      <c r="L699" s="9" t="s">
        <v>42</v>
      </c>
      <c r="M699" s="9" t="s">
        <v>42</v>
      </c>
      <c r="N699" s="9" t="s">
        <v>42</v>
      </c>
      <c r="O699" s="9" t="s">
        <v>42</v>
      </c>
      <c r="P699" s="9" t="s">
        <v>42</v>
      </c>
      <c r="Q699" s="9" t="n">
        <v>204</v>
      </c>
      <c r="R699" s="9" t="s">
        <v>47</v>
      </c>
      <c r="S699" s="9" t="s">
        <v>1082</v>
      </c>
    </row>
    <row r="700" customFormat="false" ht="15" hidden="false" customHeight="true" outlineLevel="0" collapsed="false">
      <c r="A700" s="9" t="s">
        <v>1083</v>
      </c>
      <c r="B700" s="9" t="n">
        <v>90265</v>
      </c>
      <c r="C700" s="9" t="n">
        <v>30</v>
      </c>
      <c r="D700" s="9"/>
      <c r="E700" s="9" t="s">
        <v>38</v>
      </c>
      <c r="F700" s="9" t="s">
        <v>39</v>
      </c>
      <c r="G700" s="9" t="s">
        <v>40</v>
      </c>
      <c r="H700" s="9"/>
      <c r="I700" s="9" t="s">
        <v>41</v>
      </c>
      <c r="J700" s="9" t="s">
        <v>40</v>
      </c>
      <c r="K700" s="9" t="n">
        <v>0</v>
      </c>
      <c r="L700" s="9" t="s">
        <v>42</v>
      </c>
      <c r="M700" s="9" t="s">
        <v>42</v>
      </c>
      <c r="N700" s="9" t="s">
        <v>42</v>
      </c>
      <c r="O700" s="9" t="s">
        <v>42</v>
      </c>
      <c r="P700" s="9" t="s">
        <v>42</v>
      </c>
      <c r="Q700" s="9" t="n">
        <v>375</v>
      </c>
      <c r="R700" s="9" t="s">
        <v>47</v>
      </c>
      <c r="S700" s="9" t="s">
        <v>1084</v>
      </c>
    </row>
    <row r="701" customFormat="false" ht="15" hidden="false" customHeight="true" outlineLevel="0" collapsed="false">
      <c r="A701" s="9" t="s">
        <v>1085</v>
      </c>
      <c r="B701" s="9" t="n">
        <v>76657</v>
      </c>
      <c r="C701" s="9"/>
      <c r="D701" s="9" t="s">
        <v>62</v>
      </c>
      <c r="E701" s="9" t="s">
        <v>38</v>
      </c>
      <c r="F701" s="9" t="s">
        <v>54</v>
      </c>
      <c r="G701" s="9" t="s">
        <v>40</v>
      </c>
      <c r="H701" s="9"/>
      <c r="I701" s="9" t="s">
        <v>41</v>
      </c>
      <c r="J701" s="9" t="s">
        <v>40</v>
      </c>
      <c r="K701" s="9" t="n">
        <v>0</v>
      </c>
      <c r="L701" s="9" t="s">
        <v>42</v>
      </c>
      <c r="M701" s="9" t="s">
        <v>42</v>
      </c>
      <c r="N701" s="9" t="s">
        <v>42</v>
      </c>
      <c r="O701" s="9" t="s">
        <v>42</v>
      </c>
      <c r="P701" s="9" t="s">
        <v>42</v>
      </c>
      <c r="Q701" s="9" t="n">
        <v>0</v>
      </c>
      <c r="R701" s="9" t="s">
        <v>40</v>
      </c>
      <c r="S701" s="9"/>
    </row>
    <row r="702" customFormat="false" ht="15" hidden="false" customHeight="true" outlineLevel="0" collapsed="false">
      <c r="A702" s="9" t="s">
        <v>1086</v>
      </c>
      <c r="B702" s="9" t="n">
        <v>5158</v>
      </c>
      <c r="C702" s="9" t="n">
        <v>33</v>
      </c>
      <c r="D702" s="9"/>
      <c r="E702" s="9" t="s">
        <v>44</v>
      </c>
      <c r="F702" s="9" t="s">
        <v>54</v>
      </c>
      <c r="G702" s="9" t="s">
        <v>47</v>
      </c>
      <c r="H702" s="9"/>
      <c r="I702" s="9" t="s">
        <v>41</v>
      </c>
      <c r="J702" s="9" t="s">
        <v>47</v>
      </c>
      <c r="K702" s="9" t="n">
        <v>0</v>
      </c>
      <c r="L702" s="9" t="s">
        <v>42</v>
      </c>
      <c r="M702" s="9" t="s">
        <v>42</v>
      </c>
      <c r="N702" s="9" t="s">
        <v>42</v>
      </c>
      <c r="O702" s="9" t="s">
        <v>42</v>
      </c>
      <c r="P702" s="9" t="s">
        <v>42</v>
      </c>
      <c r="Q702" s="9" t="n">
        <v>122</v>
      </c>
      <c r="R702" s="9" t="s">
        <v>47</v>
      </c>
      <c r="S702" s="9" t="s">
        <v>1087</v>
      </c>
    </row>
    <row r="703" customFormat="false" ht="15" hidden="false" customHeight="true" outlineLevel="0" collapsed="false">
      <c r="A703" s="9" t="s">
        <v>1088</v>
      </c>
      <c r="B703" s="9" t="n">
        <v>45042</v>
      </c>
      <c r="C703" s="9" t="n">
        <v>55</v>
      </c>
      <c r="D703" s="9"/>
      <c r="E703" s="9" t="s">
        <v>38</v>
      </c>
      <c r="F703" s="9" t="s">
        <v>39</v>
      </c>
      <c r="G703" s="9" t="s">
        <v>40</v>
      </c>
      <c r="H703" s="9"/>
      <c r="I703" s="9" t="s">
        <v>41</v>
      </c>
      <c r="J703" s="9" t="s">
        <v>47</v>
      </c>
      <c r="K703" s="9" t="n">
        <v>0</v>
      </c>
      <c r="L703" s="9" t="s">
        <v>42</v>
      </c>
      <c r="M703" s="9" t="s">
        <v>42</v>
      </c>
      <c r="N703" s="9" t="s">
        <v>42</v>
      </c>
      <c r="O703" s="9" t="s">
        <v>42</v>
      </c>
      <c r="P703" s="9" t="s">
        <v>42</v>
      </c>
      <c r="Q703" s="9" t="n">
        <v>400</v>
      </c>
      <c r="R703" s="9" t="s">
        <v>47</v>
      </c>
      <c r="S703" s="9" t="s">
        <v>1089</v>
      </c>
    </row>
    <row r="704" customFormat="false" ht="15" hidden="false" customHeight="true" outlineLevel="0" collapsed="false">
      <c r="A704" s="9" t="s">
        <v>1090</v>
      </c>
      <c r="B704" s="9" t="n">
        <v>74052</v>
      </c>
      <c r="C704" s="9"/>
      <c r="D704" s="9" t="s">
        <v>62</v>
      </c>
      <c r="E704" s="9" t="s">
        <v>38</v>
      </c>
      <c r="F704" s="9" t="s">
        <v>54</v>
      </c>
      <c r="G704" s="9" t="s">
        <v>47</v>
      </c>
      <c r="H704" s="9"/>
      <c r="I704" s="9" t="s">
        <v>41</v>
      </c>
      <c r="J704" s="9" t="s">
        <v>40</v>
      </c>
      <c r="K704" s="9" t="n">
        <v>5</v>
      </c>
      <c r="L704" s="9" t="s">
        <v>63</v>
      </c>
      <c r="M704" s="9" t="s">
        <v>42</v>
      </c>
      <c r="N704" s="9" t="s">
        <v>42</v>
      </c>
      <c r="O704" s="9" t="s">
        <v>42</v>
      </c>
      <c r="P704" s="9" t="s">
        <v>42</v>
      </c>
      <c r="Q704" s="9" t="n">
        <v>100</v>
      </c>
      <c r="R704" s="9" t="s">
        <v>47</v>
      </c>
      <c r="S704" s="9"/>
    </row>
    <row r="705" customFormat="false" ht="15" hidden="false" customHeight="true" outlineLevel="0" collapsed="false">
      <c r="A705" s="9" t="s">
        <v>1091</v>
      </c>
      <c r="B705" s="9" t="n">
        <v>90265</v>
      </c>
      <c r="C705" s="9"/>
      <c r="D705" s="9"/>
      <c r="E705" s="9" t="s">
        <v>44</v>
      </c>
      <c r="F705" s="9" t="s">
        <v>39</v>
      </c>
      <c r="G705" s="9" t="s">
        <v>47</v>
      </c>
      <c r="H705" s="9"/>
      <c r="I705" s="9" t="s">
        <v>41</v>
      </c>
      <c r="J705" s="9" t="s">
        <v>40</v>
      </c>
      <c r="K705" s="9" t="n">
        <v>5</v>
      </c>
      <c r="L705" s="9" t="s">
        <v>42</v>
      </c>
      <c r="M705" s="9" t="s">
        <v>42</v>
      </c>
      <c r="N705" s="9" t="s">
        <v>42</v>
      </c>
      <c r="O705" s="9" t="s">
        <v>42</v>
      </c>
      <c r="P705" s="9" t="s">
        <v>42</v>
      </c>
      <c r="Q705" s="9" t="n">
        <v>0</v>
      </c>
      <c r="R705" s="9" t="s">
        <v>40</v>
      </c>
      <c r="S705" s="9"/>
    </row>
    <row r="706" customFormat="false" ht="15" hidden="false" customHeight="true" outlineLevel="0" collapsed="false">
      <c r="A706" s="9" t="s">
        <v>1092</v>
      </c>
      <c r="B706" s="9" t="n">
        <v>9010</v>
      </c>
      <c r="C706" s="9" t="n">
        <v>43</v>
      </c>
      <c r="D706" s="9"/>
      <c r="E706" s="9" t="s">
        <v>38</v>
      </c>
      <c r="F706" s="9" t="s">
        <v>39</v>
      </c>
      <c r="G706" s="9" t="s">
        <v>40</v>
      </c>
      <c r="H706" s="9"/>
      <c r="I706" s="9" t="s">
        <v>41</v>
      </c>
      <c r="J706" s="9" t="s">
        <v>47</v>
      </c>
      <c r="K706" s="9" t="n">
        <v>0</v>
      </c>
      <c r="L706" s="9" t="s">
        <v>42</v>
      </c>
      <c r="M706" s="9" t="s">
        <v>42</v>
      </c>
      <c r="N706" s="9" t="s">
        <v>42</v>
      </c>
      <c r="O706" s="9" t="s">
        <v>42</v>
      </c>
      <c r="P706" s="9" t="s">
        <v>42</v>
      </c>
      <c r="Q706" s="9" t="n">
        <v>0</v>
      </c>
      <c r="R706" s="9" t="s">
        <v>40</v>
      </c>
      <c r="S706" s="9" t="s">
        <v>1093</v>
      </c>
    </row>
    <row r="707" customFormat="false" ht="15" hidden="false" customHeight="true" outlineLevel="0" collapsed="false">
      <c r="A707" s="9" t="s">
        <v>1094</v>
      </c>
      <c r="B707" s="9" t="n">
        <v>14606</v>
      </c>
      <c r="C707" s="9"/>
      <c r="D707" s="9"/>
      <c r="E707" s="9" t="s">
        <v>44</v>
      </c>
      <c r="F707" s="9" t="s">
        <v>39</v>
      </c>
      <c r="G707" s="9" t="s">
        <v>40</v>
      </c>
      <c r="H707" s="9"/>
      <c r="I707" s="9" t="s">
        <v>41</v>
      </c>
      <c r="J707" s="9" t="s">
        <v>40</v>
      </c>
      <c r="K707" s="9" t="n">
        <v>1</v>
      </c>
      <c r="L707" s="9" t="s">
        <v>42</v>
      </c>
      <c r="M707" s="9" t="s">
        <v>42</v>
      </c>
      <c r="N707" s="9" t="s">
        <v>42</v>
      </c>
      <c r="O707" s="9" t="s">
        <v>42</v>
      </c>
      <c r="P707" s="9" t="s">
        <v>42</v>
      </c>
      <c r="Q707" s="9" t="n">
        <v>10</v>
      </c>
      <c r="R707" s="9" t="s">
        <v>47</v>
      </c>
      <c r="S707" s="9"/>
    </row>
    <row r="708" customFormat="false" ht="15" hidden="false" customHeight="true" outlineLevel="0" collapsed="false">
      <c r="A708" s="9" t="s">
        <v>1095</v>
      </c>
      <c r="B708" s="9" t="n">
        <v>13698</v>
      </c>
      <c r="C708" s="9"/>
      <c r="D708" s="9"/>
      <c r="E708" s="9" t="s">
        <v>44</v>
      </c>
      <c r="F708" s="9" t="s">
        <v>39</v>
      </c>
      <c r="G708" s="9" t="s">
        <v>40</v>
      </c>
      <c r="H708" s="9"/>
      <c r="I708" s="9" t="s">
        <v>41</v>
      </c>
      <c r="J708" s="9" t="s">
        <v>40</v>
      </c>
      <c r="K708" s="9" t="n">
        <v>1</v>
      </c>
      <c r="L708" s="9" t="s">
        <v>42</v>
      </c>
      <c r="M708" s="9" t="s">
        <v>313</v>
      </c>
      <c r="N708" s="9" t="s">
        <v>42</v>
      </c>
      <c r="O708" s="9" t="s">
        <v>42</v>
      </c>
      <c r="P708" s="9" t="s">
        <v>42</v>
      </c>
      <c r="Q708" s="9" t="n">
        <v>500</v>
      </c>
      <c r="R708" s="9" t="s">
        <v>47</v>
      </c>
      <c r="S708" s="9"/>
    </row>
    <row r="709" customFormat="false" ht="15" hidden="false" customHeight="true" outlineLevel="0" collapsed="false">
      <c r="A709" s="9" t="s">
        <v>1096</v>
      </c>
      <c r="B709" s="9" t="n">
        <v>95404</v>
      </c>
      <c r="C709" s="9"/>
      <c r="D709" s="9"/>
      <c r="E709" s="9"/>
      <c r="F709" s="9" t="s">
        <v>39</v>
      </c>
      <c r="G709" s="9" t="s">
        <v>40</v>
      </c>
      <c r="H709" s="9"/>
      <c r="I709" s="9" t="s">
        <v>41</v>
      </c>
      <c r="J709" s="9" t="s">
        <v>47</v>
      </c>
      <c r="K709" s="9" t="n">
        <v>1</v>
      </c>
      <c r="L709" s="9" t="s">
        <v>42</v>
      </c>
      <c r="M709" s="9" t="s">
        <v>63</v>
      </c>
      <c r="N709" s="9" t="s">
        <v>42</v>
      </c>
      <c r="O709" s="9" t="s">
        <v>42</v>
      </c>
      <c r="P709" s="9" t="s">
        <v>42</v>
      </c>
      <c r="Q709" s="9" t="n">
        <v>100</v>
      </c>
      <c r="R709" s="9" t="s">
        <v>47</v>
      </c>
      <c r="S709" s="9"/>
    </row>
    <row r="710" customFormat="false" ht="15" hidden="false" customHeight="true" outlineLevel="0" collapsed="false">
      <c r="A710" s="9" t="s">
        <v>1097</v>
      </c>
      <c r="B710" s="9" t="n">
        <v>30379</v>
      </c>
      <c r="C710" s="9"/>
      <c r="D710" s="9"/>
      <c r="E710" s="9" t="s">
        <v>44</v>
      </c>
      <c r="F710" s="9" t="s">
        <v>39</v>
      </c>
      <c r="G710" s="9" t="s">
        <v>40</v>
      </c>
      <c r="H710" s="9"/>
      <c r="I710" s="9" t="s">
        <v>41</v>
      </c>
      <c r="J710" s="9" t="s">
        <v>40</v>
      </c>
      <c r="K710" s="9" t="n">
        <v>2</v>
      </c>
      <c r="L710" s="9" t="s">
        <v>42</v>
      </c>
      <c r="M710" s="9" t="s">
        <v>42</v>
      </c>
      <c r="N710" s="9" t="s">
        <v>42</v>
      </c>
      <c r="O710" s="9" t="s">
        <v>42</v>
      </c>
      <c r="P710" s="9" t="s">
        <v>42</v>
      </c>
      <c r="Q710" s="9" t="n">
        <v>10</v>
      </c>
      <c r="R710" s="9" t="s">
        <v>47</v>
      </c>
      <c r="S710" s="9"/>
    </row>
    <row r="711" customFormat="false" ht="15" hidden="false" customHeight="true" outlineLevel="0" collapsed="false">
      <c r="A711" s="9" t="s">
        <v>1098</v>
      </c>
      <c r="B711" s="9" t="n">
        <v>90265</v>
      </c>
      <c r="C711" s="9" t="n">
        <v>34</v>
      </c>
      <c r="D711" s="9"/>
      <c r="E711" s="9" t="s">
        <v>50</v>
      </c>
      <c r="F711" s="9" t="s">
        <v>39</v>
      </c>
      <c r="G711" s="9" t="s">
        <v>40</v>
      </c>
      <c r="H711" s="9"/>
      <c r="I711" s="9" t="s">
        <v>203</v>
      </c>
      <c r="J711" s="9" t="s">
        <v>47</v>
      </c>
      <c r="K711" s="9" t="n">
        <v>0</v>
      </c>
      <c r="L711" s="9" t="s">
        <v>42</v>
      </c>
      <c r="M711" s="9" t="s">
        <v>42</v>
      </c>
      <c r="N711" s="9" t="s">
        <v>42</v>
      </c>
      <c r="O711" s="9" t="s">
        <v>42</v>
      </c>
      <c r="P711" s="9" t="s">
        <v>42</v>
      </c>
      <c r="Q711" s="9" t="n">
        <v>25</v>
      </c>
      <c r="R711" s="9" t="s">
        <v>47</v>
      </c>
      <c r="S711" s="9" t="s">
        <v>1099</v>
      </c>
    </row>
    <row r="712" customFormat="false" ht="15" hidden="false" customHeight="true" outlineLevel="0" collapsed="false">
      <c r="A712" s="9" t="s">
        <v>1100</v>
      </c>
      <c r="B712" s="9" t="n">
        <v>29078</v>
      </c>
      <c r="C712" s="9"/>
      <c r="D712" s="9"/>
      <c r="E712" s="9" t="s">
        <v>44</v>
      </c>
      <c r="F712" s="9" t="s">
        <v>39</v>
      </c>
      <c r="G712" s="9" t="s">
        <v>40</v>
      </c>
      <c r="H712" s="9"/>
      <c r="I712" s="9"/>
      <c r="J712" s="9" t="s">
        <v>40</v>
      </c>
      <c r="K712" s="9" t="n">
        <v>2</v>
      </c>
      <c r="L712" s="9" t="s">
        <v>42</v>
      </c>
      <c r="M712" s="9" t="s">
        <v>42</v>
      </c>
      <c r="N712" s="9" t="s">
        <v>42</v>
      </c>
      <c r="O712" s="9" t="s">
        <v>42</v>
      </c>
      <c r="P712" s="9" t="s">
        <v>42</v>
      </c>
      <c r="Q712" s="9" t="n">
        <v>0</v>
      </c>
      <c r="R712" s="9" t="s">
        <v>40</v>
      </c>
      <c r="S712" s="9"/>
    </row>
    <row r="713" customFormat="false" ht="15" hidden="false" customHeight="true" outlineLevel="0" collapsed="false">
      <c r="A713" s="9" t="s">
        <v>1101</v>
      </c>
      <c r="B713" s="9" t="n">
        <v>35308</v>
      </c>
      <c r="C713" s="9" t="n">
        <v>47</v>
      </c>
      <c r="D713" s="9"/>
      <c r="E713" s="9" t="s">
        <v>44</v>
      </c>
      <c r="F713" s="9" t="s">
        <v>54</v>
      </c>
      <c r="G713" s="9" t="s">
        <v>47</v>
      </c>
      <c r="H713" s="9" t="s">
        <v>81</v>
      </c>
      <c r="I713" s="9" t="s">
        <v>41</v>
      </c>
      <c r="J713" s="9" t="s">
        <v>47</v>
      </c>
      <c r="K713" s="9" t="n">
        <v>3</v>
      </c>
      <c r="L713" s="9" t="s">
        <v>42</v>
      </c>
      <c r="M713" s="9" t="s">
        <v>42</v>
      </c>
      <c r="N713" s="9" t="s">
        <v>42</v>
      </c>
      <c r="O713" s="9" t="s">
        <v>42</v>
      </c>
      <c r="P713" s="9" t="s">
        <v>42</v>
      </c>
      <c r="Q713" s="9" t="n">
        <v>90</v>
      </c>
      <c r="R713" s="9" t="s">
        <v>47</v>
      </c>
      <c r="S713" s="9" t="s">
        <v>1102</v>
      </c>
    </row>
    <row r="714" customFormat="false" ht="15" hidden="false" customHeight="true" outlineLevel="0" collapsed="false">
      <c r="A714" s="9" t="s">
        <v>1103</v>
      </c>
      <c r="B714" s="9" t="n">
        <v>76566</v>
      </c>
      <c r="C714" s="9" t="n">
        <v>31</v>
      </c>
      <c r="D714" s="9"/>
      <c r="E714" s="9" t="s">
        <v>44</v>
      </c>
      <c r="F714" s="9" t="s">
        <v>54</v>
      </c>
      <c r="G714" s="9" t="s">
        <v>47</v>
      </c>
      <c r="H714" s="9"/>
      <c r="I714" s="9" t="s">
        <v>41</v>
      </c>
      <c r="J714" s="9" t="s">
        <v>47</v>
      </c>
      <c r="K714" s="9" t="n">
        <v>1</v>
      </c>
      <c r="L714" s="9" t="s">
        <v>42</v>
      </c>
      <c r="M714" s="9" t="s">
        <v>42</v>
      </c>
      <c r="N714" s="9" t="s">
        <v>42</v>
      </c>
      <c r="O714" s="9" t="s">
        <v>42</v>
      </c>
      <c r="P714" s="9" t="s">
        <v>42</v>
      </c>
      <c r="Q714" s="9" t="n">
        <v>0</v>
      </c>
      <c r="R714" s="9" t="s">
        <v>40</v>
      </c>
      <c r="S714" s="9" t="s">
        <v>1104</v>
      </c>
    </row>
    <row r="715" customFormat="false" ht="15" hidden="false" customHeight="true" outlineLevel="0" collapsed="false">
      <c r="A715" s="9" t="s">
        <v>1105</v>
      </c>
      <c r="B715" s="9" t="n">
        <v>80260</v>
      </c>
      <c r="C715" s="9"/>
      <c r="D715" s="9"/>
      <c r="E715" s="9" t="s">
        <v>44</v>
      </c>
      <c r="F715" s="9" t="s">
        <v>54</v>
      </c>
      <c r="G715" s="9" t="s">
        <v>40</v>
      </c>
      <c r="H715" s="9"/>
      <c r="I715" s="9"/>
      <c r="J715" s="9" t="s">
        <v>40</v>
      </c>
      <c r="K715" s="9" t="n">
        <v>0</v>
      </c>
      <c r="L715" s="9" t="s">
        <v>42</v>
      </c>
      <c r="M715" s="9" t="s">
        <v>42</v>
      </c>
      <c r="N715" s="9" t="s">
        <v>42</v>
      </c>
      <c r="O715" s="9" t="s">
        <v>42</v>
      </c>
      <c r="P715" s="9" t="s">
        <v>42</v>
      </c>
      <c r="Q715" s="9" t="n">
        <v>0</v>
      </c>
      <c r="R715" s="9" t="s">
        <v>40</v>
      </c>
      <c r="S715" s="9"/>
    </row>
    <row r="716" customFormat="false" ht="15" hidden="false" customHeight="true" outlineLevel="0" collapsed="false">
      <c r="A716" s="9" t="s">
        <v>1106</v>
      </c>
      <c r="B716" s="9" t="n">
        <v>727</v>
      </c>
      <c r="C716" s="9"/>
      <c r="D716" s="9"/>
      <c r="E716" s="9" t="s">
        <v>50</v>
      </c>
      <c r="F716" s="9" t="s">
        <v>39</v>
      </c>
      <c r="G716" s="9" t="s">
        <v>40</v>
      </c>
      <c r="H716" s="9"/>
      <c r="I716" s="9" t="s">
        <v>41</v>
      </c>
      <c r="J716" s="9" t="s">
        <v>40</v>
      </c>
      <c r="K716" s="9" t="n">
        <v>3</v>
      </c>
      <c r="L716" s="9" t="s">
        <v>42</v>
      </c>
      <c r="M716" s="9" t="s">
        <v>42</v>
      </c>
      <c r="N716" s="9" t="s">
        <v>42</v>
      </c>
      <c r="O716" s="9" t="s">
        <v>42</v>
      </c>
      <c r="P716" s="9" t="s">
        <v>42</v>
      </c>
      <c r="Q716" s="9" t="n">
        <v>100</v>
      </c>
      <c r="R716" s="9" t="s">
        <v>47</v>
      </c>
      <c r="S716" s="9"/>
    </row>
    <row r="717" customFormat="false" ht="15" hidden="false" customHeight="true" outlineLevel="0" collapsed="false">
      <c r="A717" s="9" t="s">
        <v>1107</v>
      </c>
      <c r="B717" s="9" t="n">
        <v>62947</v>
      </c>
      <c r="C717" s="9" t="n">
        <v>70</v>
      </c>
      <c r="D717" s="9"/>
      <c r="E717" s="9" t="s">
        <v>44</v>
      </c>
      <c r="F717" s="9" t="s">
        <v>39</v>
      </c>
      <c r="G717" s="9" t="s">
        <v>47</v>
      </c>
      <c r="H717" s="9"/>
      <c r="I717" s="9"/>
      <c r="J717" s="9" t="s">
        <v>40</v>
      </c>
      <c r="K717" s="9" t="n">
        <v>0</v>
      </c>
      <c r="L717" s="9" t="s">
        <v>42</v>
      </c>
      <c r="M717" s="9" t="s">
        <v>42</v>
      </c>
      <c r="N717" s="9" t="s">
        <v>42</v>
      </c>
      <c r="O717" s="9" t="s">
        <v>42</v>
      </c>
      <c r="P717" s="9" t="s">
        <v>42</v>
      </c>
      <c r="Q717" s="9" t="n">
        <v>204</v>
      </c>
      <c r="R717" s="9" t="s">
        <v>47</v>
      </c>
      <c r="S717" s="9" t="s">
        <v>1108</v>
      </c>
    </row>
    <row r="718" customFormat="false" ht="15" hidden="false" customHeight="true" outlineLevel="0" collapsed="false">
      <c r="A718" s="9" t="s">
        <v>1109</v>
      </c>
      <c r="B718" s="9" t="n">
        <v>82443</v>
      </c>
      <c r="C718" s="9" t="n">
        <v>55</v>
      </c>
      <c r="D718" s="9"/>
      <c r="E718" s="9" t="s">
        <v>44</v>
      </c>
      <c r="F718" s="9" t="s">
        <v>39</v>
      </c>
      <c r="G718" s="9" t="s">
        <v>40</v>
      </c>
      <c r="H718" s="9"/>
      <c r="I718" s="9" t="s">
        <v>41</v>
      </c>
      <c r="J718" s="9" t="s">
        <v>40</v>
      </c>
      <c r="K718" s="9" t="n">
        <v>0</v>
      </c>
      <c r="L718" s="9" t="s">
        <v>42</v>
      </c>
      <c r="M718" s="9" t="s">
        <v>42</v>
      </c>
      <c r="N718" s="9" t="s">
        <v>42</v>
      </c>
      <c r="O718" s="9" t="s">
        <v>42</v>
      </c>
      <c r="P718" s="9" t="s">
        <v>42</v>
      </c>
      <c r="Q718" s="9" t="n">
        <v>350</v>
      </c>
      <c r="R718" s="9" t="s">
        <v>47</v>
      </c>
      <c r="S718" s="9" t="s">
        <v>1110</v>
      </c>
    </row>
    <row r="719" customFormat="false" ht="15" hidden="false" customHeight="true" outlineLevel="0" collapsed="false">
      <c r="A719" s="9" t="s">
        <v>1111</v>
      </c>
      <c r="B719" s="9" t="n">
        <v>50059</v>
      </c>
      <c r="C719" s="9"/>
      <c r="D719" s="9" t="s">
        <v>62</v>
      </c>
      <c r="E719" s="9" t="s">
        <v>38</v>
      </c>
      <c r="F719" s="9" t="s">
        <v>45</v>
      </c>
      <c r="G719" s="9" t="s">
        <v>40</v>
      </c>
      <c r="H719" s="9"/>
      <c r="I719" s="9" t="s">
        <v>46</v>
      </c>
      <c r="J719" s="9" t="s">
        <v>47</v>
      </c>
      <c r="K719" s="9" t="n">
        <v>1</v>
      </c>
      <c r="L719" s="9" t="s">
        <v>89</v>
      </c>
      <c r="M719" s="9" t="s">
        <v>42</v>
      </c>
      <c r="N719" s="9" t="s">
        <v>42</v>
      </c>
      <c r="O719" s="9" t="s">
        <v>42</v>
      </c>
      <c r="P719" s="9" t="s">
        <v>42</v>
      </c>
      <c r="Q719" s="9" t="n">
        <v>50</v>
      </c>
      <c r="R719" s="9" t="s">
        <v>47</v>
      </c>
      <c r="S719" s="9"/>
    </row>
    <row r="720" customFormat="false" ht="15" hidden="false" customHeight="true" outlineLevel="0" collapsed="false">
      <c r="A720" s="9" t="s">
        <v>1112</v>
      </c>
      <c r="B720" s="9" t="n">
        <v>11731</v>
      </c>
      <c r="C720" s="9" t="n">
        <v>37</v>
      </c>
      <c r="D720" s="9"/>
      <c r="E720" s="9" t="s">
        <v>38</v>
      </c>
      <c r="F720" s="9" t="s">
        <v>39</v>
      </c>
      <c r="G720" s="9" t="s">
        <v>40</v>
      </c>
      <c r="H720" s="9"/>
      <c r="I720" s="9" t="s">
        <v>41</v>
      </c>
      <c r="J720" s="9" t="s">
        <v>40</v>
      </c>
      <c r="K720" s="9" t="n">
        <v>0</v>
      </c>
      <c r="L720" s="9" t="s">
        <v>42</v>
      </c>
      <c r="M720" s="9" t="s">
        <v>42</v>
      </c>
      <c r="N720" s="9" t="s">
        <v>42</v>
      </c>
      <c r="O720" s="9" t="s">
        <v>247</v>
      </c>
      <c r="P720" s="9" t="s">
        <v>42</v>
      </c>
      <c r="Q720" s="9" t="n">
        <v>485</v>
      </c>
      <c r="R720" s="9" t="s">
        <v>47</v>
      </c>
      <c r="S720" s="9" t="s">
        <v>1113</v>
      </c>
    </row>
    <row r="721" customFormat="false" ht="15" hidden="false" customHeight="true" outlineLevel="0" collapsed="false">
      <c r="A721" s="9" t="s">
        <v>1114</v>
      </c>
      <c r="B721" s="9" t="n">
        <v>54166</v>
      </c>
      <c r="C721" s="9" t="n">
        <v>30</v>
      </c>
      <c r="D721" s="9"/>
      <c r="E721" s="9" t="s">
        <v>44</v>
      </c>
      <c r="F721" s="9" t="s">
        <v>54</v>
      </c>
      <c r="G721" s="9" t="s">
        <v>47</v>
      </c>
      <c r="H721" s="9"/>
      <c r="I721" s="9" t="s">
        <v>41</v>
      </c>
      <c r="J721" s="9" t="s">
        <v>47</v>
      </c>
      <c r="K721" s="9" t="n">
        <v>0</v>
      </c>
      <c r="L721" s="9" t="s">
        <v>42</v>
      </c>
      <c r="M721" s="9" t="s">
        <v>42</v>
      </c>
      <c r="N721" s="9" t="s">
        <v>42</v>
      </c>
      <c r="O721" s="9" t="s">
        <v>42</v>
      </c>
      <c r="P721" s="9" t="s">
        <v>42</v>
      </c>
      <c r="Q721" s="9" t="n">
        <v>475</v>
      </c>
      <c r="R721" s="9" t="s">
        <v>47</v>
      </c>
      <c r="S721" s="9" t="s">
        <v>1115</v>
      </c>
    </row>
    <row r="722" customFormat="false" ht="15" hidden="false" customHeight="true" outlineLevel="0" collapsed="false">
      <c r="A722" s="9" t="s">
        <v>1116</v>
      </c>
      <c r="B722" s="9" t="n">
        <v>76015</v>
      </c>
      <c r="C722" s="9" t="n">
        <v>67</v>
      </c>
      <c r="D722" s="9"/>
      <c r="E722" s="9" t="s">
        <v>44</v>
      </c>
      <c r="F722" s="9" t="s">
        <v>39</v>
      </c>
      <c r="G722" s="9" t="s">
        <v>40</v>
      </c>
      <c r="H722" s="9"/>
      <c r="I722" s="9" t="s">
        <v>41</v>
      </c>
      <c r="J722" s="9" t="s">
        <v>40</v>
      </c>
      <c r="K722" s="9" t="n">
        <v>0</v>
      </c>
      <c r="L722" s="9" t="s">
        <v>42</v>
      </c>
      <c r="M722" s="9" t="s">
        <v>42</v>
      </c>
      <c r="N722" s="9" t="s">
        <v>42</v>
      </c>
      <c r="O722" s="9" t="s">
        <v>42</v>
      </c>
      <c r="P722" s="9" t="s">
        <v>42</v>
      </c>
      <c r="Q722" s="9" t="n">
        <v>2350</v>
      </c>
      <c r="R722" s="9" t="s">
        <v>47</v>
      </c>
      <c r="S722" s="9" t="s">
        <v>1117</v>
      </c>
    </row>
    <row r="723" customFormat="false" ht="15" hidden="false" customHeight="true" outlineLevel="0" collapsed="false">
      <c r="A723" s="9" t="s">
        <v>1118</v>
      </c>
      <c r="B723" s="9" t="n">
        <v>40020</v>
      </c>
      <c r="C723" s="9" t="n">
        <v>37</v>
      </c>
      <c r="D723" s="9"/>
      <c r="E723" s="9" t="s">
        <v>44</v>
      </c>
      <c r="F723" s="9" t="s">
        <v>54</v>
      </c>
      <c r="G723" s="9" t="s">
        <v>47</v>
      </c>
      <c r="H723" s="9"/>
      <c r="I723" s="9" t="s">
        <v>41</v>
      </c>
      <c r="J723" s="9" t="s">
        <v>47</v>
      </c>
      <c r="K723" s="9" t="n">
        <v>0</v>
      </c>
      <c r="L723" s="9" t="s">
        <v>42</v>
      </c>
      <c r="M723" s="9" t="s">
        <v>42</v>
      </c>
      <c r="N723" s="9" t="s">
        <v>42</v>
      </c>
      <c r="O723" s="9" t="s">
        <v>42</v>
      </c>
      <c r="P723" s="9" t="s">
        <v>42</v>
      </c>
      <c r="Q723" s="9" t="n">
        <v>45</v>
      </c>
      <c r="R723" s="9" t="s">
        <v>47</v>
      </c>
      <c r="S723" s="9" t="s">
        <v>1119</v>
      </c>
    </row>
    <row r="724" customFormat="false" ht="15" hidden="false" customHeight="true" outlineLevel="0" collapsed="false">
      <c r="A724" s="9" t="s">
        <v>1120</v>
      </c>
      <c r="B724" s="9" t="n">
        <v>21282</v>
      </c>
      <c r="C724" s="9" t="n">
        <v>19</v>
      </c>
      <c r="D724" s="9"/>
      <c r="E724" s="9" t="s">
        <v>38</v>
      </c>
      <c r="F724" s="9" t="s">
        <v>39</v>
      </c>
      <c r="G724" s="9" t="s">
        <v>40</v>
      </c>
      <c r="H724" s="9"/>
      <c r="I724" s="9" t="s">
        <v>203</v>
      </c>
      <c r="J724" s="9" t="s">
        <v>47</v>
      </c>
      <c r="K724" s="9" t="n">
        <v>0</v>
      </c>
      <c r="L724" s="9" t="s">
        <v>42</v>
      </c>
      <c r="M724" s="9" t="s">
        <v>42</v>
      </c>
      <c r="N724" s="9" t="s">
        <v>42</v>
      </c>
      <c r="O724" s="9" t="s">
        <v>89</v>
      </c>
      <c r="P724" s="9" t="s">
        <v>42</v>
      </c>
      <c r="Q724" s="9" t="n">
        <v>50</v>
      </c>
      <c r="R724" s="9" t="s">
        <v>47</v>
      </c>
      <c r="S724" s="9" t="s">
        <v>1121</v>
      </c>
    </row>
    <row r="725" customFormat="false" ht="15" hidden="false" customHeight="true" outlineLevel="0" collapsed="false">
      <c r="A725" s="9" t="s">
        <v>1122</v>
      </c>
      <c r="B725" s="9" t="n">
        <v>90265</v>
      </c>
      <c r="C725" s="9" t="n">
        <v>90</v>
      </c>
      <c r="D725" s="9"/>
      <c r="E725" s="9" t="s">
        <v>44</v>
      </c>
      <c r="F725" s="9" t="s">
        <v>39</v>
      </c>
      <c r="G725" s="9" t="s">
        <v>47</v>
      </c>
      <c r="H725" s="9"/>
      <c r="I725" s="9" t="s">
        <v>41</v>
      </c>
      <c r="J725" s="9" t="s">
        <v>40</v>
      </c>
      <c r="K725" s="9" t="n">
        <v>15</v>
      </c>
      <c r="L725" s="9" t="s">
        <v>965</v>
      </c>
      <c r="M725" s="9" t="s">
        <v>42</v>
      </c>
      <c r="N725" s="9" t="s">
        <v>42</v>
      </c>
      <c r="O725" s="9" t="s">
        <v>42</v>
      </c>
      <c r="P725" s="9" t="s">
        <v>42</v>
      </c>
      <c r="Q725" s="9" t="n">
        <v>5255</v>
      </c>
      <c r="R725" s="9" t="s">
        <v>47</v>
      </c>
      <c r="S725" s="9" t="s">
        <v>1123</v>
      </c>
    </row>
    <row r="726" customFormat="false" ht="15" hidden="false" customHeight="true" outlineLevel="0" collapsed="false">
      <c r="A726" s="9" t="s">
        <v>1124</v>
      </c>
      <c r="B726" s="9" t="n">
        <v>90265</v>
      </c>
      <c r="C726" s="9"/>
      <c r="D726" s="9"/>
      <c r="E726" s="9" t="s">
        <v>38</v>
      </c>
      <c r="F726" s="9" t="s">
        <v>39</v>
      </c>
      <c r="G726" s="9" t="s">
        <v>40</v>
      </c>
      <c r="H726" s="9"/>
      <c r="I726" s="9"/>
      <c r="J726" s="9" t="s">
        <v>40</v>
      </c>
      <c r="K726" s="9" t="n">
        <v>0</v>
      </c>
      <c r="L726" s="9" t="s">
        <v>42</v>
      </c>
      <c r="M726" s="9" t="s">
        <v>42</v>
      </c>
      <c r="N726" s="9" t="s">
        <v>42</v>
      </c>
      <c r="O726" s="9" t="s">
        <v>42</v>
      </c>
      <c r="P726" s="9" t="s">
        <v>42</v>
      </c>
      <c r="Q726" s="9" t="n">
        <v>1500</v>
      </c>
      <c r="R726" s="9" t="s">
        <v>47</v>
      </c>
      <c r="S726" s="9"/>
    </row>
    <row r="727" customFormat="false" ht="15" hidden="false" customHeight="true" outlineLevel="0" collapsed="false">
      <c r="A727" s="9" t="s">
        <v>1125</v>
      </c>
      <c r="B727" s="9" t="n">
        <v>33349</v>
      </c>
      <c r="C727" s="9"/>
      <c r="D727" s="9" t="s">
        <v>62</v>
      </c>
      <c r="E727" s="9" t="s">
        <v>38</v>
      </c>
      <c r="F727" s="9" t="s">
        <v>39</v>
      </c>
      <c r="G727" s="9" t="s">
        <v>40</v>
      </c>
      <c r="H727" s="9"/>
      <c r="I727" s="9" t="s">
        <v>41</v>
      </c>
      <c r="J727" s="9" t="s">
        <v>40</v>
      </c>
      <c r="K727" s="9" t="n">
        <v>1</v>
      </c>
      <c r="L727" s="9" t="s">
        <v>42</v>
      </c>
      <c r="M727" s="9" t="s">
        <v>42</v>
      </c>
      <c r="N727" s="9" t="s">
        <v>57</v>
      </c>
      <c r="O727" s="9" t="s">
        <v>42</v>
      </c>
      <c r="P727" s="9" t="s">
        <v>42</v>
      </c>
      <c r="Q727" s="9" t="n">
        <v>1</v>
      </c>
      <c r="R727" s="9" t="s">
        <v>47</v>
      </c>
      <c r="S727" s="9"/>
    </row>
    <row r="728" customFormat="false" ht="15" hidden="false" customHeight="true" outlineLevel="0" collapsed="false">
      <c r="A728" s="9" t="s">
        <v>1126</v>
      </c>
      <c r="B728" s="9" t="n">
        <v>55175</v>
      </c>
      <c r="C728" s="9"/>
      <c r="D728" s="9" t="s">
        <v>62</v>
      </c>
      <c r="E728" s="9" t="s">
        <v>44</v>
      </c>
      <c r="F728" s="9" t="s">
        <v>39</v>
      </c>
      <c r="G728" s="9" t="s">
        <v>40</v>
      </c>
      <c r="H728" s="9"/>
      <c r="I728" s="9" t="s">
        <v>41</v>
      </c>
      <c r="J728" s="9" t="s">
        <v>40</v>
      </c>
      <c r="K728" s="9" t="n">
        <v>1</v>
      </c>
      <c r="L728" s="9" t="s">
        <v>42</v>
      </c>
      <c r="M728" s="9" t="s">
        <v>42</v>
      </c>
      <c r="N728" s="9" t="s">
        <v>42</v>
      </c>
      <c r="O728" s="9" t="s">
        <v>42</v>
      </c>
      <c r="P728" s="9" t="s">
        <v>42</v>
      </c>
      <c r="Q728" s="9" t="n">
        <v>100</v>
      </c>
      <c r="R728" s="9" t="s">
        <v>47</v>
      </c>
      <c r="S728" s="9"/>
    </row>
    <row r="729" customFormat="false" ht="15" hidden="false" customHeight="true" outlineLevel="0" collapsed="false">
      <c r="A729" s="9" t="s">
        <v>1127</v>
      </c>
      <c r="B729" s="9" t="n">
        <v>53108</v>
      </c>
      <c r="C729" s="9"/>
      <c r="D729" s="9"/>
      <c r="E729" s="9" t="s">
        <v>44</v>
      </c>
      <c r="F729" s="9" t="s">
        <v>39</v>
      </c>
      <c r="G729" s="9" t="s">
        <v>40</v>
      </c>
      <c r="H729" s="9"/>
      <c r="I729" s="9" t="s">
        <v>41</v>
      </c>
      <c r="J729" s="9" t="s">
        <v>40</v>
      </c>
      <c r="K729" s="9" t="n">
        <v>1</v>
      </c>
      <c r="L729" s="9" t="s">
        <v>42</v>
      </c>
      <c r="M729" s="9" t="s">
        <v>42</v>
      </c>
      <c r="N729" s="9" t="s">
        <v>42</v>
      </c>
      <c r="O729" s="9" t="s">
        <v>521</v>
      </c>
      <c r="P729" s="9" t="s">
        <v>42</v>
      </c>
      <c r="Q729" s="9" t="n">
        <v>26</v>
      </c>
      <c r="R729" s="9" t="s">
        <v>47</v>
      </c>
      <c r="S729" s="9"/>
    </row>
    <row r="730" customFormat="false" ht="15" hidden="false" customHeight="true" outlineLevel="0" collapsed="false">
      <c r="A730" s="9" t="s">
        <v>1128</v>
      </c>
      <c r="B730" s="9" t="n">
        <v>92728</v>
      </c>
      <c r="C730" s="9" t="n">
        <v>46</v>
      </c>
      <c r="D730" s="9"/>
      <c r="E730" s="9" t="s">
        <v>38</v>
      </c>
      <c r="F730" s="9" t="s">
        <v>201</v>
      </c>
      <c r="G730" s="9" t="s">
        <v>40</v>
      </c>
      <c r="H730" s="9"/>
      <c r="I730" s="9" t="s">
        <v>41</v>
      </c>
      <c r="J730" s="9" t="s">
        <v>40</v>
      </c>
      <c r="K730" s="9" t="n">
        <v>0</v>
      </c>
      <c r="L730" s="9" t="s">
        <v>42</v>
      </c>
      <c r="M730" s="9" t="s">
        <v>42</v>
      </c>
      <c r="N730" s="9" t="s">
        <v>42</v>
      </c>
      <c r="O730" s="9" t="s">
        <v>42</v>
      </c>
      <c r="P730" s="9" t="s">
        <v>42</v>
      </c>
      <c r="Q730" s="9" t="n">
        <v>0</v>
      </c>
      <c r="R730" s="9" t="s">
        <v>40</v>
      </c>
      <c r="S730" s="9" t="s">
        <v>1129</v>
      </c>
    </row>
    <row r="731" customFormat="false" ht="15" hidden="false" customHeight="true" outlineLevel="0" collapsed="false">
      <c r="A731" s="9" t="s">
        <v>1130</v>
      </c>
      <c r="B731" s="9" t="n">
        <v>90265</v>
      </c>
      <c r="C731" s="9" t="n">
        <v>45</v>
      </c>
      <c r="D731" s="9"/>
      <c r="E731" s="9" t="s">
        <v>38</v>
      </c>
      <c r="F731" s="9" t="s">
        <v>39</v>
      </c>
      <c r="G731" s="9" t="s">
        <v>40</v>
      </c>
      <c r="H731" s="9"/>
      <c r="I731" s="9" t="s">
        <v>41</v>
      </c>
      <c r="J731" s="9" t="s">
        <v>40</v>
      </c>
      <c r="K731" s="9" t="n">
        <v>0</v>
      </c>
      <c r="L731" s="9" t="s">
        <v>42</v>
      </c>
      <c r="M731" s="9" t="s">
        <v>42</v>
      </c>
      <c r="N731" s="9" t="s">
        <v>42</v>
      </c>
      <c r="O731" s="9" t="s">
        <v>42</v>
      </c>
      <c r="P731" s="9" t="s">
        <v>42</v>
      </c>
      <c r="Q731" s="9" t="n">
        <v>0</v>
      </c>
      <c r="R731" s="9" t="s">
        <v>40</v>
      </c>
      <c r="S731" s="9" t="s">
        <v>1131</v>
      </c>
    </row>
    <row r="732" customFormat="false" ht="15" hidden="false" customHeight="true" outlineLevel="0" collapsed="false">
      <c r="A732" s="9" t="s">
        <v>1132</v>
      </c>
      <c r="B732" s="9" t="n">
        <v>63764</v>
      </c>
      <c r="C732" s="9"/>
      <c r="D732" s="9"/>
      <c r="E732" s="9" t="s">
        <v>38</v>
      </c>
      <c r="F732" s="9" t="s">
        <v>39</v>
      </c>
      <c r="G732" s="9" t="s">
        <v>40</v>
      </c>
      <c r="H732" s="9"/>
      <c r="I732" s="9" t="s">
        <v>41</v>
      </c>
      <c r="J732" s="9" t="s">
        <v>40</v>
      </c>
      <c r="K732" s="9" t="n">
        <v>8</v>
      </c>
      <c r="L732" s="9" t="s">
        <v>42</v>
      </c>
      <c r="M732" s="9" t="s">
        <v>42</v>
      </c>
      <c r="N732" s="9" t="s">
        <v>42</v>
      </c>
      <c r="O732" s="9" t="s">
        <v>42</v>
      </c>
      <c r="P732" s="9" t="s">
        <v>42</v>
      </c>
      <c r="Q732" s="9" t="n">
        <v>3635</v>
      </c>
      <c r="R732" s="9" t="s">
        <v>47</v>
      </c>
      <c r="S732" s="9"/>
    </row>
    <row r="733" customFormat="false" ht="15" hidden="false" customHeight="true" outlineLevel="0" collapsed="false">
      <c r="A733" s="9" t="s">
        <v>1133</v>
      </c>
      <c r="B733" s="9" t="n">
        <v>90265</v>
      </c>
      <c r="C733" s="9"/>
      <c r="D733" s="9" t="s">
        <v>83</v>
      </c>
      <c r="E733" s="9" t="s">
        <v>38</v>
      </c>
      <c r="F733" s="9" t="s">
        <v>39</v>
      </c>
      <c r="G733" s="9" t="s">
        <v>40</v>
      </c>
      <c r="H733" s="9"/>
      <c r="I733" s="9" t="s">
        <v>41</v>
      </c>
      <c r="J733" s="9" t="s">
        <v>40</v>
      </c>
      <c r="K733" s="9" t="n">
        <v>0</v>
      </c>
      <c r="L733" s="9" t="s">
        <v>42</v>
      </c>
      <c r="M733" s="9" t="s">
        <v>42</v>
      </c>
      <c r="N733" s="9" t="s">
        <v>42</v>
      </c>
      <c r="O733" s="9" t="s">
        <v>42</v>
      </c>
      <c r="P733" s="9" t="s">
        <v>42</v>
      </c>
      <c r="Q733" s="9" t="n">
        <v>0</v>
      </c>
      <c r="R733" s="9" t="s">
        <v>40</v>
      </c>
      <c r="S733" s="9"/>
    </row>
    <row r="734" customFormat="false" ht="15" hidden="false" customHeight="true" outlineLevel="0" collapsed="false">
      <c r="A734" s="9" t="s">
        <v>1134</v>
      </c>
      <c r="B734" s="9" t="n">
        <v>90265</v>
      </c>
      <c r="C734" s="9"/>
      <c r="D734" s="9"/>
      <c r="E734" s="9" t="s">
        <v>44</v>
      </c>
      <c r="F734" s="9" t="s">
        <v>39</v>
      </c>
      <c r="G734" s="9" t="s">
        <v>40</v>
      </c>
      <c r="H734" s="9"/>
      <c r="I734" s="9" t="s">
        <v>41</v>
      </c>
      <c r="J734" s="9" t="s">
        <v>40</v>
      </c>
      <c r="K734" s="9" t="n">
        <v>1</v>
      </c>
      <c r="L734" s="9" t="s">
        <v>42</v>
      </c>
      <c r="M734" s="9" t="s">
        <v>42</v>
      </c>
      <c r="N734" s="9" t="s">
        <v>42</v>
      </c>
      <c r="O734" s="9" t="s">
        <v>42</v>
      </c>
      <c r="P734" s="9" t="s">
        <v>42</v>
      </c>
      <c r="Q734" s="9" t="n">
        <v>90</v>
      </c>
      <c r="R734" s="9" t="s">
        <v>47</v>
      </c>
      <c r="S734" s="9"/>
    </row>
    <row r="735" customFormat="false" ht="15" hidden="false" customHeight="true" outlineLevel="0" collapsed="false">
      <c r="A735" s="9" t="s">
        <v>1135</v>
      </c>
      <c r="B735" s="9" t="n">
        <v>86339</v>
      </c>
      <c r="C735" s="9" t="n">
        <v>57</v>
      </c>
      <c r="D735" s="9"/>
      <c r="E735" s="9" t="s">
        <v>38</v>
      </c>
      <c r="F735" s="9" t="s">
        <v>54</v>
      </c>
      <c r="G735" s="9" t="s">
        <v>47</v>
      </c>
      <c r="H735" s="9"/>
      <c r="I735" s="9" t="s">
        <v>41</v>
      </c>
      <c r="J735" s="9" t="s">
        <v>47</v>
      </c>
      <c r="K735" s="9" t="n">
        <v>0</v>
      </c>
      <c r="L735" s="9" t="s">
        <v>42</v>
      </c>
      <c r="M735" s="9" t="s">
        <v>42</v>
      </c>
      <c r="N735" s="9" t="s">
        <v>42</v>
      </c>
      <c r="O735" s="9" t="s">
        <v>42</v>
      </c>
      <c r="P735" s="9" t="s">
        <v>42</v>
      </c>
      <c r="Q735" s="9" t="n">
        <v>560</v>
      </c>
      <c r="R735" s="9" t="s">
        <v>47</v>
      </c>
      <c r="S735" s="9" t="s">
        <v>1136</v>
      </c>
    </row>
    <row r="736" customFormat="false" ht="15" hidden="false" customHeight="true" outlineLevel="0" collapsed="false">
      <c r="A736" s="9" t="s">
        <v>1137</v>
      </c>
      <c r="B736" s="9" t="n">
        <v>9708</v>
      </c>
      <c r="C736" s="9"/>
      <c r="D736" s="9" t="s">
        <v>62</v>
      </c>
      <c r="E736" s="9" t="s">
        <v>38</v>
      </c>
      <c r="F736" s="9" t="s">
        <v>45</v>
      </c>
      <c r="G736" s="9" t="s">
        <v>47</v>
      </c>
      <c r="H736" s="9"/>
      <c r="I736" s="9" t="s">
        <v>41</v>
      </c>
      <c r="J736" s="9" t="s">
        <v>47</v>
      </c>
      <c r="K736" s="9" t="n">
        <v>0</v>
      </c>
      <c r="L736" s="9" t="s">
        <v>42</v>
      </c>
      <c r="M736" s="9" t="s">
        <v>42</v>
      </c>
      <c r="N736" s="9" t="s">
        <v>42</v>
      </c>
      <c r="O736" s="9" t="s">
        <v>42</v>
      </c>
      <c r="P736" s="9" t="s">
        <v>42</v>
      </c>
      <c r="Q736" s="9" t="n">
        <v>10</v>
      </c>
      <c r="R736" s="9" t="s">
        <v>47</v>
      </c>
      <c r="S736" s="9"/>
    </row>
    <row r="737" customFormat="false" ht="15" hidden="false" customHeight="true" outlineLevel="0" collapsed="false">
      <c r="A737" s="9" t="s">
        <v>1138</v>
      </c>
      <c r="B737" s="9" t="n">
        <v>98348</v>
      </c>
      <c r="C737" s="9" t="n">
        <v>50</v>
      </c>
      <c r="D737" s="9"/>
      <c r="E737" s="9" t="s">
        <v>38</v>
      </c>
      <c r="F737" s="9" t="s">
        <v>54</v>
      </c>
      <c r="G737" s="9" t="s">
        <v>47</v>
      </c>
      <c r="H737" s="9"/>
      <c r="I737" s="9" t="s">
        <v>41</v>
      </c>
      <c r="J737" s="9" t="s">
        <v>47</v>
      </c>
      <c r="K737" s="9" t="n">
        <v>3</v>
      </c>
      <c r="L737" s="9" t="s">
        <v>965</v>
      </c>
      <c r="M737" s="9" t="s">
        <v>42</v>
      </c>
      <c r="N737" s="9" t="s">
        <v>42</v>
      </c>
      <c r="O737" s="9" t="s">
        <v>42</v>
      </c>
      <c r="P737" s="9" t="s">
        <v>42</v>
      </c>
      <c r="Q737" s="9" t="n">
        <v>75</v>
      </c>
      <c r="R737" s="9" t="s">
        <v>47</v>
      </c>
      <c r="S737" s="9" t="s">
        <v>1139</v>
      </c>
    </row>
    <row r="738" customFormat="false" ht="15" hidden="false" customHeight="true" outlineLevel="0" collapsed="false">
      <c r="A738" s="9" t="s">
        <v>1140</v>
      </c>
      <c r="B738" s="9" t="n">
        <v>24538</v>
      </c>
      <c r="C738" s="9" t="n">
        <v>26</v>
      </c>
      <c r="D738" s="9"/>
      <c r="E738" s="9"/>
      <c r="F738" s="9" t="s">
        <v>39</v>
      </c>
      <c r="G738" s="9" t="s">
        <v>40</v>
      </c>
      <c r="H738" s="9"/>
      <c r="I738" s="9" t="s">
        <v>41</v>
      </c>
      <c r="J738" s="9" t="s">
        <v>40</v>
      </c>
      <c r="K738" s="9" t="n">
        <v>0</v>
      </c>
      <c r="L738" s="9" t="s">
        <v>42</v>
      </c>
      <c r="M738" s="9" t="s">
        <v>42</v>
      </c>
      <c r="N738" s="9" t="s">
        <v>42</v>
      </c>
      <c r="O738" s="9" t="s">
        <v>42</v>
      </c>
      <c r="P738" s="9" t="s">
        <v>42</v>
      </c>
      <c r="Q738" s="9" t="n">
        <v>100</v>
      </c>
      <c r="R738" s="9" t="s">
        <v>47</v>
      </c>
      <c r="S738" s="9" t="s">
        <v>1141</v>
      </c>
    </row>
    <row r="739" customFormat="false" ht="15" hidden="false" customHeight="true" outlineLevel="0" collapsed="false">
      <c r="A739" s="9" t="s">
        <v>1142</v>
      </c>
      <c r="B739" s="9" t="n">
        <v>49024</v>
      </c>
      <c r="C739" s="9"/>
      <c r="D739" s="9"/>
      <c r="E739" s="9" t="s">
        <v>38</v>
      </c>
      <c r="F739" s="9" t="s">
        <v>39</v>
      </c>
      <c r="G739" s="9" t="s">
        <v>47</v>
      </c>
      <c r="H739" s="9"/>
      <c r="I739" s="9" t="s">
        <v>41</v>
      </c>
      <c r="J739" s="9" t="s">
        <v>40</v>
      </c>
      <c r="K739" s="9" t="n">
        <v>13</v>
      </c>
      <c r="L739" s="9" t="s">
        <v>125</v>
      </c>
      <c r="M739" s="9" t="s">
        <v>42</v>
      </c>
      <c r="N739" s="9" t="s">
        <v>42</v>
      </c>
      <c r="O739" s="9" t="s">
        <v>42</v>
      </c>
      <c r="P739" s="9" t="s">
        <v>42</v>
      </c>
      <c r="Q739" s="9" t="n">
        <v>1232</v>
      </c>
      <c r="R739" s="9" t="s">
        <v>47</v>
      </c>
      <c r="S739" s="9"/>
    </row>
    <row r="740" customFormat="false" ht="15" hidden="false" customHeight="true" outlineLevel="0" collapsed="false">
      <c r="A740" s="9" t="s">
        <v>1143</v>
      </c>
      <c r="B740" s="9" t="n">
        <v>44634</v>
      </c>
      <c r="C740" s="9"/>
      <c r="D740" s="9"/>
      <c r="E740" s="9" t="s">
        <v>38</v>
      </c>
      <c r="F740" s="9" t="s">
        <v>54</v>
      </c>
      <c r="G740" s="9" t="s">
        <v>40</v>
      </c>
      <c r="H740" s="9" t="s">
        <v>226</v>
      </c>
      <c r="I740" s="9" t="s">
        <v>41</v>
      </c>
      <c r="J740" s="9" t="s">
        <v>40</v>
      </c>
      <c r="K740" s="9" t="n">
        <v>0</v>
      </c>
      <c r="L740" s="9" t="s">
        <v>42</v>
      </c>
      <c r="M740" s="9" t="s">
        <v>42</v>
      </c>
      <c r="N740" s="9" t="s">
        <v>42</v>
      </c>
      <c r="O740" s="9" t="s">
        <v>42</v>
      </c>
      <c r="P740" s="9" t="s">
        <v>42</v>
      </c>
      <c r="Q740" s="9" t="n">
        <v>500</v>
      </c>
      <c r="R740" s="9" t="s">
        <v>47</v>
      </c>
      <c r="S740" s="9"/>
    </row>
    <row r="741" customFormat="false" ht="15" hidden="false" customHeight="true" outlineLevel="0" collapsed="false">
      <c r="A741" s="9" t="s">
        <v>1144</v>
      </c>
      <c r="B741" s="9" t="n">
        <v>90265</v>
      </c>
      <c r="C741" s="9"/>
      <c r="D741" s="9" t="s">
        <v>62</v>
      </c>
      <c r="E741" s="9" t="s">
        <v>38</v>
      </c>
      <c r="F741" s="9" t="s">
        <v>45</v>
      </c>
      <c r="G741" s="9" t="s">
        <v>40</v>
      </c>
      <c r="H741" s="9"/>
      <c r="I741" s="9" t="s">
        <v>41</v>
      </c>
      <c r="J741" s="9" t="s">
        <v>47</v>
      </c>
      <c r="K741" s="9" t="n">
        <v>0</v>
      </c>
      <c r="L741" s="9" t="s">
        <v>42</v>
      </c>
      <c r="M741" s="9" t="s">
        <v>72</v>
      </c>
      <c r="N741" s="9" t="s">
        <v>42</v>
      </c>
      <c r="O741" s="9" t="s">
        <v>42</v>
      </c>
      <c r="P741" s="9" t="s">
        <v>42</v>
      </c>
      <c r="Q741" s="9" t="n">
        <v>250</v>
      </c>
      <c r="R741" s="9" t="s">
        <v>47</v>
      </c>
      <c r="S741" s="9"/>
    </row>
    <row r="742" customFormat="false" ht="15" hidden="false" customHeight="true" outlineLevel="0" collapsed="false">
      <c r="A742" s="9" t="s">
        <v>1145</v>
      </c>
      <c r="B742" s="9" t="n">
        <v>30047</v>
      </c>
      <c r="C742" s="9"/>
      <c r="D742" s="9"/>
      <c r="E742" s="9" t="s">
        <v>38</v>
      </c>
      <c r="F742" s="9" t="s">
        <v>39</v>
      </c>
      <c r="G742" s="9" t="s">
        <v>47</v>
      </c>
      <c r="H742" s="9"/>
      <c r="I742" s="9" t="s">
        <v>41</v>
      </c>
      <c r="J742" s="9" t="s">
        <v>40</v>
      </c>
      <c r="K742" s="9" t="n">
        <v>5</v>
      </c>
      <c r="L742" s="9" t="s">
        <v>42</v>
      </c>
      <c r="M742" s="9" t="s">
        <v>42</v>
      </c>
      <c r="N742" s="9" t="s">
        <v>57</v>
      </c>
      <c r="O742" s="9" t="s">
        <v>42</v>
      </c>
      <c r="P742" s="9" t="s">
        <v>42</v>
      </c>
      <c r="Q742" s="9" t="n">
        <v>40</v>
      </c>
      <c r="R742" s="9" t="s">
        <v>47</v>
      </c>
      <c r="S742" s="9"/>
    </row>
    <row r="743" customFormat="false" ht="15" hidden="false" customHeight="true" outlineLevel="0" collapsed="false">
      <c r="A743" s="9" t="s">
        <v>1146</v>
      </c>
      <c r="B743" s="9" t="n">
        <v>32115</v>
      </c>
      <c r="C743" s="9" t="n">
        <v>27</v>
      </c>
      <c r="D743" s="9"/>
      <c r="E743" s="9" t="s">
        <v>38</v>
      </c>
      <c r="F743" s="9" t="s">
        <v>54</v>
      </c>
      <c r="G743" s="9" t="s">
        <v>47</v>
      </c>
      <c r="H743" s="9"/>
      <c r="I743" s="9" t="s">
        <v>41</v>
      </c>
      <c r="J743" s="9" t="s">
        <v>47</v>
      </c>
      <c r="K743" s="9" t="n">
        <v>1</v>
      </c>
      <c r="L743" s="9" t="s">
        <v>42</v>
      </c>
      <c r="M743" s="9" t="s">
        <v>42</v>
      </c>
      <c r="N743" s="9" t="s">
        <v>42</v>
      </c>
      <c r="O743" s="9" t="s">
        <v>42</v>
      </c>
      <c r="P743" s="9" t="s">
        <v>42</v>
      </c>
      <c r="Q743" s="9" t="n">
        <v>25</v>
      </c>
      <c r="R743" s="9" t="s">
        <v>47</v>
      </c>
      <c r="S743" s="9" t="s">
        <v>1147</v>
      </c>
    </row>
    <row r="744" customFormat="false" ht="15" hidden="false" customHeight="true" outlineLevel="0" collapsed="false">
      <c r="A744" s="9" t="s">
        <v>1148</v>
      </c>
      <c r="B744" s="9" t="n">
        <v>36727</v>
      </c>
      <c r="C744" s="9"/>
      <c r="D744" s="9" t="s">
        <v>62</v>
      </c>
      <c r="E744" s="9" t="s">
        <v>44</v>
      </c>
      <c r="F744" s="9" t="s">
        <v>39</v>
      </c>
      <c r="G744" s="9" t="s">
        <v>40</v>
      </c>
      <c r="H744" s="9"/>
      <c r="I744" s="9" t="s">
        <v>41</v>
      </c>
      <c r="J744" s="9" t="s">
        <v>40</v>
      </c>
      <c r="K744" s="9" t="n">
        <v>0</v>
      </c>
      <c r="L744" s="9" t="s">
        <v>42</v>
      </c>
      <c r="M744" s="9" t="s">
        <v>42</v>
      </c>
      <c r="N744" s="9" t="s">
        <v>42</v>
      </c>
      <c r="O744" s="9" t="s">
        <v>42</v>
      </c>
      <c r="P744" s="9" t="s">
        <v>42</v>
      </c>
      <c r="Q744" s="9" t="n">
        <v>0</v>
      </c>
      <c r="R744" s="9" t="s">
        <v>40</v>
      </c>
      <c r="S744" s="9"/>
    </row>
    <row r="745" customFormat="false" ht="15" hidden="false" customHeight="true" outlineLevel="0" collapsed="false">
      <c r="A745" s="9" t="s">
        <v>1149</v>
      </c>
      <c r="B745" s="9" t="n">
        <v>58372</v>
      </c>
      <c r="C745" s="9"/>
      <c r="D745" s="9"/>
      <c r="E745" s="9" t="s">
        <v>38</v>
      </c>
      <c r="F745" s="9" t="s">
        <v>39</v>
      </c>
      <c r="G745" s="9" t="s">
        <v>40</v>
      </c>
      <c r="H745" s="9"/>
      <c r="I745" s="9" t="s">
        <v>41</v>
      </c>
      <c r="J745" s="9" t="s">
        <v>40</v>
      </c>
      <c r="K745" s="9" t="n">
        <v>1</v>
      </c>
      <c r="L745" s="9" t="s">
        <v>42</v>
      </c>
      <c r="M745" s="9" t="s">
        <v>42</v>
      </c>
      <c r="N745" s="9" t="s">
        <v>42</v>
      </c>
      <c r="O745" s="9" t="s">
        <v>42</v>
      </c>
      <c r="P745" s="9" t="s">
        <v>42</v>
      </c>
      <c r="Q745" s="9" t="n">
        <v>5</v>
      </c>
      <c r="R745" s="9" t="s">
        <v>47</v>
      </c>
      <c r="S745" s="9"/>
    </row>
    <row r="746" customFormat="false" ht="15" hidden="false" customHeight="true" outlineLevel="0" collapsed="false">
      <c r="A746" s="9" t="s">
        <v>1150</v>
      </c>
      <c r="B746" s="9" t="n">
        <v>47443</v>
      </c>
      <c r="C746" s="9"/>
      <c r="D746" s="9" t="s">
        <v>83</v>
      </c>
      <c r="E746" s="9" t="s">
        <v>44</v>
      </c>
      <c r="F746" s="9" t="s">
        <v>39</v>
      </c>
      <c r="G746" s="9" t="s">
        <v>40</v>
      </c>
      <c r="H746" s="9"/>
      <c r="I746" s="9"/>
      <c r="J746" s="9" t="s">
        <v>40</v>
      </c>
      <c r="K746" s="9" t="n">
        <v>0</v>
      </c>
      <c r="L746" s="9" t="s">
        <v>42</v>
      </c>
      <c r="M746" s="9" t="s">
        <v>42</v>
      </c>
      <c r="N746" s="9" t="s">
        <v>42</v>
      </c>
      <c r="O746" s="9" t="s">
        <v>42</v>
      </c>
      <c r="P746" s="9" t="s">
        <v>42</v>
      </c>
      <c r="Q746" s="9" t="n">
        <v>160</v>
      </c>
      <c r="R746" s="9" t="s">
        <v>47</v>
      </c>
      <c r="S746" s="9"/>
    </row>
    <row r="747" customFormat="false" ht="15" hidden="false" customHeight="true" outlineLevel="0" collapsed="false">
      <c r="A747" s="9" t="s">
        <v>1151</v>
      </c>
      <c r="B747" s="9" t="n">
        <v>37023</v>
      </c>
      <c r="C747" s="9"/>
      <c r="D747" s="9" t="s">
        <v>83</v>
      </c>
      <c r="E747" s="9" t="s">
        <v>38</v>
      </c>
      <c r="F747" s="9" t="s">
        <v>39</v>
      </c>
      <c r="G747" s="9" t="s">
        <v>47</v>
      </c>
      <c r="H747" s="9"/>
      <c r="I747" s="9" t="s">
        <v>46</v>
      </c>
      <c r="J747" s="9" t="s">
        <v>40</v>
      </c>
      <c r="K747" s="9" t="n">
        <v>0</v>
      </c>
      <c r="L747" s="9" t="s">
        <v>42</v>
      </c>
      <c r="M747" s="9" t="s">
        <v>42</v>
      </c>
      <c r="N747" s="9" t="s">
        <v>42</v>
      </c>
      <c r="O747" s="9" t="s">
        <v>42</v>
      </c>
      <c r="P747" s="9" t="s">
        <v>42</v>
      </c>
      <c r="Q747" s="9" t="n">
        <v>0</v>
      </c>
      <c r="R747" s="9" t="s">
        <v>40</v>
      </c>
      <c r="S747" s="9"/>
    </row>
    <row r="748" customFormat="false" ht="15" hidden="false" customHeight="true" outlineLevel="0" collapsed="false">
      <c r="A748" s="9" t="s">
        <v>1152</v>
      </c>
      <c r="B748" s="9" t="n">
        <v>36548</v>
      </c>
      <c r="C748" s="9" t="n">
        <v>21</v>
      </c>
      <c r="D748" s="9" t="s">
        <v>83</v>
      </c>
      <c r="E748" s="9" t="s">
        <v>44</v>
      </c>
      <c r="F748" s="9" t="s">
        <v>39</v>
      </c>
      <c r="G748" s="9" t="s">
        <v>40</v>
      </c>
      <c r="H748" s="9"/>
      <c r="I748" s="9" t="s">
        <v>41</v>
      </c>
      <c r="J748" s="9" t="s">
        <v>40</v>
      </c>
      <c r="K748" s="9" t="n">
        <v>0</v>
      </c>
      <c r="L748" s="9" t="s">
        <v>42</v>
      </c>
      <c r="M748" s="9" t="s">
        <v>42</v>
      </c>
      <c r="N748" s="9" t="s">
        <v>42</v>
      </c>
      <c r="O748" s="9" t="s">
        <v>42</v>
      </c>
      <c r="P748" s="9" t="s">
        <v>42</v>
      </c>
      <c r="Q748" s="9" t="n">
        <v>0</v>
      </c>
      <c r="R748" s="9" t="s">
        <v>40</v>
      </c>
      <c r="S748" s="9" t="s">
        <v>1153</v>
      </c>
    </row>
    <row r="749" customFormat="false" ht="15" hidden="false" customHeight="true" outlineLevel="0" collapsed="false">
      <c r="A749" s="9" t="s">
        <v>1154</v>
      </c>
      <c r="B749" s="9" t="n">
        <v>54230</v>
      </c>
      <c r="C749" s="9" t="n">
        <v>40</v>
      </c>
      <c r="D749" s="9"/>
      <c r="E749" s="9" t="s">
        <v>44</v>
      </c>
      <c r="F749" s="9" t="s">
        <v>54</v>
      </c>
      <c r="G749" s="9" t="s">
        <v>47</v>
      </c>
      <c r="H749" s="9"/>
      <c r="I749" s="9" t="s">
        <v>41</v>
      </c>
      <c r="J749" s="9" t="s">
        <v>47</v>
      </c>
      <c r="K749" s="9" t="n">
        <v>1</v>
      </c>
      <c r="L749" s="9" t="s">
        <v>42</v>
      </c>
      <c r="M749" s="9" t="s">
        <v>313</v>
      </c>
      <c r="N749" s="9" t="s">
        <v>42</v>
      </c>
      <c r="O749" s="9" t="s">
        <v>42</v>
      </c>
      <c r="P749" s="9" t="s">
        <v>42</v>
      </c>
      <c r="Q749" s="9" t="n">
        <v>500</v>
      </c>
      <c r="R749" s="9" t="s">
        <v>47</v>
      </c>
      <c r="S749" s="9" t="s">
        <v>1155</v>
      </c>
    </row>
    <row r="750" customFormat="false" ht="15" hidden="false" customHeight="true" outlineLevel="0" collapsed="false">
      <c r="A750" s="9" t="s">
        <v>1156</v>
      </c>
      <c r="B750" s="9" t="n">
        <v>90265</v>
      </c>
      <c r="C750" s="9"/>
      <c r="D750" s="9"/>
      <c r="E750" s="9" t="s">
        <v>38</v>
      </c>
      <c r="F750" s="9" t="s">
        <v>39</v>
      </c>
      <c r="G750" s="9" t="s">
        <v>47</v>
      </c>
      <c r="H750" s="9"/>
      <c r="I750" s="9" t="s">
        <v>66</v>
      </c>
      <c r="J750" s="9" t="s">
        <v>47</v>
      </c>
      <c r="K750" s="9" t="n">
        <v>4</v>
      </c>
      <c r="L750" s="9" t="s">
        <v>72</v>
      </c>
      <c r="M750" s="9" t="s">
        <v>42</v>
      </c>
      <c r="N750" s="9" t="s">
        <v>42</v>
      </c>
      <c r="O750" s="9" t="s">
        <v>42</v>
      </c>
      <c r="P750" s="9" t="s">
        <v>1157</v>
      </c>
      <c r="Q750" s="9" t="n">
        <v>505</v>
      </c>
      <c r="R750" s="9" t="s">
        <v>47</v>
      </c>
      <c r="S750" s="9"/>
    </row>
    <row r="751" customFormat="false" ht="15" hidden="false" customHeight="true" outlineLevel="0" collapsed="false">
      <c r="A751" s="9" t="s">
        <v>1158</v>
      </c>
      <c r="B751" s="9" t="n">
        <v>24815</v>
      </c>
      <c r="C751" s="9"/>
      <c r="D751" s="9"/>
      <c r="E751" s="9" t="s">
        <v>44</v>
      </c>
      <c r="F751" s="9" t="s">
        <v>39</v>
      </c>
      <c r="G751" s="9" t="s">
        <v>40</v>
      </c>
      <c r="H751" s="9"/>
      <c r="I751" s="9"/>
      <c r="J751" s="9" t="s">
        <v>40</v>
      </c>
      <c r="K751" s="9" t="n">
        <v>2</v>
      </c>
      <c r="L751" s="9" t="s">
        <v>42</v>
      </c>
      <c r="M751" s="9" t="s">
        <v>42</v>
      </c>
      <c r="N751" s="9" t="s">
        <v>42</v>
      </c>
      <c r="O751" s="9" t="s">
        <v>42</v>
      </c>
      <c r="P751" s="9" t="s">
        <v>42</v>
      </c>
      <c r="Q751" s="9" t="n">
        <v>130</v>
      </c>
      <c r="R751" s="9" t="s">
        <v>47</v>
      </c>
      <c r="S751" s="9"/>
    </row>
    <row r="752" customFormat="false" ht="15" hidden="false" customHeight="true" outlineLevel="0" collapsed="false">
      <c r="A752" s="9" t="s">
        <v>1159</v>
      </c>
      <c r="B752" s="9" t="n">
        <v>90265</v>
      </c>
      <c r="C752" s="9" t="n">
        <v>32</v>
      </c>
      <c r="D752" s="9"/>
      <c r="E752" s="9" t="s">
        <v>38</v>
      </c>
      <c r="F752" s="9" t="s">
        <v>54</v>
      </c>
      <c r="G752" s="9" t="s">
        <v>47</v>
      </c>
      <c r="H752" s="9"/>
      <c r="I752" s="9" t="s">
        <v>41</v>
      </c>
      <c r="J752" s="9" t="s">
        <v>47</v>
      </c>
      <c r="K752" s="9" t="n">
        <v>1</v>
      </c>
      <c r="L752" s="9" t="s">
        <v>42</v>
      </c>
      <c r="M752" s="9" t="s">
        <v>42</v>
      </c>
      <c r="N752" s="9" t="s">
        <v>42</v>
      </c>
      <c r="O752" s="9" t="s">
        <v>42</v>
      </c>
      <c r="P752" s="9" t="s">
        <v>42</v>
      </c>
      <c r="Q752" s="9" t="n">
        <v>0</v>
      </c>
      <c r="R752" s="9" t="s">
        <v>40</v>
      </c>
      <c r="S752" s="9" t="s">
        <v>971</v>
      </c>
    </row>
    <row r="753" customFormat="false" ht="15" hidden="false" customHeight="true" outlineLevel="0" collapsed="false">
      <c r="A753" s="9" t="s">
        <v>1160</v>
      </c>
      <c r="B753" s="9" t="n">
        <v>50146</v>
      </c>
      <c r="C753" s="9"/>
      <c r="D753" s="9"/>
      <c r="E753" s="9" t="s">
        <v>44</v>
      </c>
      <c r="F753" s="9" t="s">
        <v>39</v>
      </c>
      <c r="G753" s="9" t="s">
        <v>40</v>
      </c>
      <c r="H753" s="9" t="s">
        <v>110</v>
      </c>
      <c r="I753" s="9" t="s">
        <v>41</v>
      </c>
      <c r="J753" s="9" t="s">
        <v>40</v>
      </c>
      <c r="K753" s="9" t="n">
        <v>1</v>
      </c>
      <c r="L753" s="9" t="s">
        <v>42</v>
      </c>
      <c r="M753" s="9" t="s">
        <v>42</v>
      </c>
      <c r="N753" s="9" t="s">
        <v>57</v>
      </c>
      <c r="O753" s="9" t="s">
        <v>42</v>
      </c>
      <c r="P753" s="9" t="s">
        <v>42</v>
      </c>
      <c r="Q753" s="9" t="n">
        <v>1</v>
      </c>
      <c r="R753" s="9" t="s">
        <v>47</v>
      </c>
      <c r="S753" s="9"/>
    </row>
    <row r="754" customFormat="false" ht="15" hidden="false" customHeight="true" outlineLevel="0" collapsed="false">
      <c r="A754" s="9" t="s">
        <v>1161</v>
      </c>
      <c r="B754" s="9" t="n">
        <v>90265</v>
      </c>
      <c r="C754" s="9" t="n">
        <v>41</v>
      </c>
      <c r="D754" s="9"/>
      <c r="E754" s="9" t="s">
        <v>38</v>
      </c>
      <c r="F754" s="9" t="s">
        <v>54</v>
      </c>
      <c r="G754" s="9" t="s">
        <v>47</v>
      </c>
      <c r="H754" s="9"/>
      <c r="I754" s="9"/>
      <c r="J754" s="9" t="s">
        <v>47</v>
      </c>
      <c r="K754" s="9" t="n">
        <v>1</v>
      </c>
      <c r="L754" s="9" t="s">
        <v>42</v>
      </c>
      <c r="M754" s="9" t="s">
        <v>42</v>
      </c>
      <c r="N754" s="9" t="s">
        <v>42</v>
      </c>
      <c r="O754" s="9" t="s">
        <v>42</v>
      </c>
      <c r="P754" s="9" t="s">
        <v>42</v>
      </c>
      <c r="Q754" s="9" t="n">
        <v>0</v>
      </c>
      <c r="R754" s="9" t="s">
        <v>40</v>
      </c>
      <c r="S754" s="9" t="s">
        <v>504</v>
      </c>
    </row>
    <row r="755" customFormat="false" ht="15" hidden="false" customHeight="true" outlineLevel="0" collapsed="false">
      <c r="A755" s="9" t="s">
        <v>1162</v>
      </c>
      <c r="B755" s="9" t="n">
        <v>65608</v>
      </c>
      <c r="C755" s="9"/>
      <c r="D755" s="9"/>
      <c r="E755" s="9" t="s">
        <v>38</v>
      </c>
      <c r="F755" s="9" t="s">
        <v>39</v>
      </c>
      <c r="G755" s="9" t="s">
        <v>40</v>
      </c>
      <c r="H755" s="9"/>
      <c r="I755" s="9" t="s">
        <v>41</v>
      </c>
      <c r="J755" s="9" t="s">
        <v>40</v>
      </c>
      <c r="K755" s="9" t="n">
        <v>7</v>
      </c>
      <c r="L755" s="9" t="s">
        <v>42</v>
      </c>
      <c r="M755" s="9" t="s">
        <v>198</v>
      </c>
      <c r="N755" s="9" t="s">
        <v>42</v>
      </c>
      <c r="O755" s="9" t="s">
        <v>42</v>
      </c>
      <c r="P755" s="9" t="s">
        <v>42</v>
      </c>
      <c r="Q755" s="9" t="n">
        <v>150</v>
      </c>
      <c r="R755" s="9" t="s">
        <v>47</v>
      </c>
      <c r="S755" s="9"/>
    </row>
    <row r="756" customFormat="false" ht="15" hidden="false" customHeight="true" outlineLevel="0" collapsed="false">
      <c r="A756" s="9" t="s">
        <v>1163</v>
      </c>
      <c r="B756" s="9" t="n">
        <v>70537</v>
      </c>
      <c r="C756" s="9" t="n">
        <v>76</v>
      </c>
      <c r="D756" s="9" t="s">
        <v>62</v>
      </c>
      <c r="E756" s="9" t="s">
        <v>44</v>
      </c>
      <c r="F756" s="9" t="s">
        <v>39</v>
      </c>
      <c r="G756" s="9" t="s">
        <v>47</v>
      </c>
      <c r="H756" s="9" t="s">
        <v>226</v>
      </c>
      <c r="I756" s="9" t="s">
        <v>41</v>
      </c>
      <c r="J756" s="9" t="s">
        <v>40</v>
      </c>
      <c r="K756" s="9" t="n">
        <v>4</v>
      </c>
      <c r="L756" s="9" t="s">
        <v>42</v>
      </c>
      <c r="M756" s="9" t="s">
        <v>42</v>
      </c>
      <c r="N756" s="9" t="s">
        <v>42</v>
      </c>
      <c r="O756" s="9" t="s">
        <v>42</v>
      </c>
      <c r="P756" s="9" t="s">
        <v>42</v>
      </c>
      <c r="Q756" s="9" t="n">
        <v>40</v>
      </c>
      <c r="R756" s="9" t="s">
        <v>47</v>
      </c>
      <c r="S756" s="9" t="s">
        <v>415</v>
      </c>
    </row>
    <row r="757" customFormat="false" ht="15" hidden="false" customHeight="true" outlineLevel="0" collapsed="false">
      <c r="A757" s="9" t="s">
        <v>1164</v>
      </c>
      <c r="B757" s="9" t="n">
        <v>55175</v>
      </c>
      <c r="C757" s="9"/>
      <c r="D757" s="9" t="s">
        <v>62</v>
      </c>
      <c r="E757" s="9" t="s">
        <v>44</v>
      </c>
      <c r="F757" s="9" t="s">
        <v>39</v>
      </c>
      <c r="G757" s="9" t="s">
        <v>40</v>
      </c>
      <c r="H757" s="9"/>
      <c r="I757" s="9" t="s">
        <v>41</v>
      </c>
      <c r="J757" s="9" t="s">
        <v>40</v>
      </c>
      <c r="K757" s="9" t="n">
        <v>1</v>
      </c>
      <c r="L757" s="9" t="s">
        <v>42</v>
      </c>
      <c r="M757" s="9" t="s">
        <v>42</v>
      </c>
      <c r="N757" s="9" t="s">
        <v>42</v>
      </c>
      <c r="O757" s="9" t="s">
        <v>42</v>
      </c>
      <c r="P757" s="9" t="s">
        <v>42</v>
      </c>
      <c r="Q757" s="9" t="n">
        <v>100</v>
      </c>
      <c r="R757" s="9" t="s">
        <v>47</v>
      </c>
      <c r="S757" s="9"/>
    </row>
    <row r="758" customFormat="false" ht="15" hidden="false" customHeight="true" outlineLevel="0" collapsed="false">
      <c r="A758" s="9" t="s">
        <v>1165</v>
      </c>
      <c r="B758" s="9" t="n">
        <v>50381</v>
      </c>
      <c r="C758" s="9" t="n">
        <v>73</v>
      </c>
      <c r="D758" s="9"/>
      <c r="E758" s="9" t="s">
        <v>38</v>
      </c>
      <c r="F758" s="9" t="s">
        <v>201</v>
      </c>
      <c r="G758" s="9" t="s">
        <v>40</v>
      </c>
      <c r="H758" s="9"/>
      <c r="I758" s="9" t="s">
        <v>41</v>
      </c>
      <c r="J758" s="9" t="s">
        <v>40</v>
      </c>
      <c r="K758" s="9" t="n">
        <v>0</v>
      </c>
      <c r="L758" s="9" t="s">
        <v>42</v>
      </c>
      <c r="M758" s="9" t="s">
        <v>42</v>
      </c>
      <c r="N758" s="9" t="s">
        <v>42</v>
      </c>
      <c r="O758" s="9" t="s">
        <v>42</v>
      </c>
      <c r="P758" s="9" t="s">
        <v>42</v>
      </c>
      <c r="Q758" s="9" t="n">
        <v>25</v>
      </c>
      <c r="R758" s="9" t="s">
        <v>47</v>
      </c>
      <c r="S758" s="9" t="s">
        <v>771</v>
      </c>
    </row>
    <row r="759" customFormat="false" ht="15" hidden="false" customHeight="true" outlineLevel="0" collapsed="false">
      <c r="A759" s="9" t="s">
        <v>1166</v>
      </c>
      <c r="B759" s="9" t="n">
        <v>90265</v>
      </c>
      <c r="C759" s="9" t="n">
        <v>50</v>
      </c>
      <c r="D759" s="9"/>
      <c r="E759" s="9" t="s">
        <v>38</v>
      </c>
      <c r="F759" s="9" t="s">
        <v>54</v>
      </c>
      <c r="G759" s="9" t="s">
        <v>47</v>
      </c>
      <c r="H759" s="9"/>
      <c r="I759" s="9" t="s">
        <v>41</v>
      </c>
      <c r="J759" s="9" t="s">
        <v>40</v>
      </c>
      <c r="K759" s="9" t="n">
        <v>1</v>
      </c>
      <c r="L759" s="9" t="s">
        <v>42</v>
      </c>
      <c r="M759" s="9" t="s">
        <v>42</v>
      </c>
      <c r="N759" s="9" t="s">
        <v>42</v>
      </c>
      <c r="O759" s="9" t="s">
        <v>42</v>
      </c>
      <c r="P759" s="9" t="s">
        <v>42</v>
      </c>
      <c r="Q759" s="9" t="n">
        <v>240</v>
      </c>
      <c r="R759" s="9" t="s">
        <v>47</v>
      </c>
      <c r="S759" s="9" t="s">
        <v>596</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9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15"/>
    <col collapsed="false" customWidth="true" hidden="false" outlineLevel="0" max="3" min="3" style="1" width="22"/>
    <col collapsed="false" customWidth="true" hidden="false" outlineLevel="0" max="4" min="4" style="1" width="12"/>
    <col collapsed="false" customWidth="true" hidden="false" outlineLevel="0" max="5" min="5" style="1" width="28"/>
    <col collapsed="false" customWidth="true" hidden="false" outlineLevel="0" max="6" min="6" style="1" width="23"/>
    <col collapsed="false" customWidth="true" hidden="false" outlineLevel="0" max="7" min="7" style="1" width="12"/>
  </cols>
  <sheetData>
    <row r="1" customFormat="false" ht="15" hidden="false" customHeight="true" outlineLevel="0" collapsed="false">
      <c r="A1" s="8" t="s">
        <v>1167</v>
      </c>
      <c r="B1" s="8" t="s">
        <v>1168</v>
      </c>
      <c r="C1" s="8" t="s">
        <v>1169</v>
      </c>
      <c r="D1" s="8" t="s">
        <v>1170</v>
      </c>
      <c r="E1" s="8" t="s">
        <v>1171</v>
      </c>
      <c r="F1" s="8" t="s">
        <v>1172</v>
      </c>
      <c r="G1" s="8" t="s">
        <v>1173</v>
      </c>
    </row>
    <row r="2" customFormat="false" ht="15" hidden="false" customHeight="true" outlineLevel="0" collapsed="false">
      <c r="A2" s="9" t="s">
        <v>1174</v>
      </c>
      <c r="B2" s="9" t="s">
        <v>455</v>
      </c>
      <c r="C2" s="9" t="s">
        <v>1175</v>
      </c>
      <c r="D2" s="9" t="s">
        <v>1176</v>
      </c>
      <c r="E2" s="9" t="s">
        <v>1177</v>
      </c>
      <c r="F2" s="9" t="s">
        <v>1178</v>
      </c>
      <c r="G2" s="9" t="n">
        <v>3</v>
      </c>
    </row>
    <row r="3" customFormat="false" ht="15" hidden="false" customHeight="true" outlineLevel="0" collapsed="false">
      <c r="A3" s="9" t="s">
        <v>1174</v>
      </c>
      <c r="B3" s="9" t="s">
        <v>455</v>
      </c>
      <c r="C3" s="9" t="s">
        <v>1175</v>
      </c>
      <c r="D3" s="9" t="s">
        <v>1179</v>
      </c>
      <c r="E3" s="9" t="s">
        <v>1180</v>
      </c>
      <c r="F3" s="9" t="s">
        <v>1178</v>
      </c>
      <c r="G3" s="9" t="n">
        <v>6</v>
      </c>
    </row>
    <row r="4" customFormat="false" ht="15" hidden="false" customHeight="true" outlineLevel="0" collapsed="false">
      <c r="A4" s="9" t="s">
        <v>1174</v>
      </c>
      <c r="B4" s="9" t="s">
        <v>455</v>
      </c>
      <c r="C4" s="9" t="s">
        <v>1175</v>
      </c>
      <c r="D4" s="9" t="s">
        <v>1181</v>
      </c>
      <c r="E4" s="9" t="s">
        <v>1177</v>
      </c>
      <c r="F4" s="9" t="s">
        <v>1182</v>
      </c>
      <c r="G4" s="9" t="n">
        <v>2</v>
      </c>
    </row>
    <row r="5" customFormat="false" ht="15" hidden="false" customHeight="true" outlineLevel="0" collapsed="false">
      <c r="A5" s="9" t="s">
        <v>1183</v>
      </c>
      <c r="B5" s="9" t="s">
        <v>1166</v>
      </c>
      <c r="C5" s="9" t="s">
        <v>1184</v>
      </c>
      <c r="D5" s="9" t="s">
        <v>1185</v>
      </c>
      <c r="E5" s="9" t="s">
        <v>1186</v>
      </c>
      <c r="F5" s="9" t="s">
        <v>1187</v>
      </c>
      <c r="G5" s="9" t="n">
        <v>4</v>
      </c>
    </row>
    <row r="6" customFormat="false" ht="15" hidden="false" customHeight="true" outlineLevel="0" collapsed="false">
      <c r="A6" s="9" t="s">
        <v>1183</v>
      </c>
      <c r="B6" s="9" t="s">
        <v>1166</v>
      </c>
      <c r="C6" s="9" t="s">
        <v>1184</v>
      </c>
      <c r="D6" s="9" t="s">
        <v>1188</v>
      </c>
      <c r="E6" s="9" t="s">
        <v>1189</v>
      </c>
      <c r="F6" s="9" t="s">
        <v>1190</v>
      </c>
      <c r="G6" s="9" t="n">
        <v>3</v>
      </c>
    </row>
    <row r="7" customFormat="false" ht="15" hidden="false" customHeight="true" outlineLevel="0" collapsed="false">
      <c r="A7" s="9" t="s">
        <v>1183</v>
      </c>
      <c r="B7" s="9" t="s">
        <v>1166</v>
      </c>
      <c r="C7" s="9" t="s">
        <v>1184</v>
      </c>
      <c r="D7" s="9" t="s">
        <v>1191</v>
      </c>
      <c r="E7" s="9" t="s">
        <v>1192</v>
      </c>
      <c r="F7" s="9" t="s">
        <v>1182</v>
      </c>
      <c r="G7" s="9" t="n">
        <v>2</v>
      </c>
    </row>
    <row r="8" customFormat="false" ht="15" hidden="false" customHeight="true" outlineLevel="0" collapsed="false">
      <c r="A8" s="9" t="s">
        <v>1183</v>
      </c>
      <c r="B8" s="9" t="s">
        <v>1166</v>
      </c>
      <c r="C8" s="9" t="s">
        <v>1184</v>
      </c>
      <c r="D8" s="9" t="s">
        <v>1193</v>
      </c>
      <c r="E8" s="9" t="s">
        <v>1192</v>
      </c>
      <c r="F8" s="9" t="s">
        <v>1190</v>
      </c>
      <c r="G8" s="9" t="n">
        <v>2</v>
      </c>
    </row>
    <row r="9" customFormat="false" ht="15" hidden="false" customHeight="true" outlineLevel="0" collapsed="false">
      <c r="A9" s="9" t="s">
        <v>1183</v>
      </c>
      <c r="B9" s="9" t="s">
        <v>1166</v>
      </c>
      <c r="C9" s="9" t="s">
        <v>1184</v>
      </c>
      <c r="D9" s="9" t="s">
        <v>1194</v>
      </c>
      <c r="E9" s="9" t="s">
        <v>1177</v>
      </c>
      <c r="F9" s="9" t="s">
        <v>1190</v>
      </c>
      <c r="G9" s="9" t="n">
        <v>3</v>
      </c>
    </row>
    <row r="10" customFormat="false" ht="15" hidden="false" customHeight="true" outlineLevel="0" collapsed="false">
      <c r="A10" s="9" t="s">
        <v>1183</v>
      </c>
      <c r="B10" s="9" t="s">
        <v>1166</v>
      </c>
      <c r="C10" s="9" t="s">
        <v>1184</v>
      </c>
      <c r="D10" s="9" t="s">
        <v>1195</v>
      </c>
      <c r="E10" s="9" t="s">
        <v>1189</v>
      </c>
      <c r="F10" s="9" t="s">
        <v>1196</v>
      </c>
      <c r="G10" s="9" t="n">
        <v>2</v>
      </c>
    </row>
    <row r="11" customFormat="false" ht="15" hidden="false" customHeight="true" outlineLevel="0" collapsed="false">
      <c r="A11" s="9" t="s">
        <v>1183</v>
      </c>
      <c r="B11" s="9" t="s">
        <v>1166</v>
      </c>
      <c r="C11" s="9" t="s">
        <v>1184</v>
      </c>
      <c r="D11" s="9" t="s">
        <v>1197</v>
      </c>
      <c r="E11" s="9" t="s">
        <v>1198</v>
      </c>
      <c r="F11" s="9" t="s">
        <v>1187</v>
      </c>
      <c r="G11" s="9" t="n">
        <v>3</v>
      </c>
    </row>
    <row r="12" customFormat="false" ht="15" hidden="false" customHeight="true" outlineLevel="0" collapsed="false">
      <c r="A12" s="9" t="s">
        <v>1183</v>
      </c>
      <c r="B12" s="9" t="s">
        <v>1166</v>
      </c>
      <c r="C12" s="9" t="s">
        <v>1184</v>
      </c>
      <c r="D12" s="9" t="s">
        <v>1199</v>
      </c>
      <c r="E12" s="9" t="s">
        <v>1192</v>
      </c>
      <c r="F12" s="9" t="s">
        <v>1182</v>
      </c>
      <c r="G12" s="9" t="n">
        <v>2</v>
      </c>
    </row>
    <row r="13" customFormat="false" ht="15" hidden="false" customHeight="true" outlineLevel="0" collapsed="false">
      <c r="A13" s="9" t="s">
        <v>1200</v>
      </c>
      <c r="B13" s="9" t="s">
        <v>953</v>
      </c>
      <c r="C13" s="9" t="s">
        <v>1201</v>
      </c>
      <c r="D13" s="9" t="s">
        <v>1202</v>
      </c>
      <c r="E13" s="9" t="s">
        <v>1177</v>
      </c>
      <c r="F13" s="9" t="s">
        <v>1187</v>
      </c>
      <c r="G13" s="9" t="n">
        <v>3</v>
      </c>
    </row>
    <row r="14" customFormat="false" ht="15" hidden="false" customHeight="true" outlineLevel="0" collapsed="false">
      <c r="A14" s="9" t="s">
        <v>1200</v>
      </c>
      <c r="B14" s="9" t="s">
        <v>953</v>
      </c>
      <c r="C14" s="9" t="s">
        <v>1201</v>
      </c>
      <c r="D14" s="9" t="s">
        <v>1203</v>
      </c>
      <c r="E14" s="9" t="s">
        <v>1204</v>
      </c>
      <c r="F14" s="9" t="s">
        <v>1196</v>
      </c>
      <c r="G14" s="9" t="n">
        <v>3</v>
      </c>
    </row>
    <row r="15" customFormat="false" ht="15" hidden="false" customHeight="true" outlineLevel="0" collapsed="false">
      <c r="A15" s="9" t="s">
        <v>1200</v>
      </c>
      <c r="B15" s="9" t="s">
        <v>953</v>
      </c>
      <c r="C15" s="9" t="s">
        <v>1201</v>
      </c>
      <c r="D15" s="9" t="s">
        <v>1205</v>
      </c>
      <c r="E15" s="9" t="s">
        <v>1180</v>
      </c>
      <c r="F15" s="9" t="s">
        <v>1187</v>
      </c>
      <c r="G15" s="9" t="n">
        <v>5</v>
      </c>
    </row>
    <row r="16" customFormat="false" ht="15" hidden="false" customHeight="true" outlineLevel="0" collapsed="false">
      <c r="A16" s="9" t="s">
        <v>1200</v>
      </c>
      <c r="B16" s="9" t="s">
        <v>953</v>
      </c>
      <c r="C16" s="9" t="s">
        <v>1201</v>
      </c>
      <c r="D16" s="9" t="s">
        <v>1206</v>
      </c>
      <c r="E16" s="9" t="s">
        <v>1177</v>
      </c>
      <c r="F16" s="9" t="s">
        <v>1178</v>
      </c>
      <c r="G16" s="9" t="n">
        <v>3</v>
      </c>
    </row>
    <row r="17" customFormat="false" ht="15" hidden="false" customHeight="true" outlineLevel="0" collapsed="false">
      <c r="A17" s="9" t="s">
        <v>1200</v>
      </c>
      <c r="B17" s="9" t="s">
        <v>953</v>
      </c>
      <c r="C17" s="9" t="s">
        <v>1201</v>
      </c>
      <c r="D17" s="9" t="s">
        <v>1207</v>
      </c>
      <c r="E17" s="9" t="s">
        <v>1189</v>
      </c>
      <c r="F17" s="9" t="s">
        <v>1187</v>
      </c>
      <c r="G17" s="9" t="n">
        <v>3</v>
      </c>
    </row>
    <row r="18" customFormat="false" ht="15" hidden="false" customHeight="true" outlineLevel="0" collapsed="false">
      <c r="A18" s="9" t="s">
        <v>1200</v>
      </c>
      <c r="B18" s="9" t="s">
        <v>953</v>
      </c>
      <c r="C18" s="9" t="s">
        <v>1201</v>
      </c>
      <c r="D18" s="9" t="s">
        <v>1208</v>
      </c>
      <c r="E18" s="9" t="s">
        <v>1177</v>
      </c>
      <c r="F18" s="9" t="s">
        <v>1190</v>
      </c>
      <c r="G18" s="9" t="n">
        <v>2</v>
      </c>
    </row>
    <row r="19" customFormat="false" ht="15" hidden="false" customHeight="true" outlineLevel="0" collapsed="false">
      <c r="A19" s="9" t="s">
        <v>1200</v>
      </c>
      <c r="B19" s="9" t="s">
        <v>953</v>
      </c>
      <c r="C19" s="9" t="s">
        <v>1201</v>
      </c>
      <c r="D19" s="9" t="s">
        <v>1209</v>
      </c>
      <c r="E19" s="9" t="s">
        <v>1189</v>
      </c>
      <c r="F19" s="9" t="s">
        <v>1196</v>
      </c>
      <c r="G19" s="9" t="n">
        <v>6</v>
      </c>
    </row>
    <row r="20" customFormat="false" ht="15" hidden="false" customHeight="true" outlineLevel="0" collapsed="false">
      <c r="A20" s="9" t="s">
        <v>1200</v>
      </c>
      <c r="B20" s="9" t="s">
        <v>953</v>
      </c>
      <c r="C20" s="9" t="s">
        <v>1201</v>
      </c>
      <c r="D20" s="9" t="s">
        <v>1210</v>
      </c>
      <c r="E20" s="9" t="s">
        <v>1198</v>
      </c>
      <c r="F20" s="9" t="s">
        <v>1196</v>
      </c>
      <c r="G20" s="9" t="n">
        <v>3</v>
      </c>
    </row>
    <row r="21" customFormat="false" ht="15" hidden="false" customHeight="true" outlineLevel="0" collapsed="false">
      <c r="A21" s="9" t="s">
        <v>1200</v>
      </c>
      <c r="B21" s="9" t="s">
        <v>953</v>
      </c>
      <c r="C21" s="9" t="s">
        <v>1201</v>
      </c>
      <c r="D21" s="9" t="s">
        <v>1211</v>
      </c>
      <c r="E21" s="9" t="s">
        <v>1189</v>
      </c>
      <c r="F21" s="9" t="s">
        <v>1187</v>
      </c>
      <c r="G21" s="9" t="n">
        <v>3</v>
      </c>
    </row>
    <row r="22" customFormat="false" ht="15" hidden="false" customHeight="true" outlineLevel="0" collapsed="false">
      <c r="A22" s="9" t="s">
        <v>1200</v>
      </c>
      <c r="B22" s="9" t="s">
        <v>953</v>
      </c>
      <c r="C22" s="9" t="s">
        <v>1201</v>
      </c>
      <c r="D22" s="9" t="s">
        <v>1212</v>
      </c>
      <c r="E22" s="9" t="s">
        <v>1189</v>
      </c>
      <c r="F22" s="9" t="s">
        <v>1182</v>
      </c>
      <c r="G22" s="9" t="n">
        <v>2</v>
      </c>
    </row>
    <row r="23" customFormat="false" ht="15" hidden="false" customHeight="true" outlineLevel="0" collapsed="false">
      <c r="A23" s="9" t="s">
        <v>1213</v>
      </c>
      <c r="B23" s="9" t="s">
        <v>578</v>
      </c>
      <c r="C23" s="9" t="s">
        <v>1214</v>
      </c>
      <c r="D23" s="9" t="s">
        <v>1215</v>
      </c>
      <c r="E23" s="9" t="s">
        <v>1216</v>
      </c>
      <c r="F23" s="9" t="s">
        <v>1178</v>
      </c>
      <c r="G23" s="9" t="n">
        <v>2</v>
      </c>
    </row>
    <row r="24" customFormat="false" ht="15" hidden="false" customHeight="true" outlineLevel="0" collapsed="false">
      <c r="A24" s="9" t="s">
        <v>1213</v>
      </c>
      <c r="B24" s="9" t="s">
        <v>578</v>
      </c>
      <c r="C24" s="9" t="s">
        <v>1214</v>
      </c>
      <c r="D24" s="9" t="s">
        <v>1217</v>
      </c>
      <c r="E24" s="9" t="s">
        <v>1186</v>
      </c>
      <c r="F24" s="9" t="s">
        <v>1190</v>
      </c>
      <c r="G24" s="9" t="n">
        <v>2</v>
      </c>
    </row>
    <row r="25" customFormat="false" ht="15" hidden="false" customHeight="true" outlineLevel="0" collapsed="false">
      <c r="A25" s="9" t="s">
        <v>1218</v>
      </c>
      <c r="B25" s="9" t="s">
        <v>857</v>
      </c>
      <c r="C25" s="9" t="s">
        <v>1219</v>
      </c>
      <c r="D25" s="9" t="s">
        <v>1220</v>
      </c>
      <c r="E25" s="9" t="s">
        <v>1204</v>
      </c>
      <c r="F25" s="9" t="s">
        <v>1190</v>
      </c>
      <c r="G25" s="9" t="n">
        <v>3</v>
      </c>
    </row>
    <row r="26" customFormat="false" ht="15" hidden="false" customHeight="true" outlineLevel="0" collapsed="false">
      <c r="A26" s="9" t="s">
        <v>1218</v>
      </c>
      <c r="B26" s="9" t="s">
        <v>857</v>
      </c>
      <c r="C26" s="9" t="s">
        <v>1219</v>
      </c>
      <c r="D26" s="9" t="s">
        <v>1221</v>
      </c>
      <c r="E26" s="9" t="s">
        <v>1186</v>
      </c>
      <c r="F26" s="9" t="s">
        <v>1190</v>
      </c>
      <c r="G26" s="9" t="n">
        <v>3</v>
      </c>
    </row>
    <row r="27" customFormat="false" ht="15" hidden="false" customHeight="true" outlineLevel="0" collapsed="false">
      <c r="A27" s="9" t="s">
        <v>1218</v>
      </c>
      <c r="B27" s="9" t="s">
        <v>857</v>
      </c>
      <c r="C27" s="9" t="s">
        <v>1219</v>
      </c>
      <c r="D27" s="9" t="s">
        <v>1222</v>
      </c>
      <c r="E27" s="9" t="s">
        <v>1180</v>
      </c>
      <c r="F27" s="9" t="s">
        <v>1196</v>
      </c>
      <c r="G27" s="9" t="n">
        <v>2</v>
      </c>
    </row>
    <row r="28" customFormat="false" ht="15" hidden="false" customHeight="true" outlineLevel="0" collapsed="false">
      <c r="A28" s="9" t="s">
        <v>1218</v>
      </c>
      <c r="B28" s="9" t="s">
        <v>857</v>
      </c>
      <c r="C28" s="9" t="s">
        <v>1219</v>
      </c>
      <c r="D28" s="9" t="s">
        <v>1223</v>
      </c>
      <c r="E28" s="9" t="s">
        <v>1192</v>
      </c>
      <c r="F28" s="9" t="s">
        <v>1190</v>
      </c>
      <c r="G28" s="9" t="n">
        <v>4</v>
      </c>
    </row>
    <row r="29" customFormat="false" ht="15" hidden="false" customHeight="true" outlineLevel="0" collapsed="false">
      <c r="A29" s="9" t="s">
        <v>1218</v>
      </c>
      <c r="B29" s="9" t="s">
        <v>857</v>
      </c>
      <c r="C29" s="9" t="s">
        <v>1219</v>
      </c>
      <c r="D29" s="9" t="s">
        <v>1224</v>
      </c>
      <c r="E29" s="9" t="s">
        <v>1180</v>
      </c>
      <c r="F29" s="9" t="s">
        <v>1178</v>
      </c>
      <c r="G29" s="9" t="n">
        <v>2</v>
      </c>
    </row>
    <row r="30" customFormat="false" ht="15" hidden="false" customHeight="true" outlineLevel="0" collapsed="false">
      <c r="A30" s="9" t="s">
        <v>1218</v>
      </c>
      <c r="B30" s="9" t="s">
        <v>857</v>
      </c>
      <c r="C30" s="9" t="s">
        <v>1219</v>
      </c>
      <c r="D30" s="9" t="s">
        <v>1225</v>
      </c>
      <c r="E30" s="9" t="s">
        <v>1198</v>
      </c>
      <c r="F30" s="9" t="s">
        <v>1187</v>
      </c>
      <c r="G30" s="9" t="n">
        <v>3</v>
      </c>
    </row>
    <row r="31" customFormat="false" ht="15" hidden="false" customHeight="true" outlineLevel="0" collapsed="false">
      <c r="A31" s="9" t="s">
        <v>1226</v>
      </c>
      <c r="B31" s="9" t="s">
        <v>71</v>
      </c>
      <c r="C31" s="9" t="s">
        <v>1227</v>
      </c>
      <c r="D31" s="9" t="s">
        <v>1228</v>
      </c>
      <c r="E31" s="9" t="s">
        <v>1177</v>
      </c>
      <c r="F31" s="9" t="s">
        <v>1178</v>
      </c>
      <c r="G31" s="9" t="n">
        <v>3</v>
      </c>
    </row>
    <row r="32" customFormat="false" ht="15" hidden="false" customHeight="true" outlineLevel="0" collapsed="false">
      <c r="A32" s="9" t="s">
        <v>1226</v>
      </c>
      <c r="B32" s="9" t="s">
        <v>71</v>
      </c>
      <c r="C32" s="9" t="s">
        <v>1227</v>
      </c>
      <c r="D32" s="9" t="s">
        <v>1229</v>
      </c>
      <c r="E32" s="9" t="s">
        <v>1192</v>
      </c>
      <c r="F32" s="9" t="s">
        <v>1187</v>
      </c>
      <c r="G32" s="9" t="n">
        <v>2</v>
      </c>
    </row>
    <row r="33" customFormat="false" ht="15" hidden="false" customHeight="true" outlineLevel="0" collapsed="false">
      <c r="A33" s="9" t="s">
        <v>1226</v>
      </c>
      <c r="B33" s="9" t="s">
        <v>71</v>
      </c>
      <c r="C33" s="9" t="s">
        <v>1227</v>
      </c>
      <c r="D33" s="9" t="s">
        <v>1230</v>
      </c>
      <c r="E33" s="9" t="s">
        <v>1180</v>
      </c>
      <c r="F33" s="9" t="s">
        <v>1187</v>
      </c>
      <c r="G33" s="9" t="n">
        <v>3</v>
      </c>
    </row>
    <row r="34" customFormat="false" ht="15" hidden="false" customHeight="true" outlineLevel="0" collapsed="false">
      <c r="A34" s="9" t="s">
        <v>1226</v>
      </c>
      <c r="B34" s="9" t="s">
        <v>71</v>
      </c>
      <c r="C34" s="9" t="s">
        <v>1227</v>
      </c>
      <c r="D34" s="9" t="s">
        <v>1231</v>
      </c>
      <c r="E34" s="9" t="s">
        <v>1204</v>
      </c>
      <c r="F34" s="9" t="s">
        <v>1178</v>
      </c>
      <c r="G34" s="9" t="n">
        <v>3</v>
      </c>
    </row>
    <row r="35" customFormat="false" ht="15" hidden="false" customHeight="true" outlineLevel="0" collapsed="false">
      <c r="A35" s="9" t="s">
        <v>1226</v>
      </c>
      <c r="B35" s="9" t="s">
        <v>71</v>
      </c>
      <c r="C35" s="9" t="s">
        <v>1227</v>
      </c>
      <c r="D35" s="9" t="s">
        <v>1232</v>
      </c>
      <c r="E35" s="9" t="s">
        <v>1186</v>
      </c>
      <c r="F35" s="9" t="s">
        <v>1187</v>
      </c>
      <c r="G35" s="9" t="n">
        <v>2</v>
      </c>
    </row>
    <row r="36" customFormat="false" ht="15" hidden="false" customHeight="true" outlineLevel="0" collapsed="false">
      <c r="A36" s="9" t="s">
        <v>1226</v>
      </c>
      <c r="B36" s="9" t="s">
        <v>71</v>
      </c>
      <c r="C36" s="9" t="s">
        <v>1227</v>
      </c>
      <c r="D36" s="9" t="s">
        <v>1233</v>
      </c>
      <c r="E36" s="9" t="s">
        <v>1198</v>
      </c>
      <c r="F36" s="9" t="s">
        <v>1196</v>
      </c>
      <c r="G36" s="9" t="n">
        <v>2</v>
      </c>
    </row>
    <row r="37" customFormat="false" ht="15" hidden="false" customHeight="true" outlineLevel="0" collapsed="false">
      <c r="A37" s="9" t="s">
        <v>1234</v>
      </c>
      <c r="B37" s="9" t="s">
        <v>212</v>
      </c>
      <c r="C37" s="9" t="s">
        <v>1235</v>
      </c>
      <c r="D37" s="9" t="s">
        <v>1236</v>
      </c>
      <c r="E37" s="9" t="s">
        <v>1216</v>
      </c>
      <c r="F37" s="9" t="s">
        <v>1178</v>
      </c>
      <c r="G37" s="9" t="n">
        <v>3</v>
      </c>
    </row>
    <row r="38" customFormat="false" ht="15" hidden="false" customHeight="true" outlineLevel="0" collapsed="false">
      <c r="A38" s="9" t="s">
        <v>1234</v>
      </c>
      <c r="B38" s="9" t="s">
        <v>212</v>
      </c>
      <c r="C38" s="9" t="s">
        <v>1235</v>
      </c>
      <c r="D38" s="9" t="s">
        <v>1237</v>
      </c>
      <c r="E38" s="9" t="s">
        <v>1189</v>
      </c>
      <c r="F38" s="9" t="s">
        <v>1190</v>
      </c>
      <c r="G38" s="9" t="n">
        <v>3</v>
      </c>
    </row>
    <row r="39" customFormat="false" ht="15" hidden="false" customHeight="true" outlineLevel="0" collapsed="false">
      <c r="A39" s="9" t="s">
        <v>1234</v>
      </c>
      <c r="B39" s="9" t="s">
        <v>212</v>
      </c>
      <c r="C39" s="9" t="s">
        <v>1235</v>
      </c>
      <c r="D39" s="9" t="s">
        <v>1238</v>
      </c>
      <c r="E39" s="9" t="s">
        <v>1186</v>
      </c>
      <c r="F39" s="9" t="s">
        <v>1196</v>
      </c>
      <c r="G39" s="9" t="n">
        <v>3</v>
      </c>
    </row>
    <row r="40" customFormat="false" ht="15" hidden="false" customHeight="true" outlineLevel="0" collapsed="false">
      <c r="A40" s="9" t="s">
        <v>1234</v>
      </c>
      <c r="B40" s="9" t="s">
        <v>212</v>
      </c>
      <c r="C40" s="9" t="s">
        <v>1235</v>
      </c>
      <c r="D40" s="9" t="s">
        <v>1239</v>
      </c>
      <c r="E40" s="9" t="s">
        <v>1177</v>
      </c>
      <c r="F40" s="9" t="s">
        <v>1182</v>
      </c>
      <c r="G40" s="9" t="n">
        <v>2</v>
      </c>
    </row>
    <row r="41" customFormat="false" ht="15" hidden="false" customHeight="true" outlineLevel="0" collapsed="false">
      <c r="A41" s="9" t="s">
        <v>1234</v>
      </c>
      <c r="B41" s="9" t="s">
        <v>212</v>
      </c>
      <c r="C41" s="9" t="s">
        <v>1235</v>
      </c>
      <c r="D41" s="9" t="s">
        <v>1240</v>
      </c>
      <c r="E41" s="9" t="s">
        <v>1180</v>
      </c>
      <c r="F41" s="9" t="s">
        <v>1190</v>
      </c>
      <c r="G41" s="9" t="n">
        <v>2</v>
      </c>
    </row>
    <row r="42" customFormat="false" ht="15" hidden="false" customHeight="true" outlineLevel="0" collapsed="false">
      <c r="A42" s="9" t="s">
        <v>1234</v>
      </c>
      <c r="B42" s="9" t="s">
        <v>212</v>
      </c>
      <c r="C42" s="9" t="s">
        <v>1235</v>
      </c>
      <c r="D42" s="9" t="s">
        <v>1241</v>
      </c>
      <c r="E42" s="9" t="s">
        <v>1180</v>
      </c>
      <c r="F42" s="9" t="s">
        <v>1182</v>
      </c>
      <c r="G42" s="9" t="n">
        <v>2</v>
      </c>
    </row>
    <row r="43" customFormat="false" ht="15" hidden="false" customHeight="true" outlineLevel="0" collapsed="false">
      <c r="A43" s="9" t="s">
        <v>1234</v>
      </c>
      <c r="B43" s="9" t="s">
        <v>212</v>
      </c>
      <c r="C43" s="9" t="s">
        <v>1235</v>
      </c>
      <c r="D43" s="9" t="s">
        <v>1242</v>
      </c>
      <c r="E43" s="9" t="s">
        <v>1216</v>
      </c>
      <c r="F43" s="9" t="s">
        <v>1190</v>
      </c>
      <c r="G43" s="9" t="n">
        <v>2</v>
      </c>
    </row>
    <row r="44" customFormat="false" ht="15" hidden="false" customHeight="true" outlineLevel="0" collapsed="false">
      <c r="A44" s="9" t="s">
        <v>1234</v>
      </c>
      <c r="B44" s="9" t="s">
        <v>212</v>
      </c>
      <c r="C44" s="9" t="s">
        <v>1235</v>
      </c>
      <c r="D44" s="9" t="s">
        <v>1243</v>
      </c>
      <c r="E44" s="9" t="s">
        <v>1186</v>
      </c>
      <c r="F44" s="9" t="s">
        <v>1187</v>
      </c>
      <c r="G44" s="9" t="n">
        <v>2</v>
      </c>
    </row>
    <row r="45" customFormat="false" ht="15" hidden="false" customHeight="true" outlineLevel="0" collapsed="false">
      <c r="A45" s="9" t="s">
        <v>1234</v>
      </c>
      <c r="B45" s="9" t="s">
        <v>212</v>
      </c>
      <c r="C45" s="9" t="s">
        <v>1235</v>
      </c>
      <c r="D45" s="9" t="s">
        <v>1244</v>
      </c>
      <c r="E45" s="9" t="s">
        <v>1180</v>
      </c>
      <c r="F45" s="9" t="s">
        <v>1187</v>
      </c>
      <c r="G45" s="9" t="n">
        <v>6</v>
      </c>
    </row>
    <row r="46" customFormat="false" ht="15" hidden="false" customHeight="true" outlineLevel="0" collapsed="false">
      <c r="A46" s="9" t="s">
        <v>1234</v>
      </c>
      <c r="B46" s="9" t="s">
        <v>212</v>
      </c>
      <c r="C46" s="9" t="s">
        <v>1235</v>
      </c>
      <c r="D46" s="9" t="s">
        <v>1245</v>
      </c>
      <c r="E46" s="9" t="s">
        <v>1180</v>
      </c>
      <c r="F46" s="9" t="s">
        <v>1196</v>
      </c>
      <c r="G46" s="9" t="n">
        <v>5</v>
      </c>
    </row>
    <row r="47" customFormat="false" ht="15" hidden="false" customHeight="true" outlineLevel="0" collapsed="false">
      <c r="A47" s="9" t="s">
        <v>1246</v>
      </c>
      <c r="B47" s="9" t="s">
        <v>933</v>
      </c>
      <c r="C47" s="9" t="s">
        <v>1247</v>
      </c>
      <c r="D47" s="9" t="s">
        <v>1248</v>
      </c>
      <c r="E47" s="9" t="s">
        <v>1198</v>
      </c>
      <c r="F47" s="9" t="s">
        <v>1178</v>
      </c>
      <c r="G47" s="9" t="n">
        <v>3</v>
      </c>
    </row>
    <row r="48" customFormat="false" ht="15" hidden="false" customHeight="true" outlineLevel="0" collapsed="false">
      <c r="A48" s="9" t="s">
        <v>1246</v>
      </c>
      <c r="B48" s="9" t="s">
        <v>933</v>
      </c>
      <c r="C48" s="9" t="s">
        <v>1247</v>
      </c>
      <c r="D48" s="9" t="s">
        <v>1249</v>
      </c>
      <c r="E48" s="9" t="s">
        <v>1186</v>
      </c>
      <c r="F48" s="9" t="s">
        <v>1178</v>
      </c>
      <c r="G48" s="9" t="n">
        <v>3</v>
      </c>
    </row>
    <row r="49" customFormat="false" ht="15" hidden="false" customHeight="true" outlineLevel="0" collapsed="false">
      <c r="A49" s="9" t="s">
        <v>1246</v>
      </c>
      <c r="B49" s="9" t="s">
        <v>933</v>
      </c>
      <c r="C49" s="9" t="s">
        <v>1247</v>
      </c>
      <c r="D49" s="9" t="s">
        <v>1250</v>
      </c>
      <c r="E49" s="9" t="s">
        <v>1216</v>
      </c>
      <c r="F49" s="9" t="s">
        <v>1182</v>
      </c>
      <c r="G49" s="9" t="n">
        <v>2</v>
      </c>
    </row>
    <row r="50" customFormat="false" ht="15" hidden="false" customHeight="true" outlineLevel="0" collapsed="false">
      <c r="A50" s="9" t="s">
        <v>1246</v>
      </c>
      <c r="B50" s="9" t="s">
        <v>933</v>
      </c>
      <c r="C50" s="9" t="s">
        <v>1247</v>
      </c>
      <c r="D50" s="9" t="s">
        <v>1251</v>
      </c>
      <c r="E50" s="9" t="s">
        <v>1192</v>
      </c>
      <c r="F50" s="9" t="s">
        <v>1196</v>
      </c>
      <c r="G50" s="9" t="n">
        <v>4</v>
      </c>
    </row>
    <row r="51" customFormat="false" ht="15" hidden="false" customHeight="true" outlineLevel="0" collapsed="false">
      <c r="A51" s="9" t="s">
        <v>1246</v>
      </c>
      <c r="B51" s="9" t="s">
        <v>933</v>
      </c>
      <c r="C51" s="9" t="s">
        <v>1247</v>
      </c>
      <c r="D51" s="9" t="s">
        <v>1252</v>
      </c>
      <c r="E51" s="9" t="s">
        <v>1189</v>
      </c>
      <c r="F51" s="9" t="s">
        <v>1178</v>
      </c>
      <c r="G51" s="9" t="n">
        <v>4</v>
      </c>
    </row>
    <row r="52" customFormat="false" ht="15" hidden="false" customHeight="true" outlineLevel="0" collapsed="false">
      <c r="A52" s="9" t="s">
        <v>1246</v>
      </c>
      <c r="B52" s="9" t="s">
        <v>933</v>
      </c>
      <c r="C52" s="9" t="s">
        <v>1247</v>
      </c>
      <c r="D52" s="9" t="s">
        <v>1253</v>
      </c>
      <c r="E52" s="9" t="s">
        <v>1216</v>
      </c>
      <c r="F52" s="9" t="s">
        <v>1190</v>
      </c>
      <c r="G52" s="9" t="n">
        <v>3</v>
      </c>
    </row>
    <row r="53" customFormat="false" ht="15" hidden="false" customHeight="true" outlineLevel="0" collapsed="false">
      <c r="A53" s="9" t="s">
        <v>1246</v>
      </c>
      <c r="B53" s="9" t="s">
        <v>933</v>
      </c>
      <c r="C53" s="9" t="s">
        <v>1247</v>
      </c>
      <c r="D53" s="9" t="s">
        <v>1254</v>
      </c>
      <c r="E53" s="9" t="s">
        <v>1177</v>
      </c>
      <c r="F53" s="9" t="s">
        <v>1196</v>
      </c>
      <c r="G53" s="9" t="n">
        <v>3</v>
      </c>
    </row>
    <row r="54" customFormat="false" ht="15" hidden="false" customHeight="true" outlineLevel="0" collapsed="false">
      <c r="A54" s="9" t="s">
        <v>1246</v>
      </c>
      <c r="B54" s="9" t="s">
        <v>933</v>
      </c>
      <c r="C54" s="9" t="s">
        <v>1247</v>
      </c>
      <c r="D54" s="9" t="s">
        <v>1255</v>
      </c>
      <c r="E54" s="9" t="s">
        <v>1204</v>
      </c>
      <c r="F54" s="9" t="s">
        <v>1182</v>
      </c>
      <c r="G54" s="9" t="n">
        <v>4</v>
      </c>
    </row>
    <row r="55" customFormat="false" ht="15" hidden="false" customHeight="true" outlineLevel="0" collapsed="false">
      <c r="A55" s="9" t="s">
        <v>1246</v>
      </c>
      <c r="B55" s="9" t="s">
        <v>933</v>
      </c>
      <c r="C55" s="9" t="s">
        <v>1247</v>
      </c>
      <c r="D55" s="9" t="s">
        <v>1256</v>
      </c>
      <c r="E55" s="9" t="s">
        <v>1180</v>
      </c>
      <c r="F55" s="9" t="s">
        <v>1187</v>
      </c>
      <c r="G55" s="9" t="n">
        <v>2</v>
      </c>
    </row>
    <row r="56" customFormat="false" ht="15" hidden="false" customHeight="true" outlineLevel="0" collapsed="false">
      <c r="A56" s="9" t="s">
        <v>1246</v>
      </c>
      <c r="B56" s="9" t="s">
        <v>933</v>
      </c>
      <c r="C56" s="9" t="s">
        <v>1247</v>
      </c>
      <c r="D56" s="9" t="s">
        <v>1257</v>
      </c>
      <c r="E56" s="9" t="s">
        <v>1189</v>
      </c>
      <c r="F56" s="9" t="s">
        <v>1178</v>
      </c>
      <c r="G56" s="9" t="n">
        <v>3</v>
      </c>
    </row>
    <row r="57" customFormat="false" ht="15" hidden="false" customHeight="true" outlineLevel="0" collapsed="false">
      <c r="A57" s="9" t="s">
        <v>1246</v>
      </c>
      <c r="B57" s="9" t="s">
        <v>933</v>
      </c>
      <c r="C57" s="9" t="s">
        <v>1247</v>
      </c>
      <c r="D57" s="9" t="s">
        <v>1258</v>
      </c>
      <c r="E57" s="9" t="s">
        <v>1189</v>
      </c>
      <c r="F57" s="9" t="s">
        <v>1190</v>
      </c>
      <c r="G57" s="9" t="n">
        <v>2</v>
      </c>
    </row>
    <row r="58" customFormat="false" ht="15" hidden="false" customHeight="true" outlineLevel="0" collapsed="false">
      <c r="A58" s="9" t="s">
        <v>1246</v>
      </c>
      <c r="B58" s="9" t="s">
        <v>933</v>
      </c>
      <c r="C58" s="9" t="s">
        <v>1247</v>
      </c>
      <c r="D58" s="9" t="s">
        <v>1259</v>
      </c>
      <c r="E58" s="9" t="s">
        <v>1216</v>
      </c>
      <c r="F58" s="9" t="s">
        <v>1196</v>
      </c>
      <c r="G58" s="9" t="n">
        <v>4</v>
      </c>
    </row>
    <row r="59" customFormat="false" ht="15" hidden="false" customHeight="true" outlineLevel="0" collapsed="false">
      <c r="A59" s="9" t="s">
        <v>1260</v>
      </c>
      <c r="B59" s="9" t="s">
        <v>243</v>
      </c>
      <c r="C59" s="9" t="s">
        <v>1261</v>
      </c>
      <c r="D59" s="9" t="s">
        <v>1262</v>
      </c>
      <c r="E59" s="9" t="s">
        <v>1216</v>
      </c>
      <c r="F59" s="9" t="s">
        <v>1190</v>
      </c>
      <c r="G59" s="9" t="n">
        <v>3</v>
      </c>
    </row>
    <row r="60" customFormat="false" ht="15" hidden="false" customHeight="true" outlineLevel="0" collapsed="false">
      <c r="A60" s="9" t="s">
        <v>1260</v>
      </c>
      <c r="B60" s="9" t="s">
        <v>243</v>
      </c>
      <c r="C60" s="9" t="s">
        <v>1261</v>
      </c>
      <c r="D60" s="9" t="s">
        <v>1263</v>
      </c>
      <c r="E60" s="9" t="s">
        <v>1198</v>
      </c>
      <c r="F60" s="9" t="s">
        <v>1182</v>
      </c>
      <c r="G60" s="9"/>
    </row>
    <row r="61" customFormat="false" ht="15" hidden="false" customHeight="true" outlineLevel="0" collapsed="false">
      <c r="A61" s="9" t="s">
        <v>1260</v>
      </c>
      <c r="B61" s="9" t="s">
        <v>243</v>
      </c>
      <c r="C61" s="9" t="s">
        <v>1261</v>
      </c>
      <c r="D61" s="9" t="s">
        <v>1264</v>
      </c>
      <c r="E61" s="9" t="s">
        <v>1189</v>
      </c>
      <c r="F61" s="9" t="s">
        <v>1187</v>
      </c>
      <c r="G61" s="9" t="n">
        <v>3</v>
      </c>
    </row>
    <row r="62" customFormat="false" ht="15" hidden="false" customHeight="true" outlineLevel="0" collapsed="false">
      <c r="A62" s="9" t="s">
        <v>1260</v>
      </c>
      <c r="B62" s="9" t="s">
        <v>243</v>
      </c>
      <c r="C62" s="9" t="s">
        <v>1261</v>
      </c>
      <c r="D62" s="9" t="s">
        <v>1265</v>
      </c>
      <c r="E62" s="9" t="s">
        <v>1180</v>
      </c>
      <c r="F62" s="9" t="s">
        <v>1182</v>
      </c>
      <c r="G62" s="9" t="n">
        <v>2</v>
      </c>
    </row>
    <row r="63" customFormat="false" ht="15" hidden="false" customHeight="true" outlineLevel="0" collapsed="false">
      <c r="A63" s="9" t="s">
        <v>1260</v>
      </c>
      <c r="B63" s="9" t="s">
        <v>243</v>
      </c>
      <c r="C63" s="9" t="s">
        <v>1261</v>
      </c>
      <c r="D63" s="9" t="s">
        <v>1266</v>
      </c>
      <c r="E63" s="9" t="s">
        <v>1189</v>
      </c>
      <c r="F63" s="9" t="s">
        <v>1178</v>
      </c>
      <c r="G63" s="9" t="n">
        <v>3</v>
      </c>
    </row>
    <row r="64" customFormat="false" ht="15" hidden="false" customHeight="true" outlineLevel="0" collapsed="false">
      <c r="A64" s="9" t="s">
        <v>1260</v>
      </c>
      <c r="B64" s="9" t="s">
        <v>243</v>
      </c>
      <c r="C64" s="9" t="s">
        <v>1261</v>
      </c>
      <c r="D64" s="9" t="s">
        <v>1267</v>
      </c>
      <c r="E64" s="9" t="s">
        <v>1186</v>
      </c>
      <c r="F64" s="9" t="s">
        <v>1190</v>
      </c>
      <c r="G64" s="9" t="n">
        <v>3</v>
      </c>
    </row>
    <row r="65" customFormat="false" ht="15" hidden="false" customHeight="true" outlineLevel="0" collapsed="false">
      <c r="A65" s="9" t="s">
        <v>1260</v>
      </c>
      <c r="B65" s="9" t="s">
        <v>243</v>
      </c>
      <c r="C65" s="9" t="s">
        <v>1261</v>
      </c>
      <c r="D65" s="9" t="s">
        <v>1268</v>
      </c>
      <c r="E65" s="9" t="s">
        <v>1180</v>
      </c>
      <c r="F65" s="9" t="s">
        <v>1178</v>
      </c>
      <c r="G65" s="9" t="n">
        <v>3</v>
      </c>
    </row>
    <row r="66" customFormat="false" ht="15" hidden="false" customHeight="true" outlineLevel="0" collapsed="false">
      <c r="A66" s="9" t="s">
        <v>1260</v>
      </c>
      <c r="B66" s="9" t="s">
        <v>243</v>
      </c>
      <c r="C66" s="9" t="s">
        <v>1261</v>
      </c>
      <c r="D66" s="9" t="s">
        <v>1269</v>
      </c>
      <c r="E66" s="9" t="s">
        <v>1186</v>
      </c>
      <c r="F66" s="9" t="s">
        <v>1182</v>
      </c>
      <c r="G66" s="9" t="n">
        <v>2</v>
      </c>
    </row>
    <row r="67" customFormat="false" ht="15" hidden="false" customHeight="true" outlineLevel="0" collapsed="false">
      <c r="A67" s="9" t="s">
        <v>1260</v>
      </c>
      <c r="B67" s="9" t="s">
        <v>243</v>
      </c>
      <c r="C67" s="9" t="s">
        <v>1261</v>
      </c>
      <c r="D67" s="9" t="s">
        <v>1270</v>
      </c>
      <c r="E67" s="9" t="s">
        <v>1189</v>
      </c>
      <c r="F67" s="9" t="s">
        <v>1187</v>
      </c>
      <c r="G67" s="9" t="n">
        <v>2</v>
      </c>
    </row>
    <row r="68" customFormat="false" ht="15" hidden="false" customHeight="true" outlineLevel="0" collapsed="false">
      <c r="A68" s="9" t="s">
        <v>1260</v>
      </c>
      <c r="B68" s="9" t="s">
        <v>243</v>
      </c>
      <c r="C68" s="9" t="s">
        <v>1261</v>
      </c>
      <c r="D68" s="9" t="s">
        <v>1271</v>
      </c>
      <c r="E68" s="9" t="s">
        <v>1216</v>
      </c>
      <c r="F68" s="9" t="s">
        <v>1182</v>
      </c>
      <c r="G68" s="9" t="n">
        <v>2</v>
      </c>
    </row>
    <row r="69" customFormat="false" ht="15" hidden="false" customHeight="true" outlineLevel="0" collapsed="false">
      <c r="A69" s="9" t="s">
        <v>1272</v>
      </c>
      <c r="B69" s="9" t="s">
        <v>997</v>
      </c>
      <c r="C69" s="9" t="s">
        <v>1273</v>
      </c>
      <c r="D69" s="9" t="s">
        <v>1274</v>
      </c>
      <c r="E69" s="9" t="s">
        <v>1192</v>
      </c>
      <c r="F69" s="9" t="s">
        <v>1182</v>
      </c>
      <c r="G69" s="9" t="n">
        <v>2</v>
      </c>
    </row>
    <row r="70" customFormat="false" ht="15" hidden="false" customHeight="true" outlineLevel="0" collapsed="false">
      <c r="A70" s="9" t="s">
        <v>1272</v>
      </c>
      <c r="B70" s="9" t="s">
        <v>997</v>
      </c>
      <c r="C70" s="9" t="s">
        <v>1273</v>
      </c>
      <c r="D70" s="9" t="s">
        <v>1275</v>
      </c>
      <c r="E70" s="9" t="s">
        <v>1180</v>
      </c>
      <c r="F70" s="9" t="s">
        <v>1182</v>
      </c>
      <c r="G70" s="9" t="n">
        <v>2</v>
      </c>
    </row>
    <row r="71" customFormat="false" ht="15" hidden="false" customHeight="true" outlineLevel="0" collapsed="false">
      <c r="A71" s="9" t="s">
        <v>1272</v>
      </c>
      <c r="B71" s="9" t="s">
        <v>997</v>
      </c>
      <c r="C71" s="9" t="s">
        <v>1273</v>
      </c>
      <c r="D71" s="9" t="s">
        <v>1276</v>
      </c>
      <c r="E71" s="9" t="s">
        <v>1216</v>
      </c>
      <c r="F71" s="9" t="s">
        <v>1187</v>
      </c>
      <c r="G71" s="9" t="n">
        <v>2</v>
      </c>
    </row>
    <row r="72" customFormat="false" ht="15" hidden="false" customHeight="true" outlineLevel="0" collapsed="false">
      <c r="A72" s="9" t="s">
        <v>1272</v>
      </c>
      <c r="B72" s="9" t="s">
        <v>997</v>
      </c>
      <c r="C72" s="9" t="s">
        <v>1273</v>
      </c>
      <c r="D72" s="9" t="s">
        <v>1176</v>
      </c>
      <c r="E72" s="9" t="s">
        <v>1277</v>
      </c>
      <c r="F72" s="9" t="s">
        <v>1196</v>
      </c>
      <c r="G72" s="9" t="n">
        <v>2</v>
      </c>
    </row>
    <row r="73" customFormat="false" ht="15" hidden="false" customHeight="true" outlineLevel="0" collapsed="false">
      <c r="A73" s="9" t="s">
        <v>1272</v>
      </c>
      <c r="B73" s="9" t="s">
        <v>997</v>
      </c>
      <c r="C73" s="9" t="s">
        <v>1273</v>
      </c>
      <c r="D73" s="9" t="s">
        <v>1278</v>
      </c>
      <c r="E73" s="9" t="s">
        <v>1192</v>
      </c>
      <c r="F73" s="9" t="s">
        <v>1190</v>
      </c>
      <c r="G73" s="9" t="n">
        <v>6</v>
      </c>
    </row>
    <row r="74" customFormat="false" ht="15" hidden="false" customHeight="true" outlineLevel="0" collapsed="false">
      <c r="A74" s="9" t="s">
        <v>1272</v>
      </c>
      <c r="B74" s="9" t="s">
        <v>997</v>
      </c>
      <c r="C74" s="9" t="s">
        <v>1273</v>
      </c>
      <c r="D74" s="9" t="s">
        <v>1279</v>
      </c>
      <c r="E74" s="9" t="s">
        <v>1216</v>
      </c>
      <c r="F74" s="9" t="s">
        <v>1182</v>
      </c>
      <c r="G74" s="9" t="n">
        <v>2</v>
      </c>
    </row>
    <row r="75" customFormat="false" ht="15" hidden="false" customHeight="true" outlineLevel="0" collapsed="false">
      <c r="A75" s="9" t="s">
        <v>1272</v>
      </c>
      <c r="B75" s="9" t="s">
        <v>997</v>
      </c>
      <c r="C75" s="9" t="s">
        <v>1273</v>
      </c>
      <c r="D75" s="9" t="s">
        <v>1280</v>
      </c>
      <c r="E75" s="9" t="s">
        <v>1189</v>
      </c>
      <c r="F75" s="9" t="s">
        <v>1187</v>
      </c>
      <c r="G75" s="9" t="n">
        <v>6</v>
      </c>
    </row>
    <row r="76" customFormat="false" ht="15" hidden="false" customHeight="true" outlineLevel="0" collapsed="false">
      <c r="A76" s="9" t="s">
        <v>1272</v>
      </c>
      <c r="B76" s="9" t="s">
        <v>997</v>
      </c>
      <c r="C76" s="9" t="s">
        <v>1273</v>
      </c>
      <c r="D76" s="9" t="s">
        <v>1281</v>
      </c>
      <c r="E76" s="9" t="s">
        <v>1189</v>
      </c>
      <c r="F76" s="9" t="s">
        <v>1182</v>
      </c>
      <c r="G76" s="9" t="n">
        <v>3</v>
      </c>
    </row>
    <row r="77" customFormat="false" ht="15" hidden="false" customHeight="true" outlineLevel="0" collapsed="false">
      <c r="A77" s="9" t="s">
        <v>1282</v>
      </c>
      <c r="B77" s="9" t="s">
        <v>1114</v>
      </c>
      <c r="C77" s="9" t="s">
        <v>1283</v>
      </c>
      <c r="D77" s="9" t="s">
        <v>1284</v>
      </c>
      <c r="E77" s="9" t="s">
        <v>1186</v>
      </c>
      <c r="F77" s="9" t="s">
        <v>1190</v>
      </c>
      <c r="G77" s="9" t="n">
        <v>3</v>
      </c>
    </row>
    <row r="78" customFormat="false" ht="15" hidden="false" customHeight="true" outlineLevel="0" collapsed="false">
      <c r="A78" s="9" t="s">
        <v>1282</v>
      </c>
      <c r="B78" s="9" t="s">
        <v>1114</v>
      </c>
      <c r="C78" s="9" t="s">
        <v>1283</v>
      </c>
      <c r="D78" s="9" t="s">
        <v>1285</v>
      </c>
      <c r="E78" s="9" t="s">
        <v>1198</v>
      </c>
      <c r="F78" s="9" t="s">
        <v>1196</v>
      </c>
      <c r="G78" s="9" t="n">
        <v>2</v>
      </c>
    </row>
    <row r="79" customFormat="false" ht="15" hidden="false" customHeight="true" outlineLevel="0" collapsed="false">
      <c r="A79" s="9" t="s">
        <v>1282</v>
      </c>
      <c r="B79" s="9" t="s">
        <v>1114</v>
      </c>
      <c r="C79" s="9" t="s">
        <v>1283</v>
      </c>
      <c r="D79" s="9" t="s">
        <v>1286</v>
      </c>
      <c r="E79" s="9" t="s">
        <v>1177</v>
      </c>
      <c r="F79" s="9" t="s">
        <v>1187</v>
      </c>
      <c r="G79" s="9" t="n">
        <v>2</v>
      </c>
    </row>
    <row r="80" customFormat="false" ht="15" hidden="false" customHeight="true" outlineLevel="0" collapsed="false">
      <c r="A80" s="9" t="s">
        <v>1287</v>
      </c>
      <c r="B80" s="9" t="s">
        <v>1156</v>
      </c>
      <c r="C80" s="9" t="s">
        <v>1288</v>
      </c>
      <c r="D80" s="9" t="s">
        <v>1289</v>
      </c>
      <c r="E80" s="9" t="s">
        <v>1180</v>
      </c>
      <c r="F80" s="9" t="s">
        <v>1187</v>
      </c>
      <c r="G80" s="9" t="n">
        <v>4</v>
      </c>
    </row>
    <row r="81" customFormat="false" ht="15" hidden="false" customHeight="true" outlineLevel="0" collapsed="false">
      <c r="A81" s="9" t="s">
        <v>1290</v>
      </c>
      <c r="B81" s="9" t="s">
        <v>868</v>
      </c>
      <c r="C81" s="9" t="s">
        <v>1291</v>
      </c>
      <c r="D81" s="9" t="s">
        <v>1292</v>
      </c>
      <c r="E81" s="9" t="s">
        <v>1216</v>
      </c>
      <c r="F81" s="9" t="s">
        <v>1187</v>
      </c>
      <c r="G81" s="9" t="n">
        <v>4</v>
      </c>
    </row>
    <row r="82" customFormat="false" ht="15" hidden="false" customHeight="true" outlineLevel="0" collapsed="false">
      <c r="A82" s="9" t="s">
        <v>1290</v>
      </c>
      <c r="B82" s="9" t="s">
        <v>868</v>
      </c>
      <c r="C82" s="9" t="s">
        <v>1291</v>
      </c>
      <c r="D82" s="9" t="s">
        <v>1293</v>
      </c>
      <c r="E82" s="9" t="s">
        <v>1192</v>
      </c>
      <c r="F82" s="9" t="s">
        <v>1182</v>
      </c>
      <c r="G82" s="9" t="n">
        <v>2</v>
      </c>
    </row>
    <row r="83" customFormat="false" ht="15" hidden="false" customHeight="true" outlineLevel="0" collapsed="false">
      <c r="A83" s="9" t="s">
        <v>1290</v>
      </c>
      <c r="B83" s="9" t="s">
        <v>868</v>
      </c>
      <c r="C83" s="9" t="s">
        <v>1291</v>
      </c>
      <c r="D83" s="9" t="s">
        <v>1294</v>
      </c>
      <c r="E83" s="9" t="s">
        <v>1180</v>
      </c>
      <c r="F83" s="9" t="s">
        <v>1190</v>
      </c>
      <c r="G83" s="9" t="n">
        <v>4</v>
      </c>
    </row>
    <row r="84" customFormat="false" ht="15" hidden="false" customHeight="true" outlineLevel="0" collapsed="false">
      <c r="A84" s="9" t="s">
        <v>1295</v>
      </c>
      <c r="B84" s="9" t="s">
        <v>595</v>
      </c>
      <c r="C84" s="9" t="s">
        <v>1296</v>
      </c>
      <c r="D84" s="9" t="s">
        <v>1297</v>
      </c>
      <c r="E84" s="9" t="s">
        <v>1186</v>
      </c>
      <c r="F84" s="9" t="s">
        <v>1182</v>
      </c>
      <c r="G84" s="9" t="n">
        <v>4</v>
      </c>
    </row>
    <row r="85" customFormat="false" ht="15" hidden="false" customHeight="true" outlineLevel="0" collapsed="false">
      <c r="A85" s="9" t="s">
        <v>1295</v>
      </c>
      <c r="B85" s="9" t="s">
        <v>595</v>
      </c>
      <c r="C85" s="9" t="s">
        <v>1296</v>
      </c>
      <c r="D85" s="9" t="s">
        <v>1298</v>
      </c>
      <c r="E85" s="9" t="s">
        <v>1192</v>
      </c>
      <c r="F85" s="9" t="s">
        <v>1182</v>
      </c>
      <c r="G85" s="9"/>
    </row>
    <row r="86" customFormat="false" ht="15" hidden="false" customHeight="true" outlineLevel="0" collapsed="false">
      <c r="A86" s="9" t="s">
        <v>1295</v>
      </c>
      <c r="B86" s="9" t="s">
        <v>595</v>
      </c>
      <c r="C86" s="9" t="s">
        <v>1296</v>
      </c>
      <c r="D86" s="9" t="s">
        <v>1299</v>
      </c>
      <c r="E86" s="9" t="s">
        <v>1216</v>
      </c>
      <c r="F86" s="9" t="s">
        <v>1196</v>
      </c>
      <c r="G86" s="9" t="n">
        <v>4</v>
      </c>
    </row>
    <row r="87" customFormat="false" ht="15" hidden="false" customHeight="true" outlineLevel="0" collapsed="false">
      <c r="A87" s="9" t="s">
        <v>1295</v>
      </c>
      <c r="B87" s="9" t="s">
        <v>595</v>
      </c>
      <c r="C87" s="9" t="s">
        <v>1296</v>
      </c>
      <c r="D87" s="9" t="s">
        <v>1300</v>
      </c>
      <c r="E87" s="9" t="s">
        <v>1177</v>
      </c>
      <c r="F87" s="9" t="s">
        <v>1196</v>
      </c>
      <c r="G87" s="9"/>
    </row>
    <row r="88" customFormat="false" ht="15" hidden="false" customHeight="true" outlineLevel="0" collapsed="false">
      <c r="A88" s="9" t="s">
        <v>1295</v>
      </c>
      <c r="B88" s="9" t="s">
        <v>595</v>
      </c>
      <c r="C88" s="9" t="s">
        <v>1296</v>
      </c>
      <c r="D88" s="9" t="s">
        <v>1221</v>
      </c>
      <c r="E88" s="9" t="s">
        <v>1198</v>
      </c>
      <c r="F88" s="9" t="s">
        <v>1182</v>
      </c>
      <c r="G88" s="9" t="n">
        <v>2</v>
      </c>
    </row>
    <row r="89" customFormat="false" ht="15" hidden="false" customHeight="true" outlineLevel="0" collapsed="false">
      <c r="A89" s="9" t="s">
        <v>1295</v>
      </c>
      <c r="B89" s="9" t="s">
        <v>595</v>
      </c>
      <c r="C89" s="9" t="s">
        <v>1296</v>
      </c>
      <c r="D89" s="9" t="s">
        <v>1301</v>
      </c>
      <c r="E89" s="9" t="s">
        <v>1189</v>
      </c>
      <c r="F89" s="9" t="s">
        <v>1178</v>
      </c>
      <c r="G89" s="9" t="n">
        <v>3</v>
      </c>
    </row>
    <row r="90" customFormat="false" ht="15" hidden="false" customHeight="true" outlineLevel="0" collapsed="false">
      <c r="A90" s="9" t="s">
        <v>1295</v>
      </c>
      <c r="B90" s="9" t="s">
        <v>595</v>
      </c>
      <c r="C90" s="9" t="s">
        <v>1296</v>
      </c>
      <c r="D90" s="9" t="s">
        <v>1302</v>
      </c>
      <c r="E90" s="9" t="s">
        <v>1177</v>
      </c>
      <c r="F90" s="9" t="s">
        <v>1178</v>
      </c>
      <c r="G90" s="9" t="n">
        <v>5</v>
      </c>
    </row>
    <row r="91" customFormat="false" ht="15" hidden="false" customHeight="true" outlineLevel="0" collapsed="false">
      <c r="A91" s="9" t="s">
        <v>1295</v>
      </c>
      <c r="B91" s="9" t="s">
        <v>595</v>
      </c>
      <c r="C91" s="9" t="s">
        <v>1296</v>
      </c>
      <c r="D91" s="9" t="s">
        <v>1303</v>
      </c>
      <c r="E91" s="9" t="s">
        <v>1216</v>
      </c>
      <c r="F91" s="9" t="s">
        <v>1196</v>
      </c>
      <c r="G91" s="9" t="n">
        <v>2</v>
      </c>
    </row>
    <row r="92" customFormat="false" ht="15" hidden="false" customHeight="true" outlineLevel="0" collapsed="false">
      <c r="A92" s="9" t="s">
        <v>1295</v>
      </c>
      <c r="B92" s="9" t="s">
        <v>595</v>
      </c>
      <c r="C92" s="9" t="s">
        <v>1296</v>
      </c>
      <c r="D92" s="9" t="s">
        <v>1304</v>
      </c>
      <c r="E92" s="9" t="s">
        <v>1186</v>
      </c>
      <c r="F92" s="9" t="s">
        <v>1182</v>
      </c>
      <c r="G92" s="9" t="n">
        <v>2</v>
      </c>
    </row>
    <row r="93" customFormat="false" ht="15" hidden="false" customHeight="true" outlineLevel="0" collapsed="false">
      <c r="A93" s="9" t="s">
        <v>1295</v>
      </c>
      <c r="B93" s="9" t="s">
        <v>595</v>
      </c>
      <c r="C93" s="9" t="s">
        <v>1296</v>
      </c>
      <c r="D93" s="9" t="s">
        <v>1305</v>
      </c>
      <c r="E93" s="9" t="s">
        <v>1177</v>
      </c>
      <c r="F93" s="9" t="s">
        <v>1190</v>
      </c>
      <c r="G93" s="9" t="n">
        <v>4</v>
      </c>
    </row>
    <row r="94" customFormat="false" ht="15" hidden="false" customHeight="true" outlineLevel="0" collapsed="false">
      <c r="A94" s="9" t="s">
        <v>1295</v>
      </c>
      <c r="B94" s="9" t="s">
        <v>595</v>
      </c>
      <c r="C94" s="9" t="s">
        <v>1296</v>
      </c>
      <c r="D94" s="9" t="s">
        <v>1306</v>
      </c>
      <c r="E94" s="9" t="s">
        <v>1192</v>
      </c>
      <c r="F94" s="9" t="s">
        <v>1178</v>
      </c>
      <c r="G94" s="9" t="n">
        <v>3</v>
      </c>
    </row>
    <row r="95" customFormat="false" ht="15" hidden="false" customHeight="true" outlineLevel="0" collapsed="false">
      <c r="A95" s="9" t="s">
        <v>1295</v>
      </c>
      <c r="B95" s="9" t="s">
        <v>595</v>
      </c>
      <c r="C95" s="9" t="s">
        <v>1296</v>
      </c>
      <c r="D95" s="9" t="s">
        <v>1307</v>
      </c>
      <c r="E95" s="9" t="s">
        <v>1204</v>
      </c>
      <c r="F95" s="9" t="s">
        <v>1178</v>
      </c>
      <c r="G95" s="9" t="n">
        <v>2</v>
      </c>
    </row>
    <row r="96" customFormat="false" ht="15" hidden="false" customHeight="true" outlineLevel="0" collapsed="false">
      <c r="A96" s="9" t="s">
        <v>1308</v>
      </c>
      <c r="B96" s="9" t="s">
        <v>422</v>
      </c>
      <c r="C96" s="9" t="s">
        <v>1309</v>
      </c>
      <c r="D96" s="9" t="s">
        <v>1310</v>
      </c>
      <c r="E96" s="9" t="s">
        <v>1204</v>
      </c>
      <c r="F96" s="9" t="s">
        <v>1196</v>
      </c>
      <c r="G96" s="9" t="n">
        <v>3</v>
      </c>
    </row>
    <row r="97" customFormat="false" ht="15" hidden="false" customHeight="true" outlineLevel="0" collapsed="false">
      <c r="A97" s="9" t="s">
        <v>1308</v>
      </c>
      <c r="B97" s="9" t="s">
        <v>422</v>
      </c>
      <c r="C97" s="9" t="s">
        <v>1309</v>
      </c>
      <c r="D97" s="9" t="s">
        <v>1304</v>
      </c>
      <c r="E97" s="9" t="s">
        <v>1177</v>
      </c>
      <c r="F97" s="9" t="s">
        <v>1178</v>
      </c>
      <c r="G97" s="9" t="n">
        <v>2</v>
      </c>
    </row>
    <row r="98" customFormat="false" ht="15" hidden="false" customHeight="true" outlineLevel="0" collapsed="false">
      <c r="A98" s="9" t="s">
        <v>1311</v>
      </c>
      <c r="B98" s="9" t="s">
        <v>414</v>
      </c>
      <c r="C98" s="9" t="s">
        <v>1312</v>
      </c>
      <c r="D98" s="9" t="s">
        <v>1313</v>
      </c>
      <c r="E98" s="9" t="s">
        <v>1177</v>
      </c>
      <c r="F98" s="9" t="s">
        <v>1190</v>
      </c>
      <c r="G98" s="9" t="n">
        <v>3</v>
      </c>
    </row>
    <row r="99" customFormat="false" ht="15" hidden="false" customHeight="true" outlineLevel="0" collapsed="false">
      <c r="A99" s="9" t="s">
        <v>1311</v>
      </c>
      <c r="B99" s="9" t="s">
        <v>414</v>
      </c>
      <c r="C99" s="9" t="s">
        <v>1312</v>
      </c>
      <c r="D99" s="9" t="s">
        <v>1314</v>
      </c>
      <c r="E99" s="9" t="s">
        <v>1192</v>
      </c>
      <c r="F99" s="9" t="s">
        <v>1178</v>
      </c>
      <c r="G99" s="9" t="n">
        <v>2</v>
      </c>
    </row>
    <row r="100" customFormat="false" ht="15" hidden="false" customHeight="true" outlineLevel="0" collapsed="false">
      <c r="A100" s="9" t="s">
        <v>1311</v>
      </c>
      <c r="B100" s="9" t="s">
        <v>414</v>
      </c>
      <c r="C100" s="9" t="s">
        <v>1312</v>
      </c>
      <c r="D100" s="9" t="s">
        <v>1315</v>
      </c>
      <c r="E100" s="9" t="s">
        <v>1192</v>
      </c>
      <c r="F100" s="9" t="s">
        <v>1178</v>
      </c>
      <c r="G100" s="9" t="n">
        <v>2</v>
      </c>
    </row>
    <row r="101" customFormat="false" ht="15" hidden="false" customHeight="true" outlineLevel="0" collapsed="false">
      <c r="A101" s="9" t="s">
        <v>1311</v>
      </c>
      <c r="B101" s="9" t="s">
        <v>414</v>
      </c>
      <c r="C101" s="9" t="s">
        <v>1312</v>
      </c>
      <c r="D101" s="9" t="s">
        <v>1242</v>
      </c>
      <c r="E101" s="9" t="s">
        <v>1204</v>
      </c>
      <c r="F101" s="9" t="s">
        <v>1187</v>
      </c>
      <c r="G101" s="9" t="n">
        <v>3</v>
      </c>
    </row>
    <row r="102" customFormat="false" ht="15" hidden="false" customHeight="true" outlineLevel="0" collapsed="false">
      <c r="A102" s="9" t="s">
        <v>1311</v>
      </c>
      <c r="B102" s="9" t="s">
        <v>414</v>
      </c>
      <c r="C102" s="9" t="s">
        <v>1312</v>
      </c>
      <c r="D102" s="9" t="s">
        <v>1316</v>
      </c>
      <c r="E102" s="9" t="s">
        <v>1216</v>
      </c>
      <c r="F102" s="9" t="s">
        <v>1178</v>
      </c>
      <c r="G102" s="9" t="n">
        <v>2</v>
      </c>
    </row>
    <row r="103" customFormat="false" ht="15" hidden="false" customHeight="true" outlineLevel="0" collapsed="false">
      <c r="A103" s="9" t="s">
        <v>1311</v>
      </c>
      <c r="B103" s="9" t="s">
        <v>414</v>
      </c>
      <c r="C103" s="9" t="s">
        <v>1312</v>
      </c>
      <c r="D103" s="9" t="s">
        <v>1317</v>
      </c>
      <c r="E103" s="9" t="s">
        <v>1177</v>
      </c>
      <c r="F103" s="9" t="s">
        <v>1190</v>
      </c>
      <c r="G103" s="9" t="n">
        <v>2</v>
      </c>
    </row>
    <row r="104" customFormat="false" ht="15" hidden="false" customHeight="true" outlineLevel="0" collapsed="false">
      <c r="A104" s="9" t="s">
        <v>1311</v>
      </c>
      <c r="B104" s="9" t="s">
        <v>414</v>
      </c>
      <c r="C104" s="9" t="s">
        <v>1312</v>
      </c>
      <c r="D104" s="9" t="s">
        <v>1318</v>
      </c>
      <c r="E104" s="9" t="s">
        <v>1192</v>
      </c>
      <c r="F104" s="9" t="s">
        <v>1178</v>
      </c>
      <c r="G104" s="9" t="n">
        <v>3</v>
      </c>
    </row>
    <row r="105" customFormat="false" ht="15" hidden="false" customHeight="true" outlineLevel="0" collapsed="false">
      <c r="A105" s="9" t="s">
        <v>1311</v>
      </c>
      <c r="B105" s="9" t="s">
        <v>414</v>
      </c>
      <c r="C105" s="9" t="s">
        <v>1312</v>
      </c>
      <c r="D105" s="9" t="s">
        <v>1319</v>
      </c>
      <c r="E105" s="9" t="s">
        <v>1216</v>
      </c>
      <c r="F105" s="9" t="s">
        <v>1187</v>
      </c>
      <c r="G105" s="9" t="n">
        <v>6</v>
      </c>
    </row>
    <row r="106" customFormat="false" ht="15" hidden="false" customHeight="true" outlineLevel="0" collapsed="false">
      <c r="A106" s="9" t="s">
        <v>1311</v>
      </c>
      <c r="B106" s="9" t="s">
        <v>414</v>
      </c>
      <c r="C106" s="9" t="s">
        <v>1312</v>
      </c>
      <c r="D106" s="9" t="s">
        <v>1320</v>
      </c>
      <c r="E106" s="9" t="s">
        <v>1216</v>
      </c>
      <c r="F106" s="9" t="s">
        <v>1190</v>
      </c>
      <c r="G106" s="9" t="n">
        <v>3</v>
      </c>
    </row>
    <row r="107" customFormat="false" ht="15" hidden="false" customHeight="true" outlineLevel="0" collapsed="false">
      <c r="A107" s="9" t="s">
        <v>1311</v>
      </c>
      <c r="B107" s="9" t="s">
        <v>414</v>
      </c>
      <c r="C107" s="9" t="s">
        <v>1312</v>
      </c>
      <c r="D107" s="9" t="s">
        <v>1321</v>
      </c>
      <c r="E107" s="9" t="s">
        <v>1192</v>
      </c>
      <c r="F107" s="9" t="s">
        <v>1178</v>
      </c>
      <c r="G107" s="9" t="n">
        <v>3</v>
      </c>
    </row>
    <row r="108" customFormat="false" ht="15" hidden="false" customHeight="true" outlineLevel="0" collapsed="false">
      <c r="A108" s="9" t="s">
        <v>1322</v>
      </c>
      <c r="B108" s="9" t="s">
        <v>648</v>
      </c>
      <c r="C108" s="9" t="s">
        <v>1323</v>
      </c>
      <c r="D108" s="9" t="s">
        <v>1324</v>
      </c>
      <c r="E108" s="9" t="s">
        <v>1180</v>
      </c>
      <c r="F108" s="9" t="s">
        <v>1187</v>
      </c>
      <c r="G108" s="9" t="n">
        <v>6</v>
      </c>
    </row>
    <row r="109" customFormat="false" ht="15" hidden="false" customHeight="true" outlineLevel="0" collapsed="false">
      <c r="A109" s="9" t="s">
        <v>1322</v>
      </c>
      <c r="B109" s="9" t="s">
        <v>648</v>
      </c>
      <c r="C109" s="9" t="s">
        <v>1323</v>
      </c>
      <c r="D109" s="9" t="s">
        <v>1325</v>
      </c>
      <c r="E109" s="9" t="s">
        <v>1198</v>
      </c>
      <c r="F109" s="9" t="s">
        <v>1190</v>
      </c>
      <c r="G109" s="9" t="n">
        <v>2</v>
      </c>
    </row>
    <row r="110" customFormat="false" ht="15" hidden="false" customHeight="true" outlineLevel="0" collapsed="false">
      <c r="A110" s="9" t="s">
        <v>1322</v>
      </c>
      <c r="B110" s="9" t="s">
        <v>648</v>
      </c>
      <c r="C110" s="9" t="s">
        <v>1323</v>
      </c>
      <c r="D110" s="9" t="s">
        <v>1326</v>
      </c>
      <c r="E110" s="9" t="s">
        <v>1216</v>
      </c>
      <c r="F110" s="9" t="s">
        <v>1182</v>
      </c>
      <c r="G110" s="9" t="n">
        <v>6</v>
      </c>
    </row>
    <row r="111" customFormat="false" ht="15" hidden="false" customHeight="true" outlineLevel="0" collapsed="false">
      <c r="A111" s="9" t="s">
        <v>1322</v>
      </c>
      <c r="B111" s="9" t="s">
        <v>648</v>
      </c>
      <c r="C111" s="9" t="s">
        <v>1323</v>
      </c>
      <c r="D111" s="9" t="s">
        <v>1327</v>
      </c>
      <c r="E111" s="9" t="s">
        <v>1186</v>
      </c>
      <c r="F111" s="9" t="s">
        <v>1182</v>
      </c>
      <c r="G111" s="9" t="n">
        <v>2</v>
      </c>
    </row>
    <row r="112" customFormat="false" ht="15" hidden="false" customHeight="true" outlineLevel="0" collapsed="false">
      <c r="A112" s="9" t="s">
        <v>1322</v>
      </c>
      <c r="B112" s="9" t="s">
        <v>648</v>
      </c>
      <c r="C112" s="9" t="s">
        <v>1323</v>
      </c>
      <c r="D112" s="9" t="s">
        <v>1328</v>
      </c>
      <c r="E112" s="9" t="s">
        <v>1277</v>
      </c>
      <c r="F112" s="9" t="s">
        <v>1182</v>
      </c>
      <c r="G112" s="9" t="n">
        <v>4</v>
      </c>
    </row>
    <row r="113" customFormat="false" ht="15" hidden="false" customHeight="true" outlineLevel="0" collapsed="false">
      <c r="A113" s="9" t="s">
        <v>1322</v>
      </c>
      <c r="B113" s="9" t="s">
        <v>648</v>
      </c>
      <c r="C113" s="9" t="s">
        <v>1323</v>
      </c>
      <c r="D113" s="9" t="s">
        <v>1329</v>
      </c>
      <c r="E113" s="9" t="s">
        <v>1177</v>
      </c>
      <c r="F113" s="9" t="s">
        <v>1190</v>
      </c>
      <c r="G113" s="9" t="n">
        <v>3</v>
      </c>
    </row>
    <row r="114" customFormat="false" ht="15" hidden="false" customHeight="true" outlineLevel="0" collapsed="false">
      <c r="A114" s="9" t="s">
        <v>1322</v>
      </c>
      <c r="B114" s="9" t="s">
        <v>648</v>
      </c>
      <c r="C114" s="9" t="s">
        <v>1323</v>
      </c>
      <c r="D114" s="9" t="s">
        <v>1330</v>
      </c>
      <c r="E114" s="9" t="s">
        <v>1189</v>
      </c>
      <c r="F114" s="9" t="s">
        <v>1178</v>
      </c>
      <c r="G114" s="9" t="n">
        <v>2</v>
      </c>
    </row>
    <row r="115" customFormat="false" ht="15" hidden="false" customHeight="true" outlineLevel="0" collapsed="false">
      <c r="A115" s="9" t="s">
        <v>1322</v>
      </c>
      <c r="B115" s="9" t="s">
        <v>648</v>
      </c>
      <c r="C115" s="9" t="s">
        <v>1323</v>
      </c>
      <c r="D115" s="9" t="s">
        <v>1197</v>
      </c>
      <c r="E115" s="9" t="s">
        <v>1180</v>
      </c>
      <c r="F115" s="9" t="s">
        <v>1182</v>
      </c>
      <c r="G115" s="9" t="n">
        <v>5</v>
      </c>
    </row>
    <row r="116" customFormat="false" ht="15" hidden="false" customHeight="true" outlineLevel="0" collapsed="false">
      <c r="A116" s="9" t="s">
        <v>1322</v>
      </c>
      <c r="B116" s="9" t="s">
        <v>648</v>
      </c>
      <c r="C116" s="9" t="s">
        <v>1323</v>
      </c>
      <c r="D116" s="9" t="s">
        <v>1331</v>
      </c>
      <c r="E116" s="9" t="s">
        <v>1216</v>
      </c>
      <c r="F116" s="9" t="s">
        <v>1187</v>
      </c>
      <c r="G116" s="9" t="n">
        <v>3</v>
      </c>
    </row>
    <row r="117" customFormat="false" ht="15" hidden="false" customHeight="true" outlineLevel="0" collapsed="false">
      <c r="A117" s="9" t="s">
        <v>1322</v>
      </c>
      <c r="B117" s="9" t="s">
        <v>648</v>
      </c>
      <c r="C117" s="9" t="s">
        <v>1323</v>
      </c>
      <c r="D117" s="9" t="s">
        <v>1332</v>
      </c>
      <c r="E117" s="9" t="s">
        <v>1198</v>
      </c>
      <c r="F117" s="9" t="s">
        <v>1190</v>
      </c>
      <c r="G117" s="9" t="n">
        <v>2</v>
      </c>
    </row>
    <row r="118" customFormat="false" ht="15" hidden="false" customHeight="true" outlineLevel="0" collapsed="false">
      <c r="A118" s="9" t="s">
        <v>1333</v>
      </c>
      <c r="B118" s="9" t="s">
        <v>1159</v>
      </c>
      <c r="C118" s="9" t="s">
        <v>1334</v>
      </c>
      <c r="D118" s="9" t="s">
        <v>1335</v>
      </c>
      <c r="E118" s="9" t="s">
        <v>1204</v>
      </c>
      <c r="F118" s="9" t="s">
        <v>1190</v>
      </c>
      <c r="G118" s="9" t="n">
        <v>2</v>
      </c>
    </row>
    <row r="119" customFormat="false" ht="15" hidden="false" customHeight="true" outlineLevel="0" collapsed="false">
      <c r="A119" s="9" t="s">
        <v>1336</v>
      </c>
      <c r="B119" s="9" t="s">
        <v>966</v>
      </c>
      <c r="C119" s="9" t="s">
        <v>1337</v>
      </c>
      <c r="D119" s="9" t="s">
        <v>1338</v>
      </c>
      <c r="E119" s="9" t="s">
        <v>1180</v>
      </c>
      <c r="F119" s="9" t="s">
        <v>1182</v>
      </c>
      <c r="G119" s="9" t="n">
        <v>3</v>
      </c>
    </row>
    <row r="120" customFormat="false" ht="15" hidden="false" customHeight="true" outlineLevel="0" collapsed="false">
      <c r="A120" s="9" t="s">
        <v>1336</v>
      </c>
      <c r="B120" s="9" t="s">
        <v>966</v>
      </c>
      <c r="C120" s="9" t="s">
        <v>1337</v>
      </c>
      <c r="D120" s="9" t="s">
        <v>1339</v>
      </c>
      <c r="E120" s="9" t="s">
        <v>1180</v>
      </c>
      <c r="F120" s="9" t="s">
        <v>1190</v>
      </c>
      <c r="G120" s="9" t="n">
        <v>2</v>
      </c>
    </row>
    <row r="121" customFormat="false" ht="15" hidden="false" customHeight="true" outlineLevel="0" collapsed="false">
      <c r="A121" s="9" t="s">
        <v>1336</v>
      </c>
      <c r="B121" s="9" t="s">
        <v>966</v>
      </c>
      <c r="C121" s="9" t="s">
        <v>1337</v>
      </c>
      <c r="D121" s="9" t="s">
        <v>1340</v>
      </c>
      <c r="E121" s="9" t="s">
        <v>1186</v>
      </c>
      <c r="F121" s="9" t="s">
        <v>1187</v>
      </c>
      <c r="G121" s="9" t="n">
        <v>4</v>
      </c>
    </row>
    <row r="122" customFormat="false" ht="15" hidden="false" customHeight="true" outlineLevel="0" collapsed="false">
      <c r="A122" s="9" t="s">
        <v>1341</v>
      </c>
      <c r="B122" s="9" t="s">
        <v>1107</v>
      </c>
      <c r="C122" s="9" t="s">
        <v>1342</v>
      </c>
      <c r="D122" s="9" t="s">
        <v>1343</v>
      </c>
      <c r="E122" s="9" t="s">
        <v>1204</v>
      </c>
      <c r="F122" s="9" t="s">
        <v>1178</v>
      </c>
      <c r="G122" s="9" t="n">
        <v>3</v>
      </c>
    </row>
    <row r="123" customFormat="false" ht="15" hidden="false" customHeight="true" outlineLevel="0" collapsed="false">
      <c r="A123" s="9" t="s">
        <v>1341</v>
      </c>
      <c r="B123" s="9" t="s">
        <v>1107</v>
      </c>
      <c r="C123" s="9" t="s">
        <v>1342</v>
      </c>
      <c r="D123" s="9" t="s">
        <v>1344</v>
      </c>
      <c r="E123" s="9" t="s">
        <v>1204</v>
      </c>
      <c r="F123" s="9" t="s">
        <v>1190</v>
      </c>
      <c r="G123" s="9" t="n">
        <v>2</v>
      </c>
    </row>
    <row r="124" customFormat="false" ht="15" hidden="false" customHeight="true" outlineLevel="0" collapsed="false">
      <c r="A124" s="9" t="s">
        <v>1341</v>
      </c>
      <c r="B124" s="9" t="s">
        <v>1107</v>
      </c>
      <c r="C124" s="9" t="s">
        <v>1342</v>
      </c>
      <c r="D124" s="9" t="s">
        <v>1345</v>
      </c>
      <c r="E124" s="9" t="s">
        <v>1186</v>
      </c>
      <c r="F124" s="9" t="s">
        <v>1182</v>
      </c>
      <c r="G124" s="9" t="n">
        <v>2</v>
      </c>
    </row>
    <row r="125" customFormat="false" ht="15" hidden="false" customHeight="true" outlineLevel="0" collapsed="false">
      <c r="A125" s="9" t="s">
        <v>1346</v>
      </c>
      <c r="B125" s="9" t="s">
        <v>532</v>
      </c>
      <c r="C125" s="9" t="s">
        <v>1347</v>
      </c>
      <c r="D125" s="9" t="s">
        <v>1348</v>
      </c>
      <c r="E125" s="9" t="s">
        <v>1198</v>
      </c>
      <c r="F125" s="9" t="s">
        <v>1178</v>
      </c>
      <c r="G125" s="9" t="n">
        <v>2</v>
      </c>
    </row>
    <row r="126" customFormat="false" ht="15" hidden="false" customHeight="true" outlineLevel="0" collapsed="false">
      <c r="A126" s="9" t="s">
        <v>1349</v>
      </c>
      <c r="B126" s="9" t="s">
        <v>892</v>
      </c>
      <c r="C126" s="9" t="s">
        <v>1350</v>
      </c>
      <c r="D126" s="9" t="s">
        <v>1351</v>
      </c>
      <c r="E126" s="9" t="s">
        <v>1216</v>
      </c>
      <c r="F126" s="9" t="s">
        <v>1182</v>
      </c>
      <c r="G126" s="9" t="n">
        <v>2</v>
      </c>
    </row>
    <row r="127" customFormat="false" ht="15" hidden="false" customHeight="true" outlineLevel="0" collapsed="false">
      <c r="A127" s="9" t="s">
        <v>1349</v>
      </c>
      <c r="B127" s="9" t="s">
        <v>892</v>
      </c>
      <c r="C127" s="9" t="s">
        <v>1350</v>
      </c>
      <c r="D127" s="9" t="s">
        <v>1352</v>
      </c>
      <c r="E127" s="9" t="s">
        <v>1186</v>
      </c>
      <c r="F127" s="9" t="s">
        <v>1190</v>
      </c>
      <c r="G127" s="9" t="n">
        <v>3</v>
      </c>
    </row>
    <row r="128" customFormat="false" ht="15" hidden="false" customHeight="true" outlineLevel="0" collapsed="false">
      <c r="A128" s="9" t="s">
        <v>1349</v>
      </c>
      <c r="B128" s="9" t="s">
        <v>892</v>
      </c>
      <c r="C128" s="9" t="s">
        <v>1350</v>
      </c>
      <c r="D128" s="9" t="s">
        <v>1275</v>
      </c>
      <c r="E128" s="9" t="s">
        <v>1177</v>
      </c>
      <c r="F128" s="9" t="s">
        <v>1178</v>
      </c>
      <c r="G128" s="9" t="n">
        <v>2</v>
      </c>
    </row>
    <row r="129" customFormat="false" ht="15" hidden="false" customHeight="true" outlineLevel="0" collapsed="false">
      <c r="A129" s="9" t="s">
        <v>1349</v>
      </c>
      <c r="B129" s="9" t="s">
        <v>892</v>
      </c>
      <c r="C129" s="9" t="s">
        <v>1350</v>
      </c>
      <c r="D129" s="9" t="s">
        <v>1353</v>
      </c>
      <c r="E129" s="9" t="s">
        <v>1198</v>
      </c>
      <c r="F129" s="9" t="s">
        <v>1190</v>
      </c>
      <c r="G129" s="9" t="n">
        <v>2</v>
      </c>
    </row>
    <row r="130" customFormat="false" ht="15" hidden="false" customHeight="true" outlineLevel="0" collapsed="false">
      <c r="A130" s="9" t="s">
        <v>1349</v>
      </c>
      <c r="B130" s="9" t="s">
        <v>892</v>
      </c>
      <c r="C130" s="9" t="s">
        <v>1350</v>
      </c>
      <c r="D130" s="9" t="s">
        <v>1354</v>
      </c>
      <c r="E130" s="9" t="s">
        <v>1198</v>
      </c>
      <c r="F130" s="9" t="s">
        <v>1196</v>
      </c>
      <c r="G130" s="9" t="n">
        <v>3</v>
      </c>
    </row>
    <row r="131" customFormat="false" ht="15" hidden="false" customHeight="true" outlineLevel="0" collapsed="false">
      <c r="A131" s="9" t="s">
        <v>1349</v>
      </c>
      <c r="B131" s="9" t="s">
        <v>892</v>
      </c>
      <c r="C131" s="9" t="s">
        <v>1350</v>
      </c>
      <c r="D131" s="9" t="s">
        <v>1355</v>
      </c>
      <c r="E131" s="9" t="s">
        <v>1180</v>
      </c>
      <c r="F131" s="9" t="s">
        <v>1178</v>
      </c>
      <c r="G131" s="9" t="n">
        <v>3</v>
      </c>
    </row>
    <row r="132" customFormat="false" ht="15" hidden="false" customHeight="true" outlineLevel="0" collapsed="false">
      <c r="A132" s="9" t="s">
        <v>1349</v>
      </c>
      <c r="B132" s="9" t="s">
        <v>892</v>
      </c>
      <c r="C132" s="9" t="s">
        <v>1350</v>
      </c>
      <c r="D132" s="9" t="s">
        <v>1356</v>
      </c>
      <c r="E132" s="9" t="s">
        <v>1198</v>
      </c>
      <c r="F132" s="9" t="s">
        <v>1182</v>
      </c>
      <c r="G132" s="9" t="n">
        <v>2</v>
      </c>
    </row>
    <row r="133" customFormat="false" ht="15" hidden="false" customHeight="true" outlineLevel="0" collapsed="false">
      <c r="A133" s="9" t="s">
        <v>1349</v>
      </c>
      <c r="B133" s="9" t="s">
        <v>892</v>
      </c>
      <c r="C133" s="9" t="s">
        <v>1350</v>
      </c>
      <c r="D133" s="9" t="s">
        <v>1357</v>
      </c>
      <c r="E133" s="9" t="s">
        <v>1189</v>
      </c>
      <c r="F133" s="9" t="s">
        <v>1178</v>
      </c>
      <c r="G133" s="9" t="n">
        <v>2</v>
      </c>
    </row>
    <row r="134" customFormat="false" ht="15" hidden="false" customHeight="true" outlineLevel="0" collapsed="false">
      <c r="A134" s="9" t="s">
        <v>1349</v>
      </c>
      <c r="B134" s="9" t="s">
        <v>892</v>
      </c>
      <c r="C134" s="9" t="s">
        <v>1350</v>
      </c>
      <c r="D134" s="9" t="s">
        <v>1358</v>
      </c>
      <c r="E134" s="9" t="s">
        <v>1186</v>
      </c>
      <c r="F134" s="9" t="s">
        <v>1182</v>
      </c>
      <c r="G134" s="9" t="n">
        <v>3</v>
      </c>
    </row>
    <row r="135" customFormat="false" ht="15" hidden="false" customHeight="true" outlineLevel="0" collapsed="false">
      <c r="A135" s="9" t="s">
        <v>1349</v>
      </c>
      <c r="B135" s="9" t="s">
        <v>892</v>
      </c>
      <c r="C135" s="9" t="s">
        <v>1350</v>
      </c>
      <c r="D135" s="9" t="s">
        <v>1359</v>
      </c>
      <c r="E135" s="9" t="s">
        <v>1180</v>
      </c>
      <c r="F135" s="9" t="s">
        <v>1182</v>
      </c>
      <c r="G135" s="9" t="n">
        <v>3</v>
      </c>
    </row>
    <row r="136" customFormat="false" ht="15" hidden="false" customHeight="true" outlineLevel="0" collapsed="false">
      <c r="A136" s="9" t="s">
        <v>1360</v>
      </c>
      <c r="B136" s="9" t="s">
        <v>690</v>
      </c>
      <c r="C136" s="9" t="s">
        <v>1361</v>
      </c>
      <c r="D136" s="9" t="s">
        <v>1362</v>
      </c>
      <c r="E136" s="9" t="s">
        <v>1192</v>
      </c>
      <c r="F136" s="9" t="s">
        <v>1190</v>
      </c>
      <c r="G136" s="9" t="n">
        <v>2</v>
      </c>
    </row>
    <row r="137" customFormat="false" ht="15" hidden="false" customHeight="true" outlineLevel="0" collapsed="false">
      <c r="A137" s="9" t="s">
        <v>1360</v>
      </c>
      <c r="B137" s="9" t="s">
        <v>690</v>
      </c>
      <c r="C137" s="9" t="s">
        <v>1361</v>
      </c>
      <c r="D137" s="9" t="s">
        <v>1363</v>
      </c>
      <c r="E137" s="9" t="s">
        <v>1180</v>
      </c>
      <c r="F137" s="9" t="s">
        <v>1190</v>
      </c>
      <c r="G137" s="9" t="n">
        <v>2</v>
      </c>
    </row>
    <row r="138" customFormat="false" ht="15" hidden="false" customHeight="true" outlineLevel="0" collapsed="false">
      <c r="A138" s="9" t="s">
        <v>1360</v>
      </c>
      <c r="B138" s="9" t="s">
        <v>690</v>
      </c>
      <c r="C138" s="9" t="s">
        <v>1361</v>
      </c>
      <c r="D138" s="9" t="s">
        <v>1364</v>
      </c>
      <c r="E138" s="9" t="s">
        <v>1189</v>
      </c>
      <c r="F138" s="9" t="s">
        <v>1187</v>
      </c>
      <c r="G138" s="9" t="n">
        <v>2</v>
      </c>
    </row>
    <row r="139" customFormat="false" ht="15" hidden="false" customHeight="true" outlineLevel="0" collapsed="false">
      <c r="A139" s="9" t="s">
        <v>1360</v>
      </c>
      <c r="B139" s="9" t="s">
        <v>690</v>
      </c>
      <c r="C139" s="9" t="s">
        <v>1361</v>
      </c>
      <c r="D139" s="9" t="s">
        <v>1301</v>
      </c>
      <c r="E139" s="9" t="s">
        <v>1177</v>
      </c>
      <c r="F139" s="9" t="s">
        <v>1196</v>
      </c>
      <c r="G139" s="9" t="n">
        <v>3</v>
      </c>
    </row>
    <row r="140" customFormat="false" ht="15" hidden="false" customHeight="true" outlineLevel="0" collapsed="false">
      <c r="A140" s="9" t="s">
        <v>1360</v>
      </c>
      <c r="B140" s="9" t="s">
        <v>690</v>
      </c>
      <c r="C140" s="9" t="s">
        <v>1361</v>
      </c>
      <c r="D140" s="9" t="s">
        <v>1365</v>
      </c>
      <c r="E140" s="9" t="s">
        <v>1366</v>
      </c>
      <c r="F140" s="9" t="s">
        <v>1196</v>
      </c>
      <c r="G140" s="9" t="n">
        <v>2</v>
      </c>
    </row>
    <row r="141" customFormat="false" ht="15" hidden="false" customHeight="true" outlineLevel="0" collapsed="false">
      <c r="A141" s="9" t="s">
        <v>1360</v>
      </c>
      <c r="B141" s="9" t="s">
        <v>690</v>
      </c>
      <c r="C141" s="9" t="s">
        <v>1361</v>
      </c>
      <c r="D141" s="9" t="s">
        <v>1367</v>
      </c>
      <c r="E141" s="9" t="s">
        <v>1204</v>
      </c>
      <c r="F141" s="9" t="s">
        <v>1178</v>
      </c>
      <c r="G141" s="9" t="n">
        <v>2</v>
      </c>
    </row>
    <row r="142" customFormat="false" ht="15" hidden="false" customHeight="true" outlineLevel="0" collapsed="false">
      <c r="A142" s="9" t="s">
        <v>1360</v>
      </c>
      <c r="B142" s="9" t="s">
        <v>690</v>
      </c>
      <c r="C142" s="9" t="s">
        <v>1361</v>
      </c>
      <c r="D142" s="9" t="s">
        <v>1368</v>
      </c>
      <c r="E142" s="9" t="s">
        <v>1204</v>
      </c>
      <c r="F142" s="9" t="s">
        <v>1187</v>
      </c>
      <c r="G142" s="9" t="n">
        <v>2</v>
      </c>
    </row>
    <row r="143" customFormat="false" ht="15" hidden="false" customHeight="true" outlineLevel="0" collapsed="false">
      <c r="A143" s="9" t="s">
        <v>1360</v>
      </c>
      <c r="B143" s="9" t="s">
        <v>690</v>
      </c>
      <c r="C143" s="9" t="s">
        <v>1361</v>
      </c>
      <c r="D143" s="9" t="s">
        <v>1369</v>
      </c>
      <c r="E143" s="9" t="s">
        <v>1177</v>
      </c>
      <c r="F143" s="9" t="s">
        <v>1182</v>
      </c>
      <c r="G143" s="9" t="n">
        <v>3</v>
      </c>
    </row>
    <row r="144" customFormat="false" ht="15" hidden="false" customHeight="true" outlineLevel="0" collapsed="false">
      <c r="A144" s="9" t="s">
        <v>1360</v>
      </c>
      <c r="B144" s="9" t="s">
        <v>690</v>
      </c>
      <c r="C144" s="9" t="s">
        <v>1361</v>
      </c>
      <c r="D144" s="9" t="s">
        <v>1370</v>
      </c>
      <c r="E144" s="9" t="s">
        <v>1198</v>
      </c>
      <c r="F144" s="9" t="s">
        <v>1182</v>
      </c>
      <c r="G144" s="9" t="n">
        <v>3</v>
      </c>
    </row>
    <row r="145" customFormat="false" ht="15" hidden="false" customHeight="true" outlineLevel="0" collapsed="false">
      <c r="A145" s="9" t="s">
        <v>1360</v>
      </c>
      <c r="B145" s="9" t="s">
        <v>690</v>
      </c>
      <c r="C145" s="9" t="s">
        <v>1361</v>
      </c>
      <c r="D145" s="9" t="s">
        <v>1371</v>
      </c>
      <c r="E145" s="9" t="s">
        <v>1189</v>
      </c>
      <c r="F145" s="9" t="s">
        <v>1187</v>
      </c>
      <c r="G145" s="9" t="n">
        <v>2</v>
      </c>
    </row>
    <row r="146" customFormat="false" ht="15" hidden="false" customHeight="true" outlineLevel="0" collapsed="false">
      <c r="A146" s="9" t="s">
        <v>1372</v>
      </c>
      <c r="B146" s="9" t="s">
        <v>815</v>
      </c>
      <c r="C146" s="9" t="s">
        <v>1373</v>
      </c>
      <c r="D146" s="9" t="s">
        <v>1374</v>
      </c>
      <c r="E146" s="9" t="s">
        <v>1186</v>
      </c>
      <c r="F146" s="9" t="s">
        <v>1178</v>
      </c>
      <c r="G146" s="9" t="n">
        <v>6</v>
      </c>
    </row>
    <row r="147" customFormat="false" ht="15" hidden="false" customHeight="true" outlineLevel="0" collapsed="false">
      <c r="A147" s="9" t="s">
        <v>1372</v>
      </c>
      <c r="B147" s="9" t="s">
        <v>815</v>
      </c>
      <c r="C147" s="9" t="s">
        <v>1373</v>
      </c>
      <c r="D147" s="9" t="s">
        <v>1326</v>
      </c>
      <c r="E147" s="9" t="s">
        <v>1192</v>
      </c>
      <c r="F147" s="9" t="s">
        <v>1178</v>
      </c>
      <c r="G147" s="9" t="n">
        <v>2</v>
      </c>
    </row>
    <row r="148" customFormat="false" ht="15" hidden="false" customHeight="true" outlineLevel="0" collapsed="false">
      <c r="A148" s="9" t="s">
        <v>1372</v>
      </c>
      <c r="B148" s="9" t="s">
        <v>815</v>
      </c>
      <c r="C148" s="9" t="s">
        <v>1373</v>
      </c>
      <c r="D148" s="9" t="s">
        <v>1375</v>
      </c>
      <c r="E148" s="9" t="s">
        <v>1198</v>
      </c>
      <c r="F148" s="9" t="s">
        <v>1187</v>
      </c>
      <c r="G148" s="9" t="n">
        <v>2</v>
      </c>
    </row>
    <row r="149" customFormat="false" ht="15" hidden="false" customHeight="true" outlineLevel="0" collapsed="false">
      <c r="A149" s="9" t="s">
        <v>1372</v>
      </c>
      <c r="B149" s="9" t="s">
        <v>815</v>
      </c>
      <c r="C149" s="9" t="s">
        <v>1373</v>
      </c>
      <c r="D149" s="9" t="s">
        <v>1376</v>
      </c>
      <c r="E149" s="9" t="s">
        <v>1186</v>
      </c>
      <c r="F149" s="9" t="s">
        <v>1187</v>
      </c>
      <c r="G149" s="9" t="n">
        <v>2</v>
      </c>
    </row>
    <row r="150" customFormat="false" ht="15" hidden="false" customHeight="true" outlineLevel="0" collapsed="false">
      <c r="A150" s="9" t="s">
        <v>1372</v>
      </c>
      <c r="B150" s="9" t="s">
        <v>815</v>
      </c>
      <c r="C150" s="9" t="s">
        <v>1373</v>
      </c>
      <c r="D150" s="9" t="s">
        <v>1377</v>
      </c>
      <c r="E150" s="9" t="s">
        <v>1189</v>
      </c>
      <c r="F150" s="9" t="s">
        <v>1182</v>
      </c>
      <c r="G150" s="9" t="n">
        <v>2</v>
      </c>
    </row>
    <row r="151" customFormat="false" ht="15" hidden="false" customHeight="true" outlineLevel="0" collapsed="false">
      <c r="A151" s="9" t="s">
        <v>1378</v>
      </c>
      <c r="B151" s="9" t="s">
        <v>581</v>
      </c>
      <c r="C151" s="9" t="s">
        <v>1379</v>
      </c>
      <c r="D151" s="9" t="s">
        <v>1380</v>
      </c>
      <c r="E151" s="9" t="s">
        <v>1189</v>
      </c>
      <c r="F151" s="9" t="s">
        <v>1187</v>
      </c>
      <c r="G151" s="9" t="n">
        <v>2</v>
      </c>
    </row>
    <row r="152" customFormat="false" ht="15" hidden="false" customHeight="true" outlineLevel="0" collapsed="false">
      <c r="A152" s="9" t="s">
        <v>1378</v>
      </c>
      <c r="B152" s="9" t="s">
        <v>581</v>
      </c>
      <c r="C152" s="9" t="s">
        <v>1379</v>
      </c>
      <c r="D152" s="9" t="s">
        <v>1203</v>
      </c>
      <c r="E152" s="9" t="s">
        <v>1180</v>
      </c>
      <c r="F152" s="9" t="s">
        <v>1178</v>
      </c>
      <c r="G152" s="9" t="n">
        <v>3</v>
      </c>
    </row>
    <row r="153" customFormat="false" ht="15" hidden="false" customHeight="true" outlineLevel="0" collapsed="false">
      <c r="A153" s="9" t="s">
        <v>1378</v>
      </c>
      <c r="B153" s="9" t="s">
        <v>581</v>
      </c>
      <c r="C153" s="9" t="s">
        <v>1379</v>
      </c>
      <c r="D153" s="9" t="s">
        <v>1381</v>
      </c>
      <c r="E153" s="9" t="s">
        <v>1198</v>
      </c>
      <c r="F153" s="9" t="s">
        <v>1187</v>
      </c>
      <c r="G153" s="9" t="n">
        <v>2</v>
      </c>
    </row>
    <row r="154" customFormat="false" ht="15" hidden="false" customHeight="true" outlineLevel="0" collapsed="false">
      <c r="A154" s="9" t="s">
        <v>1378</v>
      </c>
      <c r="B154" s="9" t="s">
        <v>581</v>
      </c>
      <c r="C154" s="9" t="s">
        <v>1379</v>
      </c>
      <c r="D154" s="9" t="s">
        <v>1382</v>
      </c>
      <c r="E154" s="9" t="s">
        <v>1192</v>
      </c>
      <c r="F154" s="9" t="s">
        <v>1187</v>
      </c>
      <c r="G154" s="9" t="n">
        <v>2</v>
      </c>
    </row>
    <row r="155" customFormat="false" ht="15" hidden="false" customHeight="true" outlineLevel="0" collapsed="false">
      <c r="A155" s="9" t="s">
        <v>1378</v>
      </c>
      <c r="B155" s="9" t="s">
        <v>581</v>
      </c>
      <c r="C155" s="9" t="s">
        <v>1379</v>
      </c>
      <c r="D155" s="9" t="s">
        <v>1383</v>
      </c>
      <c r="E155" s="9" t="s">
        <v>1186</v>
      </c>
      <c r="F155" s="9" t="s">
        <v>1178</v>
      </c>
      <c r="G155" s="9" t="n">
        <v>3</v>
      </c>
    </row>
    <row r="156" customFormat="false" ht="15" hidden="false" customHeight="true" outlineLevel="0" collapsed="false">
      <c r="A156" s="9" t="s">
        <v>1378</v>
      </c>
      <c r="B156" s="9" t="s">
        <v>581</v>
      </c>
      <c r="C156" s="9" t="s">
        <v>1379</v>
      </c>
      <c r="D156" s="9" t="s">
        <v>1384</v>
      </c>
      <c r="E156" s="9" t="s">
        <v>1177</v>
      </c>
      <c r="F156" s="9" t="s">
        <v>1178</v>
      </c>
      <c r="G156" s="9" t="n">
        <v>2</v>
      </c>
    </row>
    <row r="157" customFormat="false" ht="15" hidden="false" customHeight="true" outlineLevel="0" collapsed="false">
      <c r="A157" s="9" t="s">
        <v>1385</v>
      </c>
      <c r="B157" s="9" t="s">
        <v>707</v>
      </c>
      <c r="C157" s="9" t="s">
        <v>1386</v>
      </c>
      <c r="D157" s="9" t="s">
        <v>1387</v>
      </c>
      <c r="E157" s="9" t="s">
        <v>1216</v>
      </c>
      <c r="F157" s="9" t="s">
        <v>1178</v>
      </c>
      <c r="G157" s="9" t="n">
        <v>4</v>
      </c>
    </row>
    <row r="158" customFormat="false" ht="15" hidden="false" customHeight="true" outlineLevel="0" collapsed="false">
      <c r="A158" s="9" t="s">
        <v>1385</v>
      </c>
      <c r="B158" s="9" t="s">
        <v>707</v>
      </c>
      <c r="C158" s="9" t="s">
        <v>1386</v>
      </c>
      <c r="D158" s="9" t="s">
        <v>1388</v>
      </c>
      <c r="E158" s="9" t="s">
        <v>1216</v>
      </c>
      <c r="F158" s="9" t="s">
        <v>1196</v>
      </c>
      <c r="G158" s="9" t="n">
        <v>2</v>
      </c>
    </row>
    <row r="159" customFormat="false" ht="15" hidden="false" customHeight="true" outlineLevel="0" collapsed="false">
      <c r="A159" s="9" t="s">
        <v>1385</v>
      </c>
      <c r="B159" s="9" t="s">
        <v>707</v>
      </c>
      <c r="C159" s="9" t="s">
        <v>1386</v>
      </c>
      <c r="D159" s="9" t="s">
        <v>1263</v>
      </c>
      <c r="E159" s="9" t="s">
        <v>1189</v>
      </c>
      <c r="F159" s="9" t="s">
        <v>1182</v>
      </c>
      <c r="G159" s="9" t="n">
        <v>4</v>
      </c>
    </row>
    <row r="160" customFormat="false" ht="15" hidden="false" customHeight="true" outlineLevel="0" collapsed="false">
      <c r="A160" s="9" t="s">
        <v>1385</v>
      </c>
      <c r="B160" s="9" t="s">
        <v>707</v>
      </c>
      <c r="C160" s="9" t="s">
        <v>1386</v>
      </c>
      <c r="D160" s="9" t="s">
        <v>1389</v>
      </c>
      <c r="E160" s="9" t="s">
        <v>1177</v>
      </c>
      <c r="F160" s="9" t="s">
        <v>1187</v>
      </c>
      <c r="G160" s="9" t="n">
        <v>2</v>
      </c>
    </row>
    <row r="161" customFormat="false" ht="15" hidden="false" customHeight="true" outlineLevel="0" collapsed="false">
      <c r="A161" s="9" t="s">
        <v>1385</v>
      </c>
      <c r="B161" s="9" t="s">
        <v>707</v>
      </c>
      <c r="C161" s="9" t="s">
        <v>1386</v>
      </c>
      <c r="D161" s="9" t="s">
        <v>1390</v>
      </c>
      <c r="E161" s="9" t="s">
        <v>1192</v>
      </c>
      <c r="F161" s="9" t="s">
        <v>1196</v>
      </c>
      <c r="G161" s="9" t="n">
        <v>3</v>
      </c>
    </row>
    <row r="162" customFormat="false" ht="15" hidden="false" customHeight="true" outlineLevel="0" collapsed="false">
      <c r="A162" s="9" t="s">
        <v>1385</v>
      </c>
      <c r="B162" s="9" t="s">
        <v>707</v>
      </c>
      <c r="C162" s="9" t="s">
        <v>1386</v>
      </c>
      <c r="D162" s="9" t="s">
        <v>1391</v>
      </c>
      <c r="E162" s="9" t="s">
        <v>1192</v>
      </c>
      <c r="F162" s="9" t="s">
        <v>1178</v>
      </c>
      <c r="G162" s="9" t="n">
        <v>2</v>
      </c>
    </row>
    <row r="163" customFormat="false" ht="15" hidden="false" customHeight="true" outlineLevel="0" collapsed="false">
      <c r="A163" s="9" t="s">
        <v>1385</v>
      </c>
      <c r="B163" s="9" t="s">
        <v>707</v>
      </c>
      <c r="C163" s="9" t="s">
        <v>1386</v>
      </c>
      <c r="D163" s="9" t="s">
        <v>1392</v>
      </c>
      <c r="E163" s="9" t="s">
        <v>1198</v>
      </c>
      <c r="F163" s="9" t="s">
        <v>1190</v>
      </c>
      <c r="G163" s="9" t="n">
        <v>2</v>
      </c>
    </row>
    <row r="164" customFormat="false" ht="15" hidden="false" customHeight="true" outlineLevel="0" collapsed="false">
      <c r="A164" s="9" t="s">
        <v>1385</v>
      </c>
      <c r="B164" s="9" t="s">
        <v>707</v>
      </c>
      <c r="C164" s="9" t="s">
        <v>1386</v>
      </c>
      <c r="D164" s="9" t="s">
        <v>1393</v>
      </c>
      <c r="E164" s="9" t="s">
        <v>1198</v>
      </c>
      <c r="F164" s="9" t="s">
        <v>1182</v>
      </c>
      <c r="G164" s="9" t="n">
        <v>3</v>
      </c>
    </row>
    <row r="165" customFormat="false" ht="15" hidden="false" customHeight="true" outlineLevel="0" collapsed="false">
      <c r="A165" s="9" t="s">
        <v>1385</v>
      </c>
      <c r="B165" s="9" t="s">
        <v>707</v>
      </c>
      <c r="C165" s="9" t="s">
        <v>1386</v>
      </c>
      <c r="D165" s="9" t="s">
        <v>1394</v>
      </c>
      <c r="E165" s="9" t="s">
        <v>1395</v>
      </c>
      <c r="F165" s="9" t="s">
        <v>1196</v>
      </c>
      <c r="G165" s="9" t="n">
        <v>2</v>
      </c>
    </row>
    <row r="166" customFormat="false" ht="15" hidden="false" customHeight="true" outlineLevel="0" collapsed="false">
      <c r="A166" s="9" t="s">
        <v>1385</v>
      </c>
      <c r="B166" s="9" t="s">
        <v>707</v>
      </c>
      <c r="C166" s="9" t="s">
        <v>1386</v>
      </c>
      <c r="D166" s="9" t="s">
        <v>1396</v>
      </c>
      <c r="E166" s="9" t="s">
        <v>1192</v>
      </c>
      <c r="F166" s="9" t="s">
        <v>1190</v>
      </c>
      <c r="G166" s="9" t="n">
        <v>4</v>
      </c>
    </row>
    <row r="167" customFormat="false" ht="15" hidden="false" customHeight="true" outlineLevel="0" collapsed="false">
      <c r="A167" s="9" t="s">
        <v>1385</v>
      </c>
      <c r="B167" s="9" t="s">
        <v>707</v>
      </c>
      <c r="C167" s="9" t="s">
        <v>1386</v>
      </c>
      <c r="D167" s="9" t="s">
        <v>1397</v>
      </c>
      <c r="E167" s="9" t="s">
        <v>1216</v>
      </c>
      <c r="F167" s="9" t="s">
        <v>1196</v>
      </c>
      <c r="G167" s="9" t="n">
        <v>2</v>
      </c>
    </row>
    <row r="168" customFormat="false" ht="15" hidden="false" customHeight="true" outlineLevel="0" collapsed="false">
      <c r="A168" s="9" t="s">
        <v>1385</v>
      </c>
      <c r="B168" s="9" t="s">
        <v>707</v>
      </c>
      <c r="C168" s="9" t="s">
        <v>1386</v>
      </c>
      <c r="D168" s="9" t="s">
        <v>1398</v>
      </c>
      <c r="E168" s="9" t="s">
        <v>1177</v>
      </c>
      <c r="F168" s="9" t="s">
        <v>1182</v>
      </c>
      <c r="G168" s="9" t="n">
        <v>2</v>
      </c>
    </row>
    <row r="169" customFormat="false" ht="15" hidden="false" customHeight="true" outlineLevel="0" collapsed="false">
      <c r="A169" s="9" t="s">
        <v>1399</v>
      </c>
      <c r="B169" s="9" t="s">
        <v>1163</v>
      </c>
      <c r="C169" s="9" t="s">
        <v>1400</v>
      </c>
      <c r="D169" s="9" t="s">
        <v>1401</v>
      </c>
      <c r="E169" s="9" t="s">
        <v>1216</v>
      </c>
      <c r="F169" s="9" t="s">
        <v>1182</v>
      </c>
      <c r="G169" s="9" t="n">
        <v>4</v>
      </c>
    </row>
    <row r="170" customFormat="false" ht="15" hidden="false" customHeight="true" outlineLevel="0" collapsed="false">
      <c r="A170" s="9" t="s">
        <v>1402</v>
      </c>
      <c r="B170" s="9" t="s">
        <v>451</v>
      </c>
      <c r="C170" s="9" t="s">
        <v>1403</v>
      </c>
      <c r="D170" s="9" t="s">
        <v>1404</v>
      </c>
      <c r="E170" s="9" t="s">
        <v>1204</v>
      </c>
      <c r="F170" s="9" t="s">
        <v>1187</v>
      </c>
      <c r="G170" s="9" t="n">
        <v>5</v>
      </c>
    </row>
    <row r="171" customFormat="false" ht="15" hidden="false" customHeight="true" outlineLevel="0" collapsed="false">
      <c r="A171" s="9" t="s">
        <v>1405</v>
      </c>
      <c r="B171" s="9" t="s">
        <v>838</v>
      </c>
      <c r="C171" s="9" t="s">
        <v>1406</v>
      </c>
      <c r="D171" s="9" t="s">
        <v>1194</v>
      </c>
      <c r="E171" s="9" t="s">
        <v>1189</v>
      </c>
      <c r="F171" s="9" t="s">
        <v>1196</v>
      </c>
      <c r="G171" s="9" t="n">
        <v>2</v>
      </c>
    </row>
    <row r="172" customFormat="false" ht="15" hidden="false" customHeight="true" outlineLevel="0" collapsed="false">
      <c r="A172" s="9" t="s">
        <v>1405</v>
      </c>
      <c r="B172" s="9" t="s">
        <v>838</v>
      </c>
      <c r="C172" s="9" t="s">
        <v>1406</v>
      </c>
      <c r="D172" s="9" t="s">
        <v>1407</v>
      </c>
      <c r="E172" s="9" t="s">
        <v>1216</v>
      </c>
      <c r="F172" s="9" t="s">
        <v>1178</v>
      </c>
      <c r="G172" s="9" t="n">
        <v>4</v>
      </c>
    </row>
    <row r="173" customFormat="false" ht="15" hidden="false" customHeight="true" outlineLevel="0" collapsed="false">
      <c r="A173" s="9" t="s">
        <v>1405</v>
      </c>
      <c r="B173" s="9" t="s">
        <v>838</v>
      </c>
      <c r="C173" s="9" t="s">
        <v>1406</v>
      </c>
      <c r="D173" s="9" t="s">
        <v>1364</v>
      </c>
      <c r="E173" s="9" t="s">
        <v>1177</v>
      </c>
      <c r="F173" s="9" t="s">
        <v>1196</v>
      </c>
      <c r="G173" s="9" t="n">
        <v>2</v>
      </c>
    </row>
    <row r="174" customFormat="false" ht="15" hidden="false" customHeight="true" outlineLevel="0" collapsed="false">
      <c r="A174" s="9" t="s">
        <v>1408</v>
      </c>
      <c r="B174" s="9" t="s">
        <v>1135</v>
      </c>
      <c r="C174" s="9" t="s">
        <v>1409</v>
      </c>
      <c r="D174" s="9" t="s">
        <v>1410</v>
      </c>
      <c r="E174" s="9" t="s">
        <v>1189</v>
      </c>
      <c r="F174" s="9" t="s">
        <v>1187</v>
      </c>
      <c r="G174" s="9" t="n">
        <v>3</v>
      </c>
    </row>
    <row r="175" customFormat="false" ht="15" hidden="false" customHeight="true" outlineLevel="0" collapsed="false">
      <c r="A175" s="9" t="s">
        <v>1408</v>
      </c>
      <c r="B175" s="9" t="s">
        <v>1135</v>
      </c>
      <c r="C175" s="9" t="s">
        <v>1409</v>
      </c>
      <c r="D175" s="9" t="s">
        <v>1257</v>
      </c>
      <c r="E175" s="9" t="s">
        <v>1189</v>
      </c>
      <c r="F175" s="9" t="s">
        <v>1178</v>
      </c>
      <c r="G175" s="9" t="n">
        <v>2</v>
      </c>
    </row>
    <row r="176" customFormat="false" ht="15" hidden="false" customHeight="true" outlineLevel="0" collapsed="false">
      <c r="A176" s="9" t="s">
        <v>1408</v>
      </c>
      <c r="B176" s="9" t="s">
        <v>1135</v>
      </c>
      <c r="C176" s="9" t="s">
        <v>1409</v>
      </c>
      <c r="D176" s="9" t="s">
        <v>1411</v>
      </c>
      <c r="E176" s="9" t="s">
        <v>1216</v>
      </c>
      <c r="F176" s="9" t="s">
        <v>1187</v>
      </c>
      <c r="G176" s="9" t="n">
        <v>2</v>
      </c>
    </row>
    <row r="177" customFormat="false" ht="15" hidden="false" customHeight="true" outlineLevel="0" collapsed="false">
      <c r="A177" s="9" t="s">
        <v>1408</v>
      </c>
      <c r="B177" s="9" t="s">
        <v>1135</v>
      </c>
      <c r="C177" s="9" t="s">
        <v>1409</v>
      </c>
      <c r="D177" s="9" t="s">
        <v>1313</v>
      </c>
      <c r="E177" s="9" t="s">
        <v>1204</v>
      </c>
      <c r="F177" s="9" t="s">
        <v>1178</v>
      </c>
      <c r="G177" s="9" t="n">
        <v>2</v>
      </c>
    </row>
    <row r="178" customFormat="false" ht="15" hidden="false" customHeight="true" outlineLevel="0" collapsed="false">
      <c r="A178" s="9" t="s">
        <v>1408</v>
      </c>
      <c r="B178" s="9" t="s">
        <v>1135</v>
      </c>
      <c r="C178" s="9" t="s">
        <v>1409</v>
      </c>
      <c r="D178" s="9" t="s">
        <v>1229</v>
      </c>
      <c r="E178" s="9" t="s">
        <v>1192</v>
      </c>
      <c r="F178" s="9" t="s">
        <v>1196</v>
      </c>
      <c r="G178" s="9" t="n">
        <v>3</v>
      </c>
    </row>
    <row r="179" customFormat="false" ht="15" hidden="false" customHeight="true" outlineLevel="0" collapsed="false">
      <c r="A179" s="9" t="s">
        <v>1412</v>
      </c>
      <c r="B179" s="9" t="s">
        <v>981</v>
      </c>
      <c r="C179" s="9" t="s">
        <v>1413</v>
      </c>
      <c r="D179" s="9" t="s">
        <v>1414</v>
      </c>
      <c r="E179" s="9" t="s">
        <v>1186</v>
      </c>
      <c r="F179" s="9" t="s">
        <v>1190</v>
      </c>
      <c r="G179" s="9" t="n">
        <v>3</v>
      </c>
    </row>
    <row r="180" customFormat="false" ht="15" hidden="false" customHeight="true" outlineLevel="0" collapsed="false">
      <c r="A180" s="9" t="s">
        <v>1412</v>
      </c>
      <c r="B180" s="9" t="s">
        <v>981</v>
      </c>
      <c r="C180" s="9" t="s">
        <v>1413</v>
      </c>
      <c r="D180" s="9" t="s">
        <v>1415</v>
      </c>
      <c r="E180" s="9" t="s">
        <v>1180</v>
      </c>
      <c r="F180" s="9" t="s">
        <v>1178</v>
      </c>
      <c r="G180" s="9" t="n">
        <v>3</v>
      </c>
    </row>
    <row r="181" customFormat="false" ht="15" hidden="false" customHeight="true" outlineLevel="0" collapsed="false">
      <c r="A181" s="9" t="s">
        <v>1412</v>
      </c>
      <c r="B181" s="9" t="s">
        <v>981</v>
      </c>
      <c r="C181" s="9" t="s">
        <v>1413</v>
      </c>
      <c r="D181" s="9" t="s">
        <v>1416</v>
      </c>
      <c r="E181" s="9" t="s">
        <v>1204</v>
      </c>
      <c r="F181" s="9" t="s">
        <v>1178</v>
      </c>
      <c r="G181" s="9" t="n">
        <v>3</v>
      </c>
    </row>
    <row r="182" customFormat="false" ht="15" hidden="false" customHeight="true" outlineLevel="0" collapsed="false">
      <c r="A182" s="9" t="s">
        <v>1417</v>
      </c>
      <c r="B182" s="9" t="s">
        <v>133</v>
      </c>
      <c r="C182" s="9" t="s">
        <v>1418</v>
      </c>
      <c r="D182" s="9" t="s">
        <v>1419</v>
      </c>
      <c r="E182" s="9" t="s">
        <v>1186</v>
      </c>
      <c r="F182" s="9" t="s">
        <v>1178</v>
      </c>
      <c r="G182" s="9" t="n">
        <v>2</v>
      </c>
    </row>
    <row r="183" customFormat="false" ht="15" hidden="false" customHeight="true" outlineLevel="0" collapsed="false">
      <c r="A183" s="9" t="s">
        <v>1417</v>
      </c>
      <c r="B183" s="9" t="s">
        <v>133</v>
      </c>
      <c r="C183" s="9" t="s">
        <v>1418</v>
      </c>
      <c r="D183" s="9" t="s">
        <v>1299</v>
      </c>
      <c r="E183" s="9" t="s">
        <v>1192</v>
      </c>
      <c r="F183" s="9" t="s">
        <v>1196</v>
      </c>
      <c r="G183" s="9" t="n">
        <v>2</v>
      </c>
    </row>
    <row r="184" customFormat="false" ht="15" hidden="false" customHeight="true" outlineLevel="0" collapsed="false">
      <c r="A184" s="9" t="s">
        <v>1417</v>
      </c>
      <c r="B184" s="9" t="s">
        <v>133</v>
      </c>
      <c r="C184" s="9" t="s">
        <v>1418</v>
      </c>
      <c r="D184" s="9" t="s">
        <v>1420</v>
      </c>
      <c r="E184" s="9" t="s">
        <v>1186</v>
      </c>
      <c r="F184" s="9" t="s">
        <v>1182</v>
      </c>
      <c r="G184" s="9" t="n">
        <v>4</v>
      </c>
    </row>
    <row r="185" customFormat="false" ht="15" hidden="false" customHeight="true" outlineLevel="0" collapsed="false">
      <c r="A185" s="9" t="s">
        <v>1417</v>
      </c>
      <c r="B185" s="9" t="s">
        <v>133</v>
      </c>
      <c r="C185" s="9" t="s">
        <v>1418</v>
      </c>
      <c r="D185" s="9" t="s">
        <v>1255</v>
      </c>
      <c r="E185" s="9" t="s">
        <v>1186</v>
      </c>
      <c r="F185" s="9" t="s">
        <v>1182</v>
      </c>
      <c r="G185" s="9" t="n">
        <v>2</v>
      </c>
    </row>
    <row r="186" customFormat="false" ht="15" hidden="false" customHeight="true" outlineLevel="0" collapsed="false">
      <c r="A186" s="9" t="s">
        <v>1417</v>
      </c>
      <c r="B186" s="9" t="s">
        <v>133</v>
      </c>
      <c r="C186" s="9" t="s">
        <v>1418</v>
      </c>
      <c r="D186" s="9" t="s">
        <v>1421</v>
      </c>
      <c r="E186" s="9" t="s">
        <v>1204</v>
      </c>
      <c r="F186" s="9" t="s">
        <v>1190</v>
      </c>
      <c r="G186" s="9" t="n">
        <v>2</v>
      </c>
    </row>
    <row r="187" customFormat="false" ht="15" hidden="false" customHeight="true" outlineLevel="0" collapsed="false">
      <c r="A187" s="9" t="s">
        <v>1417</v>
      </c>
      <c r="B187" s="9" t="s">
        <v>133</v>
      </c>
      <c r="C187" s="9" t="s">
        <v>1418</v>
      </c>
      <c r="D187" s="9" t="s">
        <v>1205</v>
      </c>
      <c r="E187" s="9" t="s">
        <v>1204</v>
      </c>
      <c r="F187" s="9" t="s">
        <v>1178</v>
      </c>
      <c r="G187" s="9" t="n">
        <v>4</v>
      </c>
    </row>
    <row r="188" customFormat="false" ht="15" hidden="false" customHeight="true" outlineLevel="0" collapsed="false">
      <c r="A188" s="9" t="s">
        <v>1417</v>
      </c>
      <c r="B188" s="9" t="s">
        <v>133</v>
      </c>
      <c r="C188" s="9" t="s">
        <v>1418</v>
      </c>
      <c r="D188" s="9" t="s">
        <v>1239</v>
      </c>
      <c r="E188" s="9" t="s">
        <v>1186</v>
      </c>
      <c r="F188" s="9" t="s">
        <v>1196</v>
      </c>
      <c r="G188" s="9" t="n">
        <v>3</v>
      </c>
    </row>
    <row r="189" customFormat="false" ht="15" hidden="false" customHeight="true" outlineLevel="0" collapsed="false">
      <c r="A189" s="9" t="s">
        <v>1417</v>
      </c>
      <c r="B189" s="9" t="s">
        <v>133</v>
      </c>
      <c r="C189" s="9" t="s">
        <v>1418</v>
      </c>
      <c r="D189" s="9" t="s">
        <v>1422</v>
      </c>
      <c r="E189" s="9" t="s">
        <v>1192</v>
      </c>
      <c r="F189" s="9" t="s">
        <v>1182</v>
      </c>
      <c r="G189" s="9" t="n">
        <v>4</v>
      </c>
    </row>
    <row r="190" customFormat="false" ht="15" hidden="false" customHeight="true" outlineLevel="0" collapsed="false">
      <c r="A190" s="9" t="s">
        <v>1417</v>
      </c>
      <c r="B190" s="9" t="s">
        <v>133</v>
      </c>
      <c r="C190" s="9" t="s">
        <v>1418</v>
      </c>
      <c r="D190" s="9" t="s">
        <v>1423</v>
      </c>
      <c r="E190" s="9" t="s">
        <v>1180</v>
      </c>
      <c r="F190" s="9" t="s">
        <v>1196</v>
      </c>
      <c r="G190" s="9" t="n">
        <v>2</v>
      </c>
    </row>
    <row r="191" customFormat="false" ht="15" hidden="false" customHeight="true" outlineLevel="0" collapsed="false">
      <c r="A191" s="9" t="s">
        <v>1417</v>
      </c>
      <c r="B191" s="9" t="s">
        <v>133</v>
      </c>
      <c r="C191" s="9" t="s">
        <v>1418</v>
      </c>
      <c r="D191" s="9" t="s">
        <v>1424</v>
      </c>
      <c r="E191" s="9" t="s">
        <v>1177</v>
      </c>
      <c r="F191" s="9" t="s">
        <v>1190</v>
      </c>
      <c r="G191" s="9" t="n">
        <v>2</v>
      </c>
    </row>
    <row r="192" customFormat="false" ht="15" hidden="false" customHeight="true" outlineLevel="0" collapsed="false">
      <c r="A192" s="9" t="s">
        <v>1425</v>
      </c>
      <c r="B192" s="9" t="s">
        <v>444</v>
      </c>
      <c r="C192" s="9" t="s">
        <v>1426</v>
      </c>
      <c r="D192" s="9" t="s">
        <v>1427</v>
      </c>
      <c r="E192" s="9" t="s">
        <v>1186</v>
      </c>
      <c r="F192" s="9" t="s">
        <v>1196</v>
      </c>
      <c r="G192" s="9" t="n">
        <v>2</v>
      </c>
    </row>
    <row r="193" customFormat="false" ht="15" hidden="false" customHeight="true" outlineLevel="0" collapsed="false">
      <c r="A193" s="9" t="s">
        <v>1425</v>
      </c>
      <c r="B193" s="9" t="s">
        <v>444</v>
      </c>
      <c r="C193" s="9" t="s">
        <v>1426</v>
      </c>
      <c r="D193" s="9" t="s">
        <v>1428</v>
      </c>
      <c r="E193" s="9" t="s">
        <v>1177</v>
      </c>
      <c r="F193" s="9" t="s">
        <v>1182</v>
      </c>
      <c r="G193" s="9" t="n">
        <v>2</v>
      </c>
    </row>
    <row r="194" customFormat="false" ht="15" hidden="false" customHeight="true" outlineLevel="0" collapsed="false">
      <c r="A194" s="9" t="s">
        <v>1425</v>
      </c>
      <c r="B194" s="9" t="s">
        <v>444</v>
      </c>
      <c r="C194" s="9" t="s">
        <v>1426</v>
      </c>
      <c r="D194" s="9" t="s">
        <v>1429</v>
      </c>
      <c r="E194" s="9" t="s">
        <v>1204</v>
      </c>
      <c r="F194" s="9" t="s">
        <v>1196</v>
      </c>
      <c r="G194" s="9" t="n">
        <v>2</v>
      </c>
    </row>
    <row r="195" customFormat="false" ht="15" hidden="false" customHeight="true" outlineLevel="0" collapsed="false">
      <c r="A195" s="9" t="s">
        <v>1425</v>
      </c>
      <c r="B195" s="9" t="s">
        <v>444</v>
      </c>
      <c r="C195" s="9" t="s">
        <v>1426</v>
      </c>
      <c r="D195" s="9" t="s">
        <v>1430</v>
      </c>
      <c r="E195" s="9" t="s">
        <v>1198</v>
      </c>
      <c r="F195" s="9" t="s">
        <v>1182</v>
      </c>
      <c r="G195" s="9" t="n">
        <v>3</v>
      </c>
    </row>
    <row r="196" customFormat="false" ht="15" hidden="false" customHeight="true" outlineLevel="0" collapsed="false">
      <c r="A196" s="9" t="s">
        <v>1425</v>
      </c>
      <c r="B196" s="9" t="s">
        <v>444</v>
      </c>
      <c r="C196" s="9" t="s">
        <v>1426</v>
      </c>
      <c r="D196" s="9" t="s">
        <v>1431</v>
      </c>
      <c r="E196" s="9" t="s">
        <v>1180</v>
      </c>
      <c r="F196" s="9" t="s">
        <v>1178</v>
      </c>
      <c r="G196" s="9" t="n">
        <v>2</v>
      </c>
    </row>
    <row r="197" customFormat="false" ht="15" hidden="false" customHeight="true" outlineLevel="0" collapsed="false">
      <c r="A197" s="9" t="s">
        <v>1425</v>
      </c>
      <c r="B197" s="9" t="s">
        <v>444</v>
      </c>
      <c r="C197" s="9" t="s">
        <v>1426</v>
      </c>
      <c r="D197" s="9" t="s">
        <v>1432</v>
      </c>
      <c r="E197" s="9" t="s">
        <v>1204</v>
      </c>
      <c r="F197" s="9" t="s">
        <v>1196</v>
      </c>
      <c r="G197" s="9" t="n">
        <v>4</v>
      </c>
    </row>
    <row r="198" customFormat="false" ht="15" hidden="false" customHeight="true" outlineLevel="0" collapsed="false">
      <c r="A198" s="9" t="s">
        <v>1425</v>
      </c>
      <c r="B198" s="9" t="s">
        <v>444</v>
      </c>
      <c r="C198" s="9" t="s">
        <v>1426</v>
      </c>
      <c r="D198" s="9" t="s">
        <v>1433</v>
      </c>
      <c r="E198" s="9" t="s">
        <v>1198</v>
      </c>
      <c r="F198" s="9" t="s">
        <v>1190</v>
      </c>
      <c r="G198" s="9" t="n">
        <v>3</v>
      </c>
    </row>
    <row r="199" customFormat="false" ht="15" hidden="false" customHeight="true" outlineLevel="0" collapsed="false">
      <c r="A199" s="9" t="s">
        <v>1425</v>
      </c>
      <c r="B199" s="9" t="s">
        <v>444</v>
      </c>
      <c r="C199" s="9" t="s">
        <v>1426</v>
      </c>
      <c r="D199" s="9" t="s">
        <v>1434</v>
      </c>
      <c r="E199" s="9" t="s">
        <v>1198</v>
      </c>
      <c r="F199" s="9" t="s">
        <v>1178</v>
      </c>
      <c r="G199" s="9" t="n">
        <v>5</v>
      </c>
    </row>
    <row r="200" customFormat="false" ht="15" hidden="false" customHeight="true" outlineLevel="0" collapsed="false">
      <c r="A200" s="9" t="s">
        <v>1425</v>
      </c>
      <c r="B200" s="9" t="s">
        <v>444</v>
      </c>
      <c r="C200" s="9" t="s">
        <v>1426</v>
      </c>
      <c r="D200" s="9" t="s">
        <v>1435</v>
      </c>
      <c r="E200" s="9" t="s">
        <v>1180</v>
      </c>
      <c r="F200" s="9" t="s">
        <v>1178</v>
      </c>
      <c r="G200" s="9" t="n">
        <v>3</v>
      </c>
    </row>
    <row r="201" customFormat="false" ht="15" hidden="false" customHeight="true" outlineLevel="0" collapsed="false">
      <c r="A201" s="9" t="s">
        <v>1425</v>
      </c>
      <c r="B201" s="9" t="s">
        <v>444</v>
      </c>
      <c r="C201" s="9" t="s">
        <v>1426</v>
      </c>
      <c r="D201" s="9" t="s">
        <v>1436</v>
      </c>
      <c r="E201" s="9" t="s">
        <v>1189</v>
      </c>
      <c r="F201" s="9" t="s">
        <v>1182</v>
      </c>
      <c r="G201" s="9" t="n">
        <v>6</v>
      </c>
    </row>
    <row r="202" customFormat="false" ht="15" hidden="false" customHeight="true" outlineLevel="0" collapsed="false">
      <c r="A202" s="9" t="s">
        <v>1437</v>
      </c>
      <c r="B202" s="9" t="s">
        <v>732</v>
      </c>
      <c r="C202" s="9" t="s">
        <v>1438</v>
      </c>
      <c r="D202" s="9" t="s">
        <v>1439</v>
      </c>
      <c r="E202" s="9" t="s">
        <v>1198</v>
      </c>
      <c r="F202" s="9" t="s">
        <v>1196</v>
      </c>
      <c r="G202" s="9" t="n">
        <v>2</v>
      </c>
    </row>
    <row r="203" customFormat="false" ht="15" hidden="false" customHeight="true" outlineLevel="0" collapsed="false">
      <c r="A203" s="9" t="s">
        <v>1437</v>
      </c>
      <c r="B203" s="9" t="s">
        <v>732</v>
      </c>
      <c r="C203" s="9" t="s">
        <v>1438</v>
      </c>
      <c r="D203" s="9" t="s">
        <v>1225</v>
      </c>
      <c r="E203" s="9" t="s">
        <v>1198</v>
      </c>
      <c r="F203" s="9" t="s">
        <v>1190</v>
      </c>
      <c r="G203" s="9" t="n">
        <v>3</v>
      </c>
    </row>
    <row r="204" customFormat="false" ht="15" hidden="false" customHeight="true" outlineLevel="0" collapsed="false">
      <c r="A204" s="9" t="s">
        <v>1437</v>
      </c>
      <c r="B204" s="9" t="s">
        <v>732</v>
      </c>
      <c r="C204" s="9" t="s">
        <v>1438</v>
      </c>
      <c r="D204" s="9" t="s">
        <v>1440</v>
      </c>
      <c r="E204" s="9" t="s">
        <v>1177</v>
      </c>
      <c r="F204" s="9" t="s">
        <v>1182</v>
      </c>
      <c r="G204" s="9" t="n">
        <v>3</v>
      </c>
    </row>
    <row r="205" customFormat="false" ht="15" hidden="false" customHeight="true" outlineLevel="0" collapsed="false">
      <c r="A205" s="9" t="s">
        <v>1437</v>
      </c>
      <c r="B205" s="9" t="s">
        <v>732</v>
      </c>
      <c r="C205" s="9" t="s">
        <v>1438</v>
      </c>
      <c r="D205" s="9" t="s">
        <v>1441</v>
      </c>
      <c r="E205" s="9" t="s">
        <v>1198</v>
      </c>
      <c r="F205" s="9" t="s">
        <v>1178</v>
      </c>
      <c r="G205" s="9" t="n">
        <v>6</v>
      </c>
    </row>
    <row r="206" customFormat="false" ht="15" hidden="false" customHeight="true" outlineLevel="0" collapsed="false">
      <c r="A206" s="9" t="s">
        <v>1437</v>
      </c>
      <c r="B206" s="9" t="s">
        <v>732</v>
      </c>
      <c r="C206" s="9" t="s">
        <v>1438</v>
      </c>
      <c r="D206" s="9" t="s">
        <v>1380</v>
      </c>
      <c r="E206" s="9" t="s">
        <v>1192</v>
      </c>
      <c r="F206" s="9" t="s">
        <v>1178</v>
      </c>
      <c r="G206" s="9" t="n">
        <v>2</v>
      </c>
    </row>
    <row r="207" customFormat="false" ht="15" hidden="false" customHeight="true" outlineLevel="0" collapsed="false">
      <c r="A207" s="9" t="s">
        <v>1442</v>
      </c>
      <c r="B207" s="9" t="s">
        <v>759</v>
      </c>
      <c r="C207" s="9" t="s">
        <v>1443</v>
      </c>
      <c r="D207" s="9" t="s">
        <v>1348</v>
      </c>
      <c r="E207" s="9" t="s">
        <v>1198</v>
      </c>
      <c r="F207" s="9" t="s">
        <v>1187</v>
      </c>
      <c r="G207" s="9" t="n">
        <v>4</v>
      </c>
    </row>
    <row r="208" customFormat="false" ht="15" hidden="false" customHeight="true" outlineLevel="0" collapsed="false">
      <c r="A208" s="9" t="s">
        <v>1442</v>
      </c>
      <c r="B208" s="9" t="s">
        <v>759</v>
      </c>
      <c r="C208" s="9" t="s">
        <v>1443</v>
      </c>
      <c r="D208" s="9" t="s">
        <v>1307</v>
      </c>
      <c r="E208" s="9" t="s">
        <v>1180</v>
      </c>
      <c r="F208" s="9" t="s">
        <v>1190</v>
      </c>
      <c r="G208" s="9" t="n">
        <v>3</v>
      </c>
    </row>
    <row r="209" customFormat="false" ht="15" hidden="false" customHeight="true" outlineLevel="0" collapsed="false">
      <c r="A209" s="9" t="s">
        <v>1442</v>
      </c>
      <c r="B209" s="9" t="s">
        <v>759</v>
      </c>
      <c r="C209" s="9" t="s">
        <v>1443</v>
      </c>
      <c r="D209" s="9" t="s">
        <v>1444</v>
      </c>
      <c r="E209" s="9" t="s">
        <v>1216</v>
      </c>
      <c r="F209" s="9" t="s">
        <v>1190</v>
      </c>
      <c r="G209" s="9" t="n">
        <v>2</v>
      </c>
    </row>
    <row r="210" customFormat="false" ht="15" hidden="false" customHeight="true" outlineLevel="0" collapsed="false">
      <c r="A210" s="9" t="s">
        <v>1445</v>
      </c>
      <c r="B210" s="9" t="s">
        <v>836</v>
      </c>
      <c r="C210" s="9" t="s">
        <v>1446</v>
      </c>
      <c r="D210" s="9" t="s">
        <v>1329</v>
      </c>
      <c r="E210" s="9" t="s">
        <v>1198</v>
      </c>
      <c r="F210" s="9" t="s">
        <v>1182</v>
      </c>
      <c r="G210" s="9" t="n">
        <v>3</v>
      </c>
    </row>
    <row r="211" customFormat="false" ht="15" hidden="false" customHeight="true" outlineLevel="0" collapsed="false">
      <c r="A211" s="9" t="s">
        <v>1445</v>
      </c>
      <c r="B211" s="9" t="s">
        <v>836</v>
      </c>
      <c r="C211" s="9" t="s">
        <v>1446</v>
      </c>
      <c r="D211" s="9" t="s">
        <v>1447</v>
      </c>
      <c r="E211" s="9" t="s">
        <v>1189</v>
      </c>
      <c r="F211" s="9" t="s">
        <v>1178</v>
      </c>
      <c r="G211" s="9" t="n">
        <v>2</v>
      </c>
    </row>
    <row r="212" customFormat="false" ht="15" hidden="false" customHeight="true" outlineLevel="0" collapsed="false">
      <c r="A212" s="9" t="s">
        <v>1445</v>
      </c>
      <c r="B212" s="9" t="s">
        <v>836</v>
      </c>
      <c r="C212" s="9" t="s">
        <v>1446</v>
      </c>
      <c r="D212" s="9" t="s">
        <v>1306</v>
      </c>
      <c r="E212" s="9" t="s">
        <v>1177</v>
      </c>
      <c r="F212" s="9" t="s">
        <v>1196</v>
      </c>
      <c r="G212" s="9" t="n">
        <v>2</v>
      </c>
    </row>
    <row r="213" customFormat="false" ht="15" hidden="false" customHeight="true" outlineLevel="0" collapsed="false">
      <c r="A213" s="9" t="s">
        <v>1448</v>
      </c>
      <c r="B213" s="9" t="s">
        <v>842</v>
      </c>
      <c r="C213" s="9" t="s">
        <v>1449</v>
      </c>
      <c r="D213" s="9" t="s">
        <v>1450</v>
      </c>
      <c r="E213" s="9" t="s">
        <v>1216</v>
      </c>
      <c r="F213" s="9" t="s">
        <v>1196</v>
      </c>
      <c r="G213" s="9" t="n">
        <v>3</v>
      </c>
    </row>
    <row r="214" customFormat="false" ht="15" hidden="false" customHeight="true" outlineLevel="0" collapsed="false">
      <c r="A214" s="9" t="s">
        <v>1448</v>
      </c>
      <c r="B214" s="9" t="s">
        <v>842</v>
      </c>
      <c r="C214" s="9" t="s">
        <v>1449</v>
      </c>
      <c r="D214" s="9" t="s">
        <v>1451</v>
      </c>
      <c r="E214" s="9" t="s">
        <v>1189</v>
      </c>
      <c r="F214" s="9" t="s">
        <v>1182</v>
      </c>
      <c r="G214" s="9" t="n">
        <v>3</v>
      </c>
    </row>
    <row r="215" customFormat="false" ht="15" hidden="false" customHeight="true" outlineLevel="0" collapsed="false">
      <c r="A215" s="9" t="s">
        <v>1448</v>
      </c>
      <c r="B215" s="9" t="s">
        <v>842</v>
      </c>
      <c r="C215" s="9" t="s">
        <v>1449</v>
      </c>
      <c r="D215" s="9" t="s">
        <v>1452</v>
      </c>
      <c r="E215" s="9" t="s">
        <v>1198</v>
      </c>
      <c r="F215" s="9" t="s">
        <v>1178</v>
      </c>
      <c r="G215" s="9" t="n">
        <v>2</v>
      </c>
    </row>
    <row r="216" customFormat="false" ht="15" hidden="false" customHeight="true" outlineLevel="0" collapsed="false">
      <c r="A216" s="9" t="s">
        <v>1448</v>
      </c>
      <c r="B216" s="9" t="s">
        <v>842</v>
      </c>
      <c r="C216" s="9" t="s">
        <v>1449</v>
      </c>
      <c r="D216" s="9" t="s">
        <v>1453</v>
      </c>
      <c r="E216" s="9" t="s">
        <v>1180</v>
      </c>
      <c r="F216" s="9" t="s">
        <v>1178</v>
      </c>
      <c r="G216" s="9" t="n">
        <v>2</v>
      </c>
    </row>
    <row r="217" customFormat="false" ht="15" hidden="false" customHeight="true" outlineLevel="0" collapsed="false">
      <c r="A217" s="9" t="s">
        <v>1448</v>
      </c>
      <c r="B217" s="9" t="s">
        <v>842</v>
      </c>
      <c r="C217" s="9" t="s">
        <v>1449</v>
      </c>
      <c r="D217" s="9" t="s">
        <v>1454</v>
      </c>
      <c r="E217" s="9" t="s">
        <v>1216</v>
      </c>
      <c r="F217" s="9" t="s">
        <v>1196</v>
      </c>
      <c r="G217" s="9" t="n">
        <v>4</v>
      </c>
    </row>
    <row r="218" customFormat="false" ht="15" hidden="false" customHeight="true" outlineLevel="0" collapsed="false">
      <c r="A218" s="9" t="s">
        <v>1448</v>
      </c>
      <c r="B218" s="9" t="s">
        <v>842</v>
      </c>
      <c r="C218" s="9" t="s">
        <v>1449</v>
      </c>
      <c r="D218" s="9" t="s">
        <v>1455</v>
      </c>
      <c r="E218" s="9" t="s">
        <v>1189</v>
      </c>
      <c r="F218" s="9" t="s">
        <v>1196</v>
      </c>
      <c r="G218" s="9" t="n">
        <v>3</v>
      </c>
    </row>
    <row r="219" customFormat="false" ht="15" hidden="false" customHeight="true" outlineLevel="0" collapsed="false">
      <c r="A219" s="9" t="s">
        <v>1448</v>
      </c>
      <c r="B219" s="9" t="s">
        <v>842</v>
      </c>
      <c r="C219" s="9" t="s">
        <v>1449</v>
      </c>
      <c r="D219" s="9" t="s">
        <v>1286</v>
      </c>
      <c r="E219" s="9" t="s">
        <v>1180</v>
      </c>
      <c r="F219" s="9" t="s">
        <v>1178</v>
      </c>
      <c r="G219" s="9" t="n">
        <v>2</v>
      </c>
    </row>
    <row r="220" customFormat="false" ht="15" hidden="false" customHeight="true" outlineLevel="0" collapsed="false">
      <c r="A220" s="9" t="s">
        <v>1448</v>
      </c>
      <c r="B220" s="9" t="s">
        <v>842</v>
      </c>
      <c r="C220" s="9" t="s">
        <v>1449</v>
      </c>
      <c r="D220" s="9" t="s">
        <v>1456</v>
      </c>
      <c r="E220" s="9" t="s">
        <v>1204</v>
      </c>
      <c r="F220" s="9" t="s">
        <v>1190</v>
      </c>
      <c r="G220" s="9" t="n">
        <v>2</v>
      </c>
    </row>
    <row r="221" customFormat="false" ht="15" hidden="false" customHeight="true" outlineLevel="0" collapsed="false">
      <c r="A221" s="9" t="s">
        <v>1448</v>
      </c>
      <c r="B221" s="9" t="s">
        <v>842</v>
      </c>
      <c r="C221" s="9" t="s">
        <v>1449</v>
      </c>
      <c r="D221" s="9" t="s">
        <v>1457</v>
      </c>
      <c r="E221" s="9" t="s">
        <v>1198</v>
      </c>
      <c r="F221" s="9" t="s">
        <v>1182</v>
      </c>
      <c r="G221" s="9" t="n">
        <v>2</v>
      </c>
    </row>
    <row r="222" customFormat="false" ht="15" hidden="false" customHeight="true" outlineLevel="0" collapsed="false">
      <c r="A222" s="9" t="s">
        <v>1448</v>
      </c>
      <c r="B222" s="9" t="s">
        <v>842</v>
      </c>
      <c r="C222" s="9" t="s">
        <v>1449</v>
      </c>
      <c r="D222" s="9" t="s">
        <v>1458</v>
      </c>
      <c r="E222" s="9" t="s">
        <v>1204</v>
      </c>
      <c r="F222" s="9" t="s">
        <v>1196</v>
      </c>
      <c r="G222" s="9" t="n">
        <v>4</v>
      </c>
    </row>
    <row r="223" customFormat="false" ht="15" hidden="false" customHeight="true" outlineLevel="0" collapsed="false">
      <c r="A223" s="9" t="s">
        <v>1459</v>
      </c>
      <c r="B223" s="9" t="s">
        <v>927</v>
      </c>
      <c r="C223" s="9" t="s">
        <v>1460</v>
      </c>
      <c r="D223" s="9" t="s">
        <v>1461</v>
      </c>
      <c r="E223" s="9" t="s">
        <v>1216</v>
      </c>
      <c r="F223" s="9" t="s">
        <v>1178</v>
      </c>
      <c r="G223" s="9" t="n">
        <v>3</v>
      </c>
    </row>
    <row r="224" customFormat="false" ht="15" hidden="false" customHeight="true" outlineLevel="0" collapsed="false">
      <c r="A224" s="9" t="s">
        <v>1459</v>
      </c>
      <c r="B224" s="9" t="s">
        <v>927</v>
      </c>
      <c r="C224" s="9" t="s">
        <v>1460</v>
      </c>
      <c r="D224" s="9" t="s">
        <v>1462</v>
      </c>
      <c r="E224" s="9" t="s">
        <v>1180</v>
      </c>
      <c r="F224" s="9" t="s">
        <v>1178</v>
      </c>
      <c r="G224" s="9" t="n">
        <v>2</v>
      </c>
    </row>
    <row r="225" customFormat="false" ht="15" hidden="false" customHeight="true" outlineLevel="0" collapsed="false">
      <c r="A225" s="9" t="s">
        <v>1459</v>
      </c>
      <c r="B225" s="9" t="s">
        <v>927</v>
      </c>
      <c r="C225" s="9" t="s">
        <v>1460</v>
      </c>
      <c r="D225" s="9" t="s">
        <v>1463</v>
      </c>
      <c r="E225" s="9" t="s">
        <v>1186</v>
      </c>
      <c r="F225" s="9" t="s">
        <v>1182</v>
      </c>
      <c r="G225" s="9" t="n">
        <v>3</v>
      </c>
    </row>
    <row r="226" customFormat="false" ht="15" hidden="false" customHeight="true" outlineLevel="0" collapsed="false">
      <c r="A226" s="9" t="s">
        <v>1459</v>
      </c>
      <c r="B226" s="9" t="s">
        <v>927</v>
      </c>
      <c r="C226" s="9" t="s">
        <v>1460</v>
      </c>
      <c r="D226" s="9" t="s">
        <v>1464</v>
      </c>
      <c r="E226" s="9" t="s">
        <v>1186</v>
      </c>
      <c r="F226" s="9" t="s">
        <v>1182</v>
      </c>
      <c r="G226" s="9" t="n">
        <v>3</v>
      </c>
    </row>
    <row r="227" customFormat="false" ht="15" hidden="false" customHeight="true" outlineLevel="0" collapsed="false">
      <c r="A227" s="9" t="s">
        <v>1459</v>
      </c>
      <c r="B227" s="9" t="s">
        <v>927</v>
      </c>
      <c r="C227" s="9" t="s">
        <v>1460</v>
      </c>
      <c r="D227" s="9" t="s">
        <v>1465</v>
      </c>
      <c r="E227" s="9" t="s">
        <v>1180</v>
      </c>
      <c r="F227" s="9" t="s">
        <v>1187</v>
      </c>
      <c r="G227" s="9" t="n">
        <v>3</v>
      </c>
    </row>
    <row r="228" customFormat="false" ht="15" hidden="false" customHeight="true" outlineLevel="0" collapsed="false">
      <c r="A228" s="9" t="s">
        <v>1466</v>
      </c>
      <c r="B228" s="9" t="s">
        <v>667</v>
      </c>
      <c r="C228" s="9" t="s">
        <v>1467</v>
      </c>
      <c r="D228" s="9" t="s">
        <v>1468</v>
      </c>
      <c r="E228" s="9" t="s">
        <v>1198</v>
      </c>
      <c r="F228" s="9" t="s">
        <v>1196</v>
      </c>
      <c r="G228" s="9" t="n">
        <v>2</v>
      </c>
    </row>
    <row r="229" customFormat="false" ht="15" hidden="false" customHeight="true" outlineLevel="0" collapsed="false">
      <c r="A229" s="9" t="s">
        <v>1466</v>
      </c>
      <c r="B229" s="9" t="s">
        <v>667</v>
      </c>
      <c r="C229" s="9" t="s">
        <v>1467</v>
      </c>
      <c r="D229" s="9" t="s">
        <v>1469</v>
      </c>
      <c r="E229" s="9" t="s">
        <v>1204</v>
      </c>
      <c r="F229" s="9" t="s">
        <v>1190</v>
      </c>
      <c r="G229" s="9"/>
    </row>
    <row r="230" customFormat="false" ht="15" hidden="false" customHeight="true" outlineLevel="0" collapsed="false">
      <c r="A230" s="9" t="s">
        <v>1466</v>
      </c>
      <c r="B230" s="9" t="s">
        <v>667</v>
      </c>
      <c r="C230" s="9" t="s">
        <v>1467</v>
      </c>
      <c r="D230" s="9" t="s">
        <v>1470</v>
      </c>
      <c r="E230" s="9" t="s">
        <v>1177</v>
      </c>
      <c r="F230" s="9" t="s">
        <v>1190</v>
      </c>
      <c r="G230" s="9" t="n">
        <v>4</v>
      </c>
    </row>
    <row r="231" customFormat="false" ht="15" hidden="false" customHeight="true" outlineLevel="0" collapsed="false">
      <c r="A231" s="9" t="s">
        <v>1466</v>
      </c>
      <c r="B231" s="9" t="s">
        <v>667</v>
      </c>
      <c r="C231" s="9" t="s">
        <v>1467</v>
      </c>
      <c r="D231" s="9" t="s">
        <v>1471</v>
      </c>
      <c r="E231" s="9" t="s">
        <v>1180</v>
      </c>
      <c r="F231" s="9" t="s">
        <v>1190</v>
      </c>
      <c r="G231" s="9" t="n">
        <v>3</v>
      </c>
    </row>
    <row r="232" customFormat="false" ht="15" hidden="false" customHeight="true" outlineLevel="0" collapsed="false">
      <c r="A232" s="9" t="s">
        <v>1466</v>
      </c>
      <c r="B232" s="9" t="s">
        <v>667</v>
      </c>
      <c r="C232" s="9" t="s">
        <v>1467</v>
      </c>
      <c r="D232" s="9" t="s">
        <v>1472</v>
      </c>
      <c r="E232" s="9" t="s">
        <v>1192</v>
      </c>
      <c r="F232" s="9" t="s">
        <v>1182</v>
      </c>
      <c r="G232" s="9" t="n">
        <v>4</v>
      </c>
    </row>
    <row r="233" customFormat="false" ht="15" hidden="false" customHeight="true" outlineLevel="0" collapsed="false">
      <c r="A233" s="9" t="s">
        <v>1466</v>
      </c>
      <c r="B233" s="9" t="s">
        <v>667</v>
      </c>
      <c r="C233" s="9" t="s">
        <v>1467</v>
      </c>
      <c r="D233" s="9" t="s">
        <v>1473</v>
      </c>
      <c r="E233" s="9" t="s">
        <v>1189</v>
      </c>
      <c r="F233" s="9" t="s">
        <v>1178</v>
      </c>
      <c r="G233" s="9" t="n">
        <v>2</v>
      </c>
    </row>
    <row r="234" customFormat="false" ht="15" hidden="false" customHeight="true" outlineLevel="0" collapsed="false">
      <c r="A234" s="9" t="s">
        <v>1466</v>
      </c>
      <c r="B234" s="9" t="s">
        <v>667</v>
      </c>
      <c r="C234" s="9" t="s">
        <v>1467</v>
      </c>
      <c r="D234" s="9" t="s">
        <v>1474</v>
      </c>
      <c r="E234" s="9" t="s">
        <v>1186</v>
      </c>
      <c r="F234" s="9" t="s">
        <v>1196</v>
      </c>
      <c r="G234" s="9" t="n">
        <v>4</v>
      </c>
    </row>
    <row r="235" customFormat="false" ht="15" hidden="false" customHeight="true" outlineLevel="0" collapsed="false">
      <c r="A235" s="9" t="s">
        <v>1466</v>
      </c>
      <c r="B235" s="9" t="s">
        <v>667</v>
      </c>
      <c r="C235" s="9" t="s">
        <v>1467</v>
      </c>
      <c r="D235" s="9" t="s">
        <v>1475</v>
      </c>
      <c r="E235" s="9" t="s">
        <v>1177</v>
      </c>
      <c r="F235" s="9" t="s">
        <v>1178</v>
      </c>
      <c r="G235" s="9" t="n">
        <v>3</v>
      </c>
    </row>
    <row r="236" customFormat="false" ht="15" hidden="false" customHeight="true" outlineLevel="0" collapsed="false">
      <c r="A236" s="9" t="s">
        <v>1466</v>
      </c>
      <c r="B236" s="9" t="s">
        <v>667</v>
      </c>
      <c r="C236" s="9" t="s">
        <v>1467</v>
      </c>
      <c r="D236" s="9" t="s">
        <v>1436</v>
      </c>
      <c r="E236" s="9" t="s">
        <v>1186</v>
      </c>
      <c r="F236" s="9" t="s">
        <v>1182</v>
      </c>
      <c r="G236" s="9" t="n">
        <v>5</v>
      </c>
    </row>
    <row r="237" customFormat="false" ht="15" hidden="false" customHeight="true" outlineLevel="0" collapsed="false">
      <c r="A237" s="9" t="s">
        <v>1466</v>
      </c>
      <c r="B237" s="9" t="s">
        <v>667</v>
      </c>
      <c r="C237" s="9" t="s">
        <v>1467</v>
      </c>
      <c r="D237" s="9" t="s">
        <v>1476</v>
      </c>
      <c r="E237" s="9" t="s">
        <v>1192</v>
      </c>
      <c r="F237" s="9" t="s">
        <v>1178</v>
      </c>
      <c r="G237" s="9" t="n">
        <v>3</v>
      </c>
    </row>
    <row r="238" customFormat="false" ht="15" hidden="false" customHeight="true" outlineLevel="0" collapsed="false">
      <c r="A238" s="9" t="s">
        <v>1477</v>
      </c>
      <c r="B238" s="9" t="s">
        <v>360</v>
      </c>
      <c r="C238" s="9" t="s">
        <v>1478</v>
      </c>
      <c r="D238" s="9" t="s">
        <v>1356</v>
      </c>
      <c r="E238" s="9" t="s">
        <v>1479</v>
      </c>
      <c r="F238" s="9" t="s">
        <v>1196</v>
      </c>
      <c r="G238" s="9" t="n">
        <v>3</v>
      </c>
    </row>
    <row r="239" customFormat="false" ht="15" hidden="false" customHeight="true" outlineLevel="0" collapsed="false">
      <c r="A239" s="9" t="s">
        <v>1477</v>
      </c>
      <c r="B239" s="9" t="s">
        <v>360</v>
      </c>
      <c r="C239" s="9" t="s">
        <v>1478</v>
      </c>
      <c r="D239" s="9" t="s">
        <v>1210</v>
      </c>
      <c r="E239" s="9" t="s">
        <v>1186</v>
      </c>
      <c r="F239" s="9" t="s">
        <v>1190</v>
      </c>
      <c r="G239" s="9" t="n">
        <v>2</v>
      </c>
    </row>
    <row r="240" customFormat="false" ht="15" hidden="false" customHeight="true" outlineLevel="0" collapsed="false">
      <c r="A240" s="9" t="s">
        <v>1477</v>
      </c>
      <c r="B240" s="9" t="s">
        <v>360</v>
      </c>
      <c r="C240" s="9" t="s">
        <v>1478</v>
      </c>
      <c r="D240" s="9" t="s">
        <v>1480</v>
      </c>
      <c r="E240" s="9" t="s">
        <v>1192</v>
      </c>
      <c r="F240" s="9" t="s">
        <v>1187</v>
      </c>
      <c r="G240" s="9" t="n">
        <v>2</v>
      </c>
    </row>
    <row r="241" customFormat="false" ht="15" hidden="false" customHeight="true" outlineLevel="0" collapsed="false">
      <c r="A241" s="9" t="s">
        <v>1481</v>
      </c>
      <c r="B241" s="9" t="s">
        <v>789</v>
      </c>
      <c r="C241" s="9" t="s">
        <v>1482</v>
      </c>
      <c r="D241" s="9" t="s">
        <v>1483</v>
      </c>
      <c r="E241" s="9" t="s">
        <v>1192</v>
      </c>
      <c r="F241" s="9" t="s">
        <v>1182</v>
      </c>
      <c r="G241" s="9" t="n">
        <v>3</v>
      </c>
    </row>
    <row r="242" customFormat="false" ht="15" hidden="false" customHeight="true" outlineLevel="0" collapsed="false">
      <c r="A242" s="9" t="s">
        <v>1481</v>
      </c>
      <c r="B242" s="9" t="s">
        <v>789</v>
      </c>
      <c r="C242" s="9" t="s">
        <v>1482</v>
      </c>
      <c r="D242" s="9" t="s">
        <v>1484</v>
      </c>
      <c r="E242" s="9" t="s">
        <v>1189</v>
      </c>
      <c r="F242" s="9" t="s">
        <v>1178</v>
      </c>
      <c r="G242" s="9" t="n">
        <v>3</v>
      </c>
    </row>
    <row r="243" customFormat="false" ht="15" hidden="false" customHeight="true" outlineLevel="0" collapsed="false">
      <c r="A243" s="9" t="s">
        <v>1481</v>
      </c>
      <c r="B243" s="9" t="s">
        <v>789</v>
      </c>
      <c r="C243" s="9" t="s">
        <v>1482</v>
      </c>
      <c r="D243" s="9" t="s">
        <v>1485</v>
      </c>
      <c r="E243" s="9" t="s">
        <v>1216</v>
      </c>
      <c r="F243" s="9" t="s">
        <v>1182</v>
      </c>
      <c r="G243" s="9" t="n">
        <v>2</v>
      </c>
    </row>
    <row r="244" customFormat="false" ht="15" hidden="false" customHeight="true" outlineLevel="0" collapsed="false">
      <c r="A244" s="9" t="s">
        <v>1486</v>
      </c>
      <c r="B244" s="9" t="s">
        <v>255</v>
      </c>
      <c r="C244" s="9" t="s">
        <v>1487</v>
      </c>
      <c r="D244" s="9" t="s">
        <v>1444</v>
      </c>
      <c r="E244" s="9" t="s">
        <v>1189</v>
      </c>
      <c r="F244" s="9" t="s">
        <v>1190</v>
      </c>
      <c r="G244" s="9" t="n">
        <v>2</v>
      </c>
    </row>
    <row r="245" customFormat="false" ht="15" hidden="false" customHeight="true" outlineLevel="0" collapsed="false">
      <c r="A245" s="9" t="s">
        <v>1486</v>
      </c>
      <c r="B245" s="9" t="s">
        <v>255</v>
      </c>
      <c r="C245" s="9" t="s">
        <v>1487</v>
      </c>
      <c r="D245" s="9" t="s">
        <v>1488</v>
      </c>
      <c r="E245" s="9" t="s">
        <v>1198</v>
      </c>
      <c r="F245" s="9" t="s">
        <v>1196</v>
      </c>
      <c r="G245" s="9" t="n">
        <v>4</v>
      </c>
    </row>
    <row r="246" customFormat="false" ht="15" hidden="false" customHeight="true" outlineLevel="0" collapsed="false">
      <c r="A246" s="9" t="s">
        <v>1486</v>
      </c>
      <c r="B246" s="9" t="s">
        <v>255</v>
      </c>
      <c r="C246" s="9" t="s">
        <v>1487</v>
      </c>
      <c r="D246" s="9" t="s">
        <v>1489</v>
      </c>
      <c r="E246" s="9" t="s">
        <v>1177</v>
      </c>
      <c r="F246" s="9" t="s">
        <v>1178</v>
      </c>
      <c r="G246" s="9" t="n">
        <v>2</v>
      </c>
    </row>
    <row r="247" customFormat="false" ht="15" hidden="false" customHeight="true" outlineLevel="0" collapsed="false">
      <c r="A247" s="9" t="s">
        <v>1486</v>
      </c>
      <c r="B247" s="9" t="s">
        <v>255</v>
      </c>
      <c r="C247" s="9" t="s">
        <v>1487</v>
      </c>
      <c r="D247" s="9" t="s">
        <v>1450</v>
      </c>
      <c r="E247" s="9" t="s">
        <v>1204</v>
      </c>
      <c r="F247" s="9" t="s">
        <v>1190</v>
      </c>
      <c r="G247" s="9" t="n">
        <v>4</v>
      </c>
    </row>
    <row r="248" customFormat="false" ht="15" hidden="false" customHeight="true" outlineLevel="0" collapsed="false">
      <c r="A248" s="9" t="s">
        <v>1486</v>
      </c>
      <c r="B248" s="9" t="s">
        <v>255</v>
      </c>
      <c r="C248" s="9" t="s">
        <v>1487</v>
      </c>
      <c r="D248" s="9" t="s">
        <v>1490</v>
      </c>
      <c r="E248" s="9" t="s">
        <v>1177</v>
      </c>
      <c r="F248" s="9" t="s">
        <v>1178</v>
      </c>
      <c r="G248" s="9"/>
    </row>
    <row r="249" customFormat="false" ht="15" hidden="false" customHeight="true" outlineLevel="0" collapsed="false">
      <c r="A249" s="9" t="s">
        <v>1486</v>
      </c>
      <c r="B249" s="9" t="s">
        <v>255</v>
      </c>
      <c r="C249" s="9" t="s">
        <v>1487</v>
      </c>
      <c r="D249" s="9" t="s">
        <v>1242</v>
      </c>
      <c r="E249" s="9" t="s">
        <v>1177</v>
      </c>
      <c r="F249" s="9" t="s">
        <v>1190</v>
      </c>
      <c r="G249" s="9" t="n">
        <v>2</v>
      </c>
    </row>
    <row r="250" customFormat="false" ht="15" hidden="false" customHeight="true" outlineLevel="0" collapsed="false">
      <c r="A250" s="9" t="s">
        <v>1491</v>
      </c>
      <c r="B250" s="9" t="s">
        <v>342</v>
      </c>
      <c r="C250" s="9" t="s">
        <v>1492</v>
      </c>
      <c r="D250" s="9" t="s">
        <v>1493</v>
      </c>
      <c r="E250" s="9" t="s">
        <v>1180</v>
      </c>
      <c r="F250" s="9" t="s">
        <v>1178</v>
      </c>
      <c r="G250" s="9" t="n">
        <v>2</v>
      </c>
    </row>
    <row r="251" customFormat="false" ht="15" hidden="false" customHeight="true" outlineLevel="0" collapsed="false">
      <c r="A251" s="9" t="s">
        <v>1491</v>
      </c>
      <c r="B251" s="9" t="s">
        <v>342</v>
      </c>
      <c r="C251" s="9" t="s">
        <v>1492</v>
      </c>
      <c r="D251" s="9" t="s">
        <v>1494</v>
      </c>
      <c r="E251" s="9" t="s">
        <v>1192</v>
      </c>
      <c r="F251" s="9" t="s">
        <v>1187</v>
      </c>
      <c r="G251" s="9" t="n">
        <v>3</v>
      </c>
    </row>
    <row r="252" customFormat="false" ht="15" hidden="false" customHeight="true" outlineLevel="0" collapsed="false">
      <c r="A252" s="9" t="s">
        <v>1491</v>
      </c>
      <c r="B252" s="9" t="s">
        <v>342</v>
      </c>
      <c r="C252" s="9" t="s">
        <v>1492</v>
      </c>
      <c r="D252" s="9" t="s">
        <v>1495</v>
      </c>
      <c r="E252" s="9" t="s">
        <v>1216</v>
      </c>
      <c r="F252" s="9" t="s">
        <v>1182</v>
      </c>
      <c r="G252" s="9" t="n">
        <v>2</v>
      </c>
    </row>
    <row r="253" customFormat="false" ht="15" hidden="false" customHeight="true" outlineLevel="0" collapsed="false">
      <c r="A253" s="9" t="s">
        <v>1491</v>
      </c>
      <c r="B253" s="9" t="s">
        <v>342</v>
      </c>
      <c r="C253" s="9" t="s">
        <v>1492</v>
      </c>
      <c r="D253" s="9" t="s">
        <v>1496</v>
      </c>
      <c r="E253" s="9" t="s">
        <v>1204</v>
      </c>
      <c r="F253" s="9" t="s">
        <v>1182</v>
      </c>
      <c r="G253" s="9" t="n">
        <v>3</v>
      </c>
    </row>
    <row r="254" customFormat="false" ht="15" hidden="false" customHeight="true" outlineLevel="0" collapsed="false">
      <c r="A254" s="9" t="s">
        <v>1491</v>
      </c>
      <c r="B254" s="9" t="s">
        <v>342</v>
      </c>
      <c r="C254" s="9" t="s">
        <v>1492</v>
      </c>
      <c r="D254" s="9" t="s">
        <v>1497</v>
      </c>
      <c r="E254" s="9" t="s">
        <v>1216</v>
      </c>
      <c r="F254" s="9" t="s">
        <v>1196</v>
      </c>
      <c r="G254" s="9" t="n">
        <v>4</v>
      </c>
    </row>
    <row r="255" customFormat="false" ht="15" hidden="false" customHeight="true" outlineLevel="0" collapsed="false">
      <c r="A255" s="9" t="s">
        <v>1491</v>
      </c>
      <c r="B255" s="9" t="s">
        <v>342</v>
      </c>
      <c r="C255" s="9" t="s">
        <v>1492</v>
      </c>
      <c r="D255" s="9" t="s">
        <v>1498</v>
      </c>
      <c r="E255" s="9" t="s">
        <v>1192</v>
      </c>
      <c r="F255" s="9" t="s">
        <v>1196</v>
      </c>
      <c r="G255" s="9" t="n">
        <v>2</v>
      </c>
    </row>
    <row r="256" customFormat="false" ht="15" hidden="false" customHeight="true" outlineLevel="0" collapsed="false">
      <c r="A256" s="9" t="s">
        <v>1491</v>
      </c>
      <c r="B256" s="9" t="s">
        <v>342</v>
      </c>
      <c r="C256" s="9" t="s">
        <v>1492</v>
      </c>
      <c r="D256" s="9" t="s">
        <v>1499</v>
      </c>
      <c r="E256" s="9" t="s">
        <v>1198</v>
      </c>
      <c r="F256" s="9" t="s">
        <v>1187</v>
      </c>
      <c r="G256" s="9" t="n">
        <v>2</v>
      </c>
    </row>
    <row r="257" customFormat="false" ht="15" hidden="false" customHeight="true" outlineLevel="0" collapsed="false">
      <c r="A257" s="9" t="s">
        <v>1491</v>
      </c>
      <c r="B257" s="9" t="s">
        <v>342</v>
      </c>
      <c r="C257" s="9" t="s">
        <v>1492</v>
      </c>
      <c r="D257" s="9" t="s">
        <v>1500</v>
      </c>
      <c r="E257" s="9" t="s">
        <v>1216</v>
      </c>
      <c r="F257" s="9" t="s">
        <v>1190</v>
      </c>
      <c r="G257" s="9" t="n">
        <v>2</v>
      </c>
    </row>
    <row r="258" customFormat="false" ht="15" hidden="false" customHeight="true" outlineLevel="0" collapsed="false">
      <c r="A258" s="9" t="s">
        <v>1501</v>
      </c>
      <c r="B258" s="9" t="s">
        <v>888</v>
      </c>
      <c r="C258" s="9" t="s">
        <v>1502</v>
      </c>
      <c r="D258" s="9" t="s">
        <v>1503</v>
      </c>
      <c r="E258" s="9" t="s">
        <v>1180</v>
      </c>
      <c r="F258" s="9" t="s">
        <v>1182</v>
      </c>
      <c r="G258" s="9" t="n">
        <v>3</v>
      </c>
    </row>
    <row r="259" customFormat="false" ht="15" hidden="false" customHeight="true" outlineLevel="0" collapsed="false">
      <c r="A259" s="9" t="s">
        <v>1501</v>
      </c>
      <c r="B259" s="9" t="s">
        <v>888</v>
      </c>
      <c r="C259" s="9" t="s">
        <v>1502</v>
      </c>
      <c r="D259" s="9" t="s">
        <v>1504</v>
      </c>
      <c r="E259" s="9" t="s">
        <v>1198</v>
      </c>
      <c r="F259" s="9" t="s">
        <v>1178</v>
      </c>
      <c r="G259" s="9" t="n">
        <v>2</v>
      </c>
    </row>
    <row r="260" customFormat="false" ht="15" hidden="false" customHeight="true" outlineLevel="0" collapsed="false">
      <c r="A260" s="9" t="s">
        <v>1505</v>
      </c>
      <c r="B260" s="9" t="s">
        <v>292</v>
      </c>
      <c r="C260" s="9" t="s">
        <v>1506</v>
      </c>
      <c r="D260" s="9" t="s">
        <v>1507</v>
      </c>
      <c r="E260" s="9" t="s">
        <v>1198</v>
      </c>
      <c r="F260" s="9" t="s">
        <v>1178</v>
      </c>
      <c r="G260" s="9" t="n">
        <v>4</v>
      </c>
    </row>
    <row r="261" customFormat="false" ht="15" hidden="false" customHeight="true" outlineLevel="0" collapsed="false">
      <c r="A261" s="9" t="s">
        <v>1508</v>
      </c>
      <c r="B261" s="9" t="s">
        <v>1034</v>
      </c>
      <c r="C261" s="9" t="s">
        <v>1509</v>
      </c>
      <c r="D261" s="9" t="s">
        <v>1355</v>
      </c>
      <c r="E261" s="9" t="s">
        <v>1204</v>
      </c>
      <c r="F261" s="9" t="s">
        <v>1187</v>
      </c>
      <c r="G261" s="9" t="n">
        <v>3</v>
      </c>
    </row>
    <row r="262" customFormat="false" ht="15" hidden="false" customHeight="true" outlineLevel="0" collapsed="false">
      <c r="A262" s="9" t="s">
        <v>1508</v>
      </c>
      <c r="B262" s="9" t="s">
        <v>1034</v>
      </c>
      <c r="C262" s="9" t="s">
        <v>1509</v>
      </c>
      <c r="D262" s="9" t="s">
        <v>1510</v>
      </c>
      <c r="E262" s="9" t="s">
        <v>1192</v>
      </c>
      <c r="F262" s="9" t="s">
        <v>1196</v>
      </c>
      <c r="G262" s="9" t="n">
        <v>3</v>
      </c>
    </row>
    <row r="263" customFormat="false" ht="15" hidden="false" customHeight="true" outlineLevel="0" collapsed="false">
      <c r="A263" s="9" t="s">
        <v>1508</v>
      </c>
      <c r="B263" s="9" t="s">
        <v>1034</v>
      </c>
      <c r="C263" s="9" t="s">
        <v>1509</v>
      </c>
      <c r="D263" s="9" t="s">
        <v>1511</v>
      </c>
      <c r="E263" s="9" t="s">
        <v>1204</v>
      </c>
      <c r="F263" s="9" t="s">
        <v>1190</v>
      </c>
      <c r="G263" s="9" t="n">
        <v>3</v>
      </c>
    </row>
    <row r="264" customFormat="false" ht="15" hidden="false" customHeight="true" outlineLevel="0" collapsed="false">
      <c r="A264" s="9" t="s">
        <v>1512</v>
      </c>
      <c r="B264" s="9" t="s">
        <v>297</v>
      </c>
      <c r="C264" s="9" t="s">
        <v>1513</v>
      </c>
      <c r="D264" s="9" t="s">
        <v>1514</v>
      </c>
      <c r="E264" s="9" t="s">
        <v>1198</v>
      </c>
      <c r="F264" s="9" t="s">
        <v>1196</v>
      </c>
      <c r="G264" s="9" t="n">
        <v>2</v>
      </c>
    </row>
    <row r="265" customFormat="false" ht="15" hidden="false" customHeight="true" outlineLevel="0" collapsed="false">
      <c r="A265" s="9" t="s">
        <v>1515</v>
      </c>
      <c r="B265" s="9" t="s">
        <v>153</v>
      </c>
      <c r="C265" s="9" t="s">
        <v>1516</v>
      </c>
      <c r="D265" s="9" t="s">
        <v>1517</v>
      </c>
      <c r="E265" s="9" t="s">
        <v>1204</v>
      </c>
      <c r="F265" s="9" t="s">
        <v>1190</v>
      </c>
      <c r="G265" s="9" t="n">
        <v>4</v>
      </c>
    </row>
    <row r="266" customFormat="false" ht="15" hidden="false" customHeight="true" outlineLevel="0" collapsed="false">
      <c r="A266" s="9" t="s">
        <v>1515</v>
      </c>
      <c r="B266" s="9" t="s">
        <v>153</v>
      </c>
      <c r="C266" s="9" t="s">
        <v>1516</v>
      </c>
      <c r="D266" s="9" t="s">
        <v>1518</v>
      </c>
      <c r="E266" s="9" t="s">
        <v>1204</v>
      </c>
      <c r="F266" s="9" t="s">
        <v>1190</v>
      </c>
      <c r="G266" s="9" t="n">
        <v>2</v>
      </c>
    </row>
    <row r="267" customFormat="false" ht="15" hidden="false" customHeight="true" outlineLevel="0" collapsed="false">
      <c r="A267" s="9" t="s">
        <v>1519</v>
      </c>
      <c r="B267" s="9" t="s">
        <v>764</v>
      </c>
      <c r="C267" s="9" t="s">
        <v>1520</v>
      </c>
      <c r="D267" s="9" t="s">
        <v>1356</v>
      </c>
      <c r="E267" s="9" t="s">
        <v>1180</v>
      </c>
      <c r="F267" s="9" t="s">
        <v>1196</v>
      </c>
      <c r="G267" s="9" t="n">
        <v>2</v>
      </c>
    </row>
    <row r="268" customFormat="false" ht="15" hidden="false" customHeight="true" outlineLevel="0" collapsed="false">
      <c r="A268" s="9" t="s">
        <v>1519</v>
      </c>
      <c r="B268" s="9" t="s">
        <v>764</v>
      </c>
      <c r="C268" s="9" t="s">
        <v>1520</v>
      </c>
      <c r="D268" s="9" t="s">
        <v>1461</v>
      </c>
      <c r="E268" s="9" t="s">
        <v>1204</v>
      </c>
      <c r="F268" s="9" t="s">
        <v>1187</v>
      </c>
      <c r="G268" s="9" t="n">
        <v>3</v>
      </c>
    </row>
    <row r="269" customFormat="false" ht="15" hidden="false" customHeight="true" outlineLevel="0" collapsed="false">
      <c r="A269" s="9" t="s">
        <v>1519</v>
      </c>
      <c r="B269" s="9" t="s">
        <v>764</v>
      </c>
      <c r="C269" s="9" t="s">
        <v>1520</v>
      </c>
      <c r="D269" s="9" t="s">
        <v>1521</v>
      </c>
      <c r="E269" s="9" t="s">
        <v>1204</v>
      </c>
      <c r="F269" s="9" t="s">
        <v>1187</v>
      </c>
      <c r="G269" s="9" t="n">
        <v>3</v>
      </c>
    </row>
    <row r="270" customFormat="false" ht="15" hidden="false" customHeight="true" outlineLevel="0" collapsed="false">
      <c r="A270" s="9" t="s">
        <v>1519</v>
      </c>
      <c r="B270" s="9" t="s">
        <v>764</v>
      </c>
      <c r="C270" s="9" t="s">
        <v>1520</v>
      </c>
      <c r="D270" s="9" t="s">
        <v>1468</v>
      </c>
      <c r="E270" s="9" t="s">
        <v>1192</v>
      </c>
      <c r="F270" s="9" t="s">
        <v>1178</v>
      </c>
      <c r="G270" s="9" t="n">
        <v>2</v>
      </c>
    </row>
    <row r="271" customFormat="false" ht="15" hidden="false" customHeight="true" outlineLevel="0" collapsed="false">
      <c r="A271" s="9" t="s">
        <v>1519</v>
      </c>
      <c r="B271" s="9" t="s">
        <v>764</v>
      </c>
      <c r="C271" s="9" t="s">
        <v>1520</v>
      </c>
      <c r="D271" s="9" t="s">
        <v>1266</v>
      </c>
      <c r="E271" s="9" t="s">
        <v>1177</v>
      </c>
      <c r="F271" s="9" t="s">
        <v>1190</v>
      </c>
      <c r="G271" s="9" t="n">
        <v>2</v>
      </c>
    </row>
    <row r="272" customFormat="false" ht="15" hidden="false" customHeight="true" outlineLevel="0" collapsed="false">
      <c r="A272" s="9" t="s">
        <v>1519</v>
      </c>
      <c r="B272" s="9" t="s">
        <v>764</v>
      </c>
      <c r="C272" s="9" t="s">
        <v>1520</v>
      </c>
      <c r="D272" s="9" t="s">
        <v>1522</v>
      </c>
      <c r="E272" s="9" t="s">
        <v>1189</v>
      </c>
      <c r="F272" s="9" t="s">
        <v>1182</v>
      </c>
      <c r="G272" s="9" t="n">
        <v>2</v>
      </c>
    </row>
    <row r="273" customFormat="false" ht="15" hidden="false" customHeight="true" outlineLevel="0" collapsed="false">
      <c r="A273" s="9" t="s">
        <v>1519</v>
      </c>
      <c r="B273" s="9" t="s">
        <v>764</v>
      </c>
      <c r="C273" s="9" t="s">
        <v>1520</v>
      </c>
      <c r="D273" s="9" t="s">
        <v>1301</v>
      </c>
      <c r="E273" s="9" t="s">
        <v>1189</v>
      </c>
      <c r="F273" s="9" t="s">
        <v>1182</v>
      </c>
      <c r="G273" s="9" t="n">
        <v>2</v>
      </c>
    </row>
    <row r="274" customFormat="false" ht="15" hidden="false" customHeight="true" outlineLevel="0" collapsed="false">
      <c r="A274" s="9" t="s">
        <v>1519</v>
      </c>
      <c r="B274" s="9" t="s">
        <v>764</v>
      </c>
      <c r="C274" s="9" t="s">
        <v>1520</v>
      </c>
      <c r="D274" s="9" t="s">
        <v>1523</v>
      </c>
      <c r="E274" s="9" t="s">
        <v>1192</v>
      </c>
      <c r="F274" s="9" t="s">
        <v>1187</v>
      </c>
      <c r="G274" s="9" t="n">
        <v>2</v>
      </c>
    </row>
    <row r="275" customFormat="false" ht="15" hidden="false" customHeight="true" outlineLevel="0" collapsed="false">
      <c r="A275" s="9" t="s">
        <v>1519</v>
      </c>
      <c r="B275" s="9" t="s">
        <v>764</v>
      </c>
      <c r="C275" s="9" t="s">
        <v>1520</v>
      </c>
      <c r="D275" s="9" t="s">
        <v>1524</v>
      </c>
      <c r="E275" s="9" t="s">
        <v>1525</v>
      </c>
      <c r="F275" s="9" t="s">
        <v>1190</v>
      </c>
      <c r="G275" s="9" t="n">
        <v>2</v>
      </c>
    </row>
    <row r="276" customFormat="false" ht="15" hidden="false" customHeight="true" outlineLevel="0" collapsed="false">
      <c r="A276" s="9" t="s">
        <v>1519</v>
      </c>
      <c r="B276" s="9" t="s">
        <v>764</v>
      </c>
      <c r="C276" s="9" t="s">
        <v>1520</v>
      </c>
      <c r="D276" s="9" t="s">
        <v>1526</v>
      </c>
      <c r="E276" s="9" t="s">
        <v>1186</v>
      </c>
      <c r="F276" s="9" t="s">
        <v>1182</v>
      </c>
      <c r="G276" s="9" t="n">
        <v>3</v>
      </c>
    </row>
    <row r="277" customFormat="false" ht="15" hidden="false" customHeight="true" outlineLevel="0" collapsed="false">
      <c r="A277" s="9" t="s">
        <v>1519</v>
      </c>
      <c r="B277" s="9" t="s">
        <v>764</v>
      </c>
      <c r="C277" s="9" t="s">
        <v>1520</v>
      </c>
      <c r="D277" s="9" t="s">
        <v>1302</v>
      </c>
      <c r="E277" s="9" t="s">
        <v>1216</v>
      </c>
      <c r="F277" s="9" t="s">
        <v>1187</v>
      </c>
      <c r="G277" s="9" t="n">
        <v>3</v>
      </c>
    </row>
    <row r="278" customFormat="false" ht="15" hidden="false" customHeight="true" outlineLevel="0" collapsed="false">
      <c r="A278" s="9" t="s">
        <v>1519</v>
      </c>
      <c r="B278" s="9" t="s">
        <v>764</v>
      </c>
      <c r="C278" s="9" t="s">
        <v>1520</v>
      </c>
      <c r="D278" s="9" t="s">
        <v>1527</v>
      </c>
      <c r="E278" s="9" t="s">
        <v>1189</v>
      </c>
      <c r="F278" s="9" t="s">
        <v>1187</v>
      </c>
      <c r="G278" s="9" t="n">
        <v>2</v>
      </c>
    </row>
    <row r="279" customFormat="false" ht="15" hidden="false" customHeight="true" outlineLevel="0" collapsed="false">
      <c r="A279" s="9" t="s">
        <v>1528</v>
      </c>
      <c r="B279" s="9" t="s">
        <v>923</v>
      </c>
      <c r="C279" s="9" t="s">
        <v>1529</v>
      </c>
      <c r="D279" s="9" t="s">
        <v>1530</v>
      </c>
      <c r="E279" s="9" t="s">
        <v>1180</v>
      </c>
      <c r="F279" s="9" t="s">
        <v>1196</v>
      </c>
      <c r="G279" s="9" t="n">
        <v>4</v>
      </c>
    </row>
    <row r="280" customFormat="false" ht="15" hidden="false" customHeight="true" outlineLevel="0" collapsed="false">
      <c r="A280" s="9" t="s">
        <v>1528</v>
      </c>
      <c r="B280" s="9" t="s">
        <v>923</v>
      </c>
      <c r="C280" s="9" t="s">
        <v>1529</v>
      </c>
      <c r="D280" s="9" t="s">
        <v>1531</v>
      </c>
      <c r="E280" s="9" t="s">
        <v>1216</v>
      </c>
      <c r="F280" s="9" t="s">
        <v>1182</v>
      </c>
      <c r="G280" s="9" t="n">
        <v>2</v>
      </c>
    </row>
    <row r="281" customFormat="false" ht="15" hidden="false" customHeight="true" outlineLevel="0" collapsed="false">
      <c r="A281" s="9" t="s">
        <v>1528</v>
      </c>
      <c r="B281" s="9" t="s">
        <v>923</v>
      </c>
      <c r="C281" s="9" t="s">
        <v>1529</v>
      </c>
      <c r="D281" s="9" t="s">
        <v>1532</v>
      </c>
      <c r="E281" s="9" t="s">
        <v>1192</v>
      </c>
      <c r="F281" s="9" t="s">
        <v>1182</v>
      </c>
      <c r="G281" s="9"/>
    </row>
    <row r="282" customFormat="false" ht="15" hidden="false" customHeight="true" outlineLevel="0" collapsed="false">
      <c r="A282" s="9" t="s">
        <v>1528</v>
      </c>
      <c r="B282" s="9" t="s">
        <v>923</v>
      </c>
      <c r="C282" s="9" t="s">
        <v>1529</v>
      </c>
      <c r="D282" s="9" t="s">
        <v>1533</v>
      </c>
      <c r="E282" s="9" t="s">
        <v>1198</v>
      </c>
      <c r="F282" s="9" t="s">
        <v>1196</v>
      </c>
      <c r="G282" s="9" t="n">
        <v>3</v>
      </c>
    </row>
    <row r="283" customFormat="false" ht="15" hidden="false" customHeight="true" outlineLevel="0" collapsed="false">
      <c r="A283" s="9" t="s">
        <v>1528</v>
      </c>
      <c r="B283" s="9" t="s">
        <v>923</v>
      </c>
      <c r="C283" s="9" t="s">
        <v>1529</v>
      </c>
      <c r="D283" s="9" t="s">
        <v>1534</v>
      </c>
      <c r="E283" s="9" t="s">
        <v>1177</v>
      </c>
      <c r="F283" s="9" t="s">
        <v>1182</v>
      </c>
      <c r="G283" s="9" t="n">
        <v>2</v>
      </c>
    </row>
    <row r="284" customFormat="false" ht="15" hidden="false" customHeight="true" outlineLevel="0" collapsed="false">
      <c r="A284" s="9" t="s">
        <v>1528</v>
      </c>
      <c r="B284" s="9" t="s">
        <v>923</v>
      </c>
      <c r="C284" s="9" t="s">
        <v>1529</v>
      </c>
      <c r="D284" s="9" t="s">
        <v>1298</v>
      </c>
      <c r="E284" s="9" t="s">
        <v>1177</v>
      </c>
      <c r="F284" s="9" t="s">
        <v>1196</v>
      </c>
      <c r="G284" s="9" t="n">
        <v>2</v>
      </c>
    </row>
    <row r="285" customFormat="false" ht="15" hidden="false" customHeight="true" outlineLevel="0" collapsed="false">
      <c r="A285" s="9" t="s">
        <v>1535</v>
      </c>
      <c r="B285" s="9" t="s">
        <v>846</v>
      </c>
      <c r="C285" s="9" t="s">
        <v>1536</v>
      </c>
      <c r="D285" s="9" t="s">
        <v>1537</v>
      </c>
      <c r="E285" s="9" t="s">
        <v>1186</v>
      </c>
      <c r="F285" s="9" t="s">
        <v>1190</v>
      </c>
      <c r="G285" s="9" t="n">
        <v>4</v>
      </c>
    </row>
    <row r="286" customFormat="false" ht="15" hidden="false" customHeight="true" outlineLevel="0" collapsed="false">
      <c r="A286" s="9" t="s">
        <v>1538</v>
      </c>
      <c r="B286" s="9" t="s">
        <v>269</v>
      </c>
      <c r="C286" s="9" t="s">
        <v>1539</v>
      </c>
      <c r="D286" s="9" t="s">
        <v>1321</v>
      </c>
      <c r="E286" s="9" t="s">
        <v>1180</v>
      </c>
      <c r="F286" s="9" t="s">
        <v>1187</v>
      </c>
      <c r="G286" s="9" t="n">
        <v>4</v>
      </c>
    </row>
    <row r="287" customFormat="false" ht="15" hidden="false" customHeight="true" outlineLevel="0" collapsed="false">
      <c r="A287" s="9" t="s">
        <v>1538</v>
      </c>
      <c r="B287" s="9" t="s">
        <v>269</v>
      </c>
      <c r="C287" s="9" t="s">
        <v>1539</v>
      </c>
      <c r="D287" s="9" t="s">
        <v>1328</v>
      </c>
      <c r="E287" s="9" t="s">
        <v>1192</v>
      </c>
      <c r="F287" s="9" t="s">
        <v>1182</v>
      </c>
      <c r="G287" s="9" t="n">
        <v>3</v>
      </c>
    </row>
    <row r="288" customFormat="false" ht="15" hidden="false" customHeight="true" outlineLevel="0" collapsed="false">
      <c r="A288" s="9" t="s">
        <v>1538</v>
      </c>
      <c r="B288" s="9" t="s">
        <v>269</v>
      </c>
      <c r="C288" s="9" t="s">
        <v>1539</v>
      </c>
      <c r="D288" s="9" t="s">
        <v>1262</v>
      </c>
      <c r="E288" s="9" t="s">
        <v>1177</v>
      </c>
      <c r="F288" s="9" t="s">
        <v>1182</v>
      </c>
      <c r="G288" s="9" t="n">
        <v>3</v>
      </c>
    </row>
    <row r="289" customFormat="false" ht="15" hidden="false" customHeight="true" outlineLevel="0" collapsed="false">
      <c r="A289" s="9" t="s">
        <v>1538</v>
      </c>
      <c r="B289" s="9" t="s">
        <v>269</v>
      </c>
      <c r="C289" s="9" t="s">
        <v>1539</v>
      </c>
      <c r="D289" s="9" t="s">
        <v>1540</v>
      </c>
      <c r="E289" s="9" t="s">
        <v>1186</v>
      </c>
      <c r="F289" s="9" t="s">
        <v>1196</v>
      </c>
      <c r="G289" s="9" t="n">
        <v>3</v>
      </c>
    </row>
    <row r="290" customFormat="false" ht="15" hidden="false" customHeight="true" outlineLevel="0" collapsed="false">
      <c r="A290" s="9" t="s">
        <v>1541</v>
      </c>
      <c r="B290" s="9" t="s">
        <v>167</v>
      </c>
      <c r="C290" s="9" t="s">
        <v>1542</v>
      </c>
      <c r="D290" s="9" t="s">
        <v>1540</v>
      </c>
      <c r="E290" s="9" t="s">
        <v>1180</v>
      </c>
      <c r="F290" s="9" t="s">
        <v>1190</v>
      </c>
      <c r="G290" s="9" t="n">
        <v>2</v>
      </c>
    </row>
    <row r="291" customFormat="false" ht="15" hidden="false" customHeight="true" outlineLevel="0" collapsed="false">
      <c r="A291" s="9" t="s">
        <v>1543</v>
      </c>
      <c r="B291" s="9" t="s">
        <v>721</v>
      </c>
      <c r="C291" s="9" t="s">
        <v>1544</v>
      </c>
      <c r="D291" s="9" t="s">
        <v>1545</v>
      </c>
      <c r="E291" s="9" t="s">
        <v>1177</v>
      </c>
      <c r="F291" s="9" t="s">
        <v>1190</v>
      </c>
      <c r="G291" s="9" t="n">
        <v>2</v>
      </c>
    </row>
    <row r="292" customFormat="false" ht="15" hidden="false" customHeight="true" outlineLevel="0" collapsed="false">
      <c r="A292" s="9" t="s">
        <v>1546</v>
      </c>
      <c r="B292" s="9" t="s">
        <v>775</v>
      </c>
      <c r="C292" s="9" t="s">
        <v>1547</v>
      </c>
      <c r="D292" s="9" t="s">
        <v>1358</v>
      </c>
      <c r="E292" s="9" t="s">
        <v>1216</v>
      </c>
      <c r="F292" s="9" t="s">
        <v>1196</v>
      </c>
      <c r="G292" s="9" t="n">
        <v>2</v>
      </c>
    </row>
    <row r="293" customFormat="false" ht="15" hidden="false" customHeight="true" outlineLevel="0" collapsed="false">
      <c r="A293" s="9" t="s">
        <v>1546</v>
      </c>
      <c r="B293" s="9" t="s">
        <v>775</v>
      </c>
      <c r="C293" s="9" t="s">
        <v>1547</v>
      </c>
      <c r="D293" s="9" t="s">
        <v>1548</v>
      </c>
      <c r="E293" s="9" t="s">
        <v>1180</v>
      </c>
      <c r="F293" s="9" t="s">
        <v>1190</v>
      </c>
      <c r="G293" s="9" t="n">
        <v>3</v>
      </c>
    </row>
    <row r="294" customFormat="false" ht="15" hidden="false" customHeight="true" outlineLevel="0" collapsed="false">
      <c r="A294" s="9" t="s">
        <v>1546</v>
      </c>
      <c r="B294" s="9" t="s">
        <v>775</v>
      </c>
      <c r="C294" s="9" t="s">
        <v>1547</v>
      </c>
      <c r="D294" s="9" t="s">
        <v>1549</v>
      </c>
      <c r="E294" s="9" t="s">
        <v>1186</v>
      </c>
      <c r="F294" s="9" t="s">
        <v>1187</v>
      </c>
      <c r="G294" s="9" t="n">
        <v>2</v>
      </c>
    </row>
    <row r="295" customFormat="false" ht="15" hidden="false" customHeight="true" outlineLevel="0" collapsed="false">
      <c r="A295" s="9" t="s">
        <v>1550</v>
      </c>
      <c r="B295" s="9" t="s">
        <v>633</v>
      </c>
      <c r="C295" s="9" t="s">
        <v>1551</v>
      </c>
      <c r="D295" s="9" t="s">
        <v>1552</v>
      </c>
      <c r="E295" s="9" t="s">
        <v>1204</v>
      </c>
      <c r="F295" s="9" t="s">
        <v>1187</v>
      </c>
      <c r="G295" s="9" t="n">
        <v>6</v>
      </c>
    </row>
    <row r="296" customFormat="false" ht="15" hidden="false" customHeight="true" outlineLevel="0" collapsed="false">
      <c r="A296" s="9" t="s">
        <v>1553</v>
      </c>
      <c r="B296" s="9" t="s">
        <v>592</v>
      </c>
      <c r="C296" s="9" t="s">
        <v>1554</v>
      </c>
      <c r="D296" s="9" t="s">
        <v>1236</v>
      </c>
      <c r="E296" s="9" t="s">
        <v>1177</v>
      </c>
      <c r="F296" s="9" t="s">
        <v>1190</v>
      </c>
      <c r="G296" s="9" t="n">
        <v>3</v>
      </c>
    </row>
    <row r="297" customFormat="false" ht="15" hidden="false" customHeight="true" outlineLevel="0" collapsed="false">
      <c r="A297" s="9" t="s">
        <v>1553</v>
      </c>
      <c r="B297" s="9" t="s">
        <v>592</v>
      </c>
      <c r="C297" s="9" t="s">
        <v>1554</v>
      </c>
      <c r="D297" s="9" t="s">
        <v>1241</v>
      </c>
      <c r="E297" s="9" t="s">
        <v>1366</v>
      </c>
      <c r="F297" s="9" t="s">
        <v>1187</v>
      </c>
      <c r="G297" s="9" t="n">
        <v>3</v>
      </c>
    </row>
    <row r="298" customFormat="false" ht="15" hidden="false" customHeight="true" outlineLevel="0" collapsed="false">
      <c r="A298" s="9" t="s">
        <v>1553</v>
      </c>
      <c r="B298" s="9" t="s">
        <v>592</v>
      </c>
      <c r="C298" s="9" t="s">
        <v>1554</v>
      </c>
      <c r="D298" s="9" t="s">
        <v>1555</v>
      </c>
      <c r="E298" s="9" t="s">
        <v>1192</v>
      </c>
      <c r="F298" s="9" t="s">
        <v>1196</v>
      </c>
      <c r="G298" s="9" t="n">
        <v>2</v>
      </c>
    </row>
    <row r="299" customFormat="false" ht="15" hidden="false" customHeight="true" outlineLevel="0" collapsed="false">
      <c r="A299" s="9" t="s">
        <v>1553</v>
      </c>
      <c r="B299" s="9" t="s">
        <v>592</v>
      </c>
      <c r="C299" s="9" t="s">
        <v>1554</v>
      </c>
      <c r="D299" s="9" t="s">
        <v>1556</v>
      </c>
      <c r="E299" s="9" t="s">
        <v>1204</v>
      </c>
      <c r="F299" s="9" t="s">
        <v>1182</v>
      </c>
      <c r="G299" s="9" t="n">
        <v>3</v>
      </c>
    </row>
    <row r="300" customFormat="false" ht="15" hidden="false" customHeight="true" outlineLevel="0" collapsed="false">
      <c r="A300" s="9" t="s">
        <v>1553</v>
      </c>
      <c r="B300" s="9" t="s">
        <v>592</v>
      </c>
      <c r="C300" s="9" t="s">
        <v>1554</v>
      </c>
      <c r="D300" s="9" t="s">
        <v>1557</v>
      </c>
      <c r="E300" s="9" t="s">
        <v>1198</v>
      </c>
      <c r="F300" s="9" t="s">
        <v>1187</v>
      </c>
      <c r="G300" s="9" t="n">
        <v>3</v>
      </c>
    </row>
    <row r="301" customFormat="false" ht="15" hidden="false" customHeight="true" outlineLevel="0" collapsed="false">
      <c r="A301" s="9" t="s">
        <v>1558</v>
      </c>
      <c r="B301" s="9" t="s">
        <v>631</v>
      </c>
      <c r="C301" s="9" t="s">
        <v>1559</v>
      </c>
      <c r="D301" s="9" t="s">
        <v>1560</v>
      </c>
      <c r="E301" s="9" t="s">
        <v>1186</v>
      </c>
      <c r="F301" s="9" t="s">
        <v>1187</v>
      </c>
      <c r="G301" s="9" t="n">
        <v>2</v>
      </c>
    </row>
    <row r="302" customFormat="false" ht="15" hidden="false" customHeight="true" outlineLevel="0" collapsed="false">
      <c r="A302" s="9" t="s">
        <v>1558</v>
      </c>
      <c r="B302" s="9" t="s">
        <v>631</v>
      </c>
      <c r="C302" s="9" t="s">
        <v>1559</v>
      </c>
      <c r="D302" s="9" t="s">
        <v>1561</v>
      </c>
      <c r="E302" s="9" t="s">
        <v>1186</v>
      </c>
      <c r="F302" s="9" t="s">
        <v>1187</v>
      </c>
      <c r="G302" s="9" t="n">
        <v>3</v>
      </c>
    </row>
    <row r="303" customFormat="false" ht="15" hidden="false" customHeight="true" outlineLevel="0" collapsed="false">
      <c r="A303" s="9" t="s">
        <v>1558</v>
      </c>
      <c r="B303" s="9" t="s">
        <v>631</v>
      </c>
      <c r="C303" s="9" t="s">
        <v>1559</v>
      </c>
      <c r="D303" s="9" t="s">
        <v>1562</v>
      </c>
      <c r="E303" s="9" t="s">
        <v>1177</v>
      </c>
      <c r="F303" s="9" t="s">
        <v>1178</v>
      </c>
      <c r="G303" s="9" t="n">
        <v>6</v>
      </c>
    </row>
    <row r="304" customFormat="false" ht="15" hidden="false" customHeight="true" outlineLevel="0" collapsed="false">
      <c r="A304" s="9" t="s">
        <v>1558</v>
      </c>
      <c r="B304" s="9" t="s">
        <v>631</v>
      </c>
      <c r="C304" s="9" t="s">
        <v>1559</v>
      </c>
      <c r="D304" s="9" t="s">
        <v>1563</v>
      </c>
      <c r="E304" s="9" t="s">
        <v>1216</v>
      </c>
      <c r="F304" s="9" t="s">
        <v>1178</v>
      </c>
      <c r="G304" s="9" t="n">
        <v>3</v>
      </c>
    </row>
    <row r="305" customFormat="false" ht="15" hidden="false" customHeight="true" outlineLevel="0" collapsed="false">
      <c r="A305" s="9" t="s">
        <v>1558</v>
      </c>
      <c r="B305" s="9" t="s">
        <v>631</v>
      </c>
      <c r="C305" s="9" t="s">
        <v>1559</v>
      </c>
      <c r="D305" s="9" t="s">
        <v>1564</v>
      </c>
      <c r="E305" s="9" t="s">
        <v>1180</v>
      </c>
      <c r="F305" s="9" t="s">
        <v>1190</v>
      </c>
      <c r="G305" s="9" t="n">
        <v>2</v>
      </c>
    </row>
    <row r="306" customFormat="false" ht="15" hidden="false" customHeight="true" outlineLevel="0" collapsed="false">
      <c r="A306" s="9" t="s">
        <v>1558</v>
      </c>
      <c r="B306" s="9" t="s">
        <v>631</v>
      </c>
      <c r="C306" s="9" t="s">
        <v>1559</v>
      </c>
      <c r="D306" s="9" t="s">
        <v>1440</v>
      </c>
      <c r="E306" s="9" t="s">
        <v>1186</v>
      </c>
      <c r="F306" s="9" t="s">
        <v>1196</v>
      </c>
      <c r="G306" s="9" t="n">
        <v>2</v>
      </c>
    </row>
    <row r="307" customFormat="false" ht="15" hidden="false" customHeight="true" outlineLevel="0" collapsed="false">
      <c r="A307" s="9" t="s">
        <v>1558</v>
      </c>
      <c r="B307" s="9" t="s">
        <v>631</v>
      </c>
      <c r="C307" s="9" t="s">
        <v>1559</v>
      </c>
      <c r="D307" s="9" t="s">
        <v>1565</v>
      </c>
      <c r="E307" s="9" t="s">
        <v>1204</v>
      </c>
      <c r="F307" s="9" t="s">
        <v>1190</v>
      </c>
      <c r="G307" s="9" t="n">
        <v>2</v>
      </c>
    </row>
    <row r="308" customFormat="false" ht="15" hidden="false" customHeight="true" outlineLevel="0" collapsed="false">
      <c r="A308" s="9" t="s">
        <v>1558</v>
      </c>
      <c r="B308" s="9" t="s">
        <v>631</v>
      </c>
      <c r="C308" s="9" t="s">
        <v>1559</v>
      </c>
      <c r="D308" s="9" t="s">
        <v>1566</v>
      </c>
      <c r="E308" s="9" t="s">
        <v>1192</v>
      </c>
      <c r="F308" s="9" t="s">
        <v>1182</v>
      </c>
      <c r="G308" s="9" t="n">
        <v>3</v>
      </c>
    </row>
    <row r="309" customFormat="false" ht="15" hidden="false" customHeight="true" outlineLevel="0" collapsed="false">
      <c r="A309" s="9" t="s">
        <v>1558</v>
      </c>
      <c r="B309" s="9" t="s">
        <v>631</v>
      </c>
      <c r="C309" s="9" t="s">
        <v>1559</v>
      </c>
      <c r="D309" s="9" t="s">
        <v>1567</v>
      </c>
      <c r="E309" s="9" t="s">
        <v>1189</v>
      </c>
      <c r="F309" s="9" t="s">
        <v>1196</v>
      </c>
      <c r="G309" s="9" t="n">
        <v>2</v>
      </c>
    </row>
    <row r="310" customFormat="false" ht="15" hidden="false" customHeight="true" outlineLevel="0" collapsed="false">
      <c r="A310" s="9" t="s">
        <v>1558</v>
      </c>
      <c r="B310" s="9" t="s">
        <v>631</v>
      </c>
      <c r="C310" s="9" t="s">
        <v>1559</v>
      </c>
      <c r="D310" s="9" t="s">
        <v>1210</v>
      </c>
      <c r="E310" s="9" t="s">
        <v>1189</v>
      </c>
      <c r="F310" s="9" t="s">
        <v>1178</v>
      </c>
      <c r="G310" s="9" t="n">
        <v>2</v>
      </c>
    </row>
    <row r="311" customFormat="false" ht="15" hidden="false" customHeight="true" outlineLevel="0" collapsed="false">
      <c r="A311" s="9" t="s">
        <v>1568</v>
      </c>
      <c r="B311" s="9" t="s">
        <v>814</v>
      </c>
      <c r="C311" s="9" t="s">
        <v>1569</v>
      </c>
      <c r="D311" s="9" t="s">
        <v>1570</v>
      </c>
      <c r="E311" s="9" t="s">
        <v>1198</v>
      </c>
      <c r="F311" s="9" t="s">
        <v>1196</v>
      </c>
      <c r="G311" s="9" t="n">
        <v>2</v>
      </c>
    </row>
    <row r="312" customFormat="false" ht="15" hidden="false" customHeight="true" outlineLevel="0" collapsed="false">
      <c r="A312" s="9" t="s">
        <v>1568</v>
      </c>
      <c r="B312" s="9" t="s">
        <v>814</v>
      </c>
      <c r="C312" s="9" t="s">
        <v>1569</v>
      </c>
      <c r="D312" s="9" t="s">
        <v>1280</v>
      </c>
      <c r="E312" s="9" t="s">
        <v>1177</v>
      </c>
      <c r="F312" s="9" t="s">
        <v>1182</v>
      </c>
      <c r="G312" s="9" t="n">
        <v>4</v>
      </c>
    </row>
    <row r="313" customFormat="false" ht="15" hidden="false" customHeight="true" outlineLevel="0" collapsed="false">
      <c r="A313" s="9" t="s">
        <v>1568</v>
      </c>
      <c r="B313" s="9" t="s">
        <v>814</v>
      </c>
      <c r="C313" s="9" t="s">
        <v>1569</v>
      </c>
      <c r="D313" s="9" t="s">
        <v>1470</v>
      </c>
      <c r="E313" s="9" t="s">
        <v>1192</v>
      </c>
      <c r="F313" s="9" t="s">
        <v>1182</v>
      </c>
      <c r="G313" s="9" t="n">
        <v>2</v>
      </c>
    </row>
    <row r="314" customFormat="false" ht="15" hidden="false" customHeight="true" outlineLevel="0" collapsed="false">
      <c r="A314" s="9" t="s">
        <v>1568</v>
      </c>
      <c r="B314" s="9" t="s">
        <v>814</v>
      </c>
      <c r="C314" s="9" t="s">
        <v>1569</v>
      </c>
      <c r="D314" s="9" t="s">
        <v>1377</v>
      </c>
      <c r="E314" s="9" t="s">
        <v>1177</v>
      </c>
      <c r="F314" s="9" t="s">
        <v>1182</v>
      </c>
      <c r="G314" s="9" t="n">
        <v>3</v>
      </c>
    </row>
    <row r="315" customFormat="false" ht="15" hidden="false" customHeight="true" outlineLevel="0" collapsed="false">
      <c r="A315" s="9" t="s">
        <v>1568</v>
      </c>
      <c r="B315" s="9" t="s">
        <v>814</v>
      </c>
      <c r="C315" s="9" t="s">
        <v>1569</v>
      </c>
      <c r="D315" s="9" t="s">
        <v>1571</v>
      </c>
      <c r="E315" s="9" t="s">
        <v>1198</v>
      </c>
      <c r="F315" s="9" t="s">
        <v>1187</v>
      </c>
      <c r="G315" s="9" t="n">
        <v>2</v>
      </c>
    </row>
    <row r="316" customFormat="false" ht="15" hidden="false" customHeight="true" outlineLevel="0" collapsed="false">
      <c r="A316" s="9" t="s">
        <v>1568</v>
      </c>
      <c r="B316" s="9" t="s">
        <v>814</v>
      </c>
      <c r="C316" s="9" t="s">
        <v>1569</v>
      </c>
      <c r="D316" s="9" t="s">
        <v>1256</v>
      </c>
      <c r="E316" s="9" t="s">
        <v>1180</v>
      </c>
      <c r="F316" s="9" t="s">
        <v>1187</v>
      </c>
      <c r="G316" s="9" t="n">
        <v>2</v>
      </c>
    </row>
    <row r="317" customFormat="false" ht="15" hidden="false" customHeight="true" outlineLevel="0" collapsed="false">
      <c r="A317" s="9" t="s">
        <v>1572</v>
      </c>
      <c r="B317" s="9" t="s">
        <v>310</v>
      </c>
      <c r="C317" s="9" t="s">
        <v>1573</v>
      </c>
      <c r="D317" s="9" t="s">
        <v>1574</v>
      </c>
      <c r="E317" s="9" t="s">
        <v>1180</v>
      </c>
      <c r="F317" s="9" t="s">
        <v>1187</v>
      </c>
      <c r="G317" s="9" t="n">
        <v>3</v>
      </c>
    </row>
    <row r="318" customFormat="false" ht="15" hidden="false" customHeight="true" outlineLevel="0" collapsed="false">
      <c r="A318" s="9" t="s">
        <v>1572</v>
      </c>
      <c r="B318" s="9" t="s">
        <v>310</v>
      </c>
      <c r="C318" s="9" t="s">
        <v>1573</v>
      </c>
      <c r="D318" s="9" t="s">
        <v>1575</v>
      </c>
      <c r="E318" s="9" t="s">
        <v>1177</v>
      </c>
      <c r="F318" s="9" t="s">
        <v>1187</v>
      </c>
      <c r="G318" s="9" t="n">
        <v>2</v>
      </c>
    </row>
    <row r="319" customFormat="false" ht="15" hidden="false" customHeight="true" outlineLevel="0" collapsed="false">
      <c r="A319" s="9" t="s">
        <v>1576</v>
      </c>
      <c r="B319" s="9" t="s">
        <v>358</v>
      </c>
      <c r="C319" s="9" t="s">
        <v>1577</v>
      </c>
      <c r="D319" s="9" t="s">
        <v>1578</v>
      </c>
      <c r="E319" s="9" t="s">
        <v>1192</v>
      </c>
      <c r="F319" s="9" t="s">
        <v>1187</v>
      </c>
      <c r="G319" s="9" t="n">
        <v>3</v>
      </c>
    </row>
    <row r="320" customFormat="false" ht="15" hidden="false" customHeight="true" outlineLevel="0" collapsed="false">
      <c r="A320" s="9" t="s">
        <v>1576</v>
      </c>
      <c r="B320" s="9" t="s">
        <v>358</v>
      </c>
      <c r="C320" s="9" t="s">
        <v>1577</v>
      </c>
      <c r="D320" s="9" t="s">
        <v>1579</v>
      </c>
      <c r="E320" s="9" t="s">
        <v>1204</v>
      </c>
      <c r="F320" s="9" t="s">
        <v>1190</v>
      </c>
      <c r="G320" s="9" t="n">
        <v>4</v>
      </c>
    </row>
    <row r="321" customFormat="false" ht="15" hidden="false" customHeight="true" outlineLevel="0" collapsed="false">
      <c r="A321" s="9" t="s">
        <v>1576</v>
      </c>
      <c r="B321" s="9" t="s">
        <v>358</v>
      </c>
      <c r="C321" s="9" t="s">
        <v>1577</v>
      </c>
      <c r="D321" s="9" t="s">
        <v>1580</v>
      </c>
      <c r="E321" s="9" t="s">
        <v>1177</v>
      </c>
      <c r="F321" s="9" t="s">
        <v>1178</v>
      </c>
      <c r="G321" s="9" t="n">
        <v>3</v>
      </c>
    </row>
    <row r="322" customFormat="false" ht="15" hidden="false" customHeight="true" outlineLevel="0" collapsed="false">
      <c r="A322" s="9" t="s">
        <v>1576</v>
      </c>
      <c r="B322" s="9" t="s">
        <v>358</v>
      </c>
      <c r="C322" s="9" t="s">
        <v>1577</v>
      </c>
      <c r="D322" s="9" t="s">
        <v>1328</v>
      </c>
      <c r="E322" s="9" t="s">
        <v>1189</v>
      </c>
      <c r="F322" s="9" t="s">
        <v>1182</v>
      </c>
      <c r="G322" s="9" t="n">
        <v>2</v>
      </c>
    </row>
    <row r="323" customFormat="false" ht="15" hidden="false" customHeight="true" outlineLevel="0" collapsed="false">
      <c r="A323" s="9" t="s">
        <v>1576</v>
      </c>
      <c r="B323" s="9" t="s">
        <v>358</v>
      </c>
      <c r="C323" s="9" t="s">
        <v>1577</v>
      </c>
      <c r="D323" s="9" t="s">
        <v>1581</v>
      </c>
      <c r="E323" s="9" t="s">
        <v>1198</v>
      </c>
      <c r="F323" s="9" t="s">
        <v>1190</v>
      </c>
      <c r="G323" s="9" t="n">
        <v>4</v>
      </c>
    </row>
    <row r="324" customFormat="false" ht="15" hidden="false" customHeight="true" outlineLevel="0" collapsed="false">
      <c r="A324" s="9" t="s">
        <v>1576</v>
      </c>
      <c r="B324" s="9" t="s">
        <v>358</v>
      </c>
      <c r="C324" s="9" t="s">
        <v>1577</v>
      </c>
      <c r="D324" s="9" t="s">
        <v>1523</v>
      </c>
      <c r="E324" s="9" t="s">
        <v>1192</v>
      </c>
      <c r="F324" s="9" t="s">
        <v>1190</v>
      </c>
      <c r="G324" s="9" t="n">
        <v>4</v>
      </c>
    </row>
    <row r="325" customFormat="false" ht="15" hidden="false" customHeight="true" outlineLevel="0" collapsed="false">
      <c r="A325" s="9" t="s">
        <v>1576</v>
      </c>
      <c r="B325" s="9" t="s">
        <v>358</v>
      </c>
      <c r="C325" s="9" t="s">
        <v>1577</v>
      </c>
      <c r="D325" s="9" t="s">
        <v>1582</v>
      </c>
      <c r="E325" s="9" t="s">
        <v>1198</v>
      </c>
      <c r="F325" s="9" t="s">
        <v>1190</v>
      </c>
      <c r="G325" s="9" t="n">
        <v>2</v>
      </c>
    </row>
    <row r="326" customFormat="false" ht="15" hidden="false" customHeight="true" outlineLevel="0" collapsed="false">
      <c r="A326" s="9" t="s">
        <v>1576</v>
      </c>
      <c r="B326" s="9" t="s">
        <v>358</v>
      </c>
      <c r="C326" s="9" t="s">
        <v>1577</v>
      </c>
      <c r="D326" s="9" t="s">
        <v>1469</v>
      </c>
      <c r="E326" s="9" t="s">
        <v>1189</v>
      </c>
      <c r="F326" s="9" t="s">
        <v>1182</v>
      </c>
      <c r="G326" s="9" t="n">
        <v>2</v>
      </c>
    </row>
    <row r="327" customFormat="false" ht="15" hidden="false" customHeight="true" outlineLevel="0" collapsed="false">
      <c r="A327" s="9" t="s">
        <v>1576</v>
      </c>
      <c r="B327" s="9" t="s">
        <v>358</v>
      </c>
      <c r="C327" s="9" t="s">
        <v>1577</v>
      </c>
      <c r="D327" s="9" t="s">
        <v>1262</v>
      </c>
      <c r="E327" s="9" t="s">
        <v>1395</v>
      </c>
      <c r="F327" s="9" t="s">
        <v>1187</v>
      </c>
      <c r="G327" s="9" t="n">
        <v>5</v>
      </c>
    </row>
    <row r="328" customFormat="false" ht="15" hidden="false" customHeight="true" outlineLevel="0" collapsed="false">
      <c r="A328" s="9" t="s">
        <v>1576</v>
      </c>
      <c r="B328" s="9" t="s">
        <v>358</v>
      </c>
      <c r="C328" s="9" t="s">
        <v>1577</v>
      </c>
      <c r="D328" s="9" t="s">
        <v>1583</v>
      </c>
      <c r="E328" s="9" t="s">
        <v>1216</v>
      </c>
      <c r="F328" s="9" t="s">
        <v>1190</v>
      </c>
      <c r="G328" s="9" t="n">
        <v>2</v>
      </c>
    </row>
    <row r="329" customFormat="false" ht="15" hidden="false" customHeight="true" outlineLevel="0" collapsed="false">
      <c r="A329" s="9" t="s">
        <v>1576</v>
      </c>
      <c r="B329" s="9" t="s">
        <v>358</v>
      </c>
      <c r="C329" s="9" t="s">
        <v>1577</v>
      </c>
      <c r="D329" s="9" t="s">
        <v>1475</v>
      </c>
      <c r="E329" s="9" t="s">
        <v>1189</v>
      </c>
      <c r="F329" s="9" t="s">
        <v>1190</v>
      </c>
      <c r="G329" s="9" t="n">
        <v>4</v>
      </c>
    </row>
    <row r="330" customFormat="false" ht="15" hidden="false" customHeight="true" outlineLevel="0" collapsed="false">
      <c r="A330" s="9" t="s">
        <v>1576</v>
      </c>
      <c r="B330" s="9" t="s">
        <v>358</v>
      </c>
      <c r="C330" s="9" t="s">
        <v>1577</v>
      </c>
      <c r="D330" s="9" t="s">
        <v>1504</v>
      </c>
      <c r="E330" s="9" t="s">
        <v>1198</v>
      </c>
      <c r="F330" s="9" t="s">
        <v>1190</v>
      </c>
      <c r="G330" s="9" t="n">
        <v>4</v>
      </c>
    </row>
    <row r="331" customFormat="false" ht="15" hidden="false" customHeight="true" outlineLevel="0" collapsed="false">
      <c r="A331" s="9" t="s">
        <v>1584</v>
      </c>
      <c r="B331" s="9" t="s">
        <v>567</v>
      </c>
      <c r="C331" s="9" t="s">
        <v>1585</v>
      </c>
      <c r="D331" s="9" t="s">
        <v>1586</v>
      </c>
      <c r="E331" s="9" t="s">
        <v>1186</v>
      </c>
      <c r="F331" s="9" t="s">
        <v>1182</v>
      </c>
      <c r="G331" s="9" t="n">
        <v>2</v>
      </c>
    </row>
    <row r="332" customFormat="false" ht="15" hidden="false" customHeight="true" outlineLevel="0" collapsed="false">
      <c r="A332" s="9" t="s">
        <v>1584</v>
      </c>
      <c r="B332" s="9" t="s">
        <v>567</v>
      </c>
      <c r="C332" s="9" t="s">
        <v>1585</v>
      </c>
      <c r="D332" s="9" t="s">
        <v>1587</v>
      </c>
      <c r="E332" s="9" t="s">
        <v>1186</v>
      </c>
      <c r="F332" s="9" t="s">
        <v>1178</v>
      </c>
      <c r="G332" s="9" t="n">
        <v>2</v>
      </c>
    </row>
    <row r="333" customFormat="false" ht="15" hidden="false" customHeight="true" outlineLevel="0" collapsed="false">
      <c r="A333" s="9" t="s">
        <v>1584</v>
      </c>
      <c r="B333" s="9" t="s">
        <v>567</v>
      </c>
      <c r="C333" s="9" t="s">
        <v>1585</v>
      </c>
      <c r="D333" s="9" t="s">
        <v>1588</v>
      </c>
      <c r="E333" s="9" t="s">
        <v>1192</v>
      </c>
      <c r="F333" s="9" t="s">
        <v>1182</v>
      </c>
      <c r="G333" s="9" t="n">
        <v>3</v>
      </c>
    </row>
    <row r="334" customFormat="false" ht="15" hidden="false" customHeight="true" outlineLevel="0" collapsed="false">
      <c r="A334" s="9" t="s">
        <v>1589</v>
      </c>
      <c r="B334" s="9" t="s">
        <v>1138</v>
      </c>
      <c r="C334" s="9" t="s">
        <v>1590</v>
      </c>
      <c r="D334" s="9" t="s">
        <v>1394</v>
      </c>
      <c r="E334" s="9" t="s">
        <v>1180</v>
      </c>
      <c r="F334" s="9" t="s">
        <v>1187</v>
      </c>
      <c r="G334" s="9" t="n">
        <v>2</v>
      </c>
    </row>
    <row r="335" customFormat="false" ht="15" hidden="false" customHeight="true" outlineLevel="0" collapsed="false">
      <c r="A335" s="9" t="s">
        <v>1589</v>
      </c>
      <c r="B335" s="9" t="s">
        <v>1138</v>
      </c>
      <c r="C335" s="9" t="s">
        <v>1590</v>
      </c>
      <c r="D335" s="9" t="s">
        <v>1591</v>
      </c>
      <c r="E335" s="9" t="s">
        <v>1204</v>
      </c>
      <c r="F335" s="9" t="s">
        <v>1182</v>
      </c>
      <c r="G335" s="9" t="n">
        <v>3</v>
      </c>
    </row>
    <row r="336" customFormat="false" ht="15" hidden="false" customHeight="true" outlineLevel="0" collapsed="false">
      <c r="A336" s="9" t="s">
        <v>1589</v>
      </c>
      <c r="B336" s="9" t="s">
        <v>1138</v>
      </c>
      <c r="C336" s="9" t="s">
        <v>1590</v>
      </c>
      <c r="D336" s="9" t="s">
        <v>1592</v>
      </c>
      <c r="E336" s="9" t="s">
        <v>1189</v>
      </c>
      <c r="F336" s="9" t="s">
        <v>1178</v>
      </c>
      <c r="G336" s="9" t="n">
        <v>3</v>
      </c>
    </row>
    <row r="337" customFormat="false" ht="15" hidden="false" customHeight="true" outlineLevel="0" collapsed="false">
      <c r="A337" s="9" t="s">
        <v>1589</v>
      </c>
      <c r="B337" s="9" t="s">
        <v>1138</v>
      </c>
      <c r="C337" s="9" t="s">
        <v>1590</v>
      </c>
      <c r="D337" s="9" t="s">
        <v>1593</v>
      </c>
      <c r="E337" s="9" t="s">
        <v>1186</v>
      </c>
      <c r="F337" s="9" t="s">
        <v>1178</v>
      </c>
      <c r="G337" s="9" t="n">
        <v>3</v>
      </c>
    </row>
    <row r="338" customFormat="false" ht="15" hidden="false" customHeight="true" outlineLevel="0" collapsed="false">
      <c r="A338" s="9" t="s">
        <v>1589</v>
      </c>
      <c r="B338" s="9" t="s">
        <v>1138</v>
      </c>
      <c r="C338" s="9" t="s">
        <v>1590</v>
      </c>
      <c r="D338" s="9" t="s">
        <v>1230</v>
      </c>
      <c r="E338" s="9" t="s">
        <v>1198</v>
      </c>
      <c r="F338" s="9" t="s">
        <v>1178</v>
      </c>
      <c r="G338" s="9" t="n">
        <v>2</v>
      </c>
    </row>
    <row r="339" customFormat="false" ht="15" hidden="false" customHeight="true" outlineLevel="0" collapsed="false">
      <c r="A339" s="9" t="s">
        <v>1594</v>
      </c>
      <c r="B339" s="9" t="s">
        <v>402</v>
      </c>
      <c r="C339" s="9" t="s">
        <v>1595</v>
      </c>
      <c r="D339" s="9" t="s">
        <v>1533</v>
      </c>
      <c r="E339" s="9" t="s">
        <v>1177</v>
      </c>
      <c r="F339" s="9" t="s">
        <v>1187</v>
      </c>
      <c r="G339" s="9" t="n">
        <v>5</v>
      </c>
    </row>
    <row r="340" customFormat="false" ht="15" hidden="false" customHeight="true" outlineLevel="0" collapsed="false">
      <c r="A340" s="9" t="s">
        <v>1594</v>
      </c>
      <c r="B340" s="9" t="s">
        <v>402</v>
      </c>
      <c r="C340" s="9" t="s">
        <v>1595</v>
      </c>
      <c r="D340" s="9" t="s">
        <v>1596</v>
      </c>
      <c r="E340" s="9" t="s">
        <v>1189</v>
      </c>
      <c r="F340" s="9" t="s">
        <v>1182</v>
      </c>
      <c r="G340" s="9" t="n">
        <v>3</v>
      </c>
    </row>
    <row r="341" customFormat="false" ht="15" hidden="false" customHeight="true" outlineLevel="0" collapsed="false">
      <c r="A341" s="9" t="s">
        <v>1594</v>
      </c>
      <c r="B341" s="9" t="s">
        <v>402</v>
      </c>
      <c r="C341" s="9" t="s">
        <v>1595</v>
      </c>
      <c r="D341" s="9" t="s">
        <v>1597</v>
      </c>
      <c r="E341" s="9" t="s">
        <v>1204</v>
      </c>
      <c r="F341" s="9" t="s">
        <v>1178</v>
      </c>
      <c r="G341" s="9" t="n">
        <v>2</v>
      </c>
    </row>
    <row r="342" customFormat="false" ht="15" hidden="false" customHeight="true" outlineLevel="0" collapsed="false">
      <c r="A342" s="9" t="s">
        <v>1594</v>
      </c>
      <c r="B342" s="9" t="s">
        <v>402</v>
      </c>
      <c r="C342" s="9" t="s">
        <v>1595</v>
      </c>
      <c r="D342" s="9" t="s">
        <v>1598</v>
      </c>
      <c r="E342" s="9" t="s">
        <v>1216</v>
      </c>
      <c r="F342" s="9" t="s">
        <v>1187</v>
      </c>
      <c r="G342" s="9" t="n">
        <v>3</v>
      </c>
    </row>
    <row r="343" customFormat="false" ht="15" hidden="false" customHeight="true" outlineLevel="0" collapsed="false">
      <c r="A343" s="9" t="s">
        <v>1594</v>
      </c>
      <c r="B343" s="9" t="s">
        <v>402</v>
      </c>
      <c r="C343" s="9" t="s">
        <v>1595</v>
      </c>
      <c r="D343" s="9" t="s">
        <v>1599</v>
      </c>
      <c r="E343" s="9" t="s">
        <v>1180</v>
      </c>
      <c r="F343" s="9" t="s">
        <v>1182</v>
      </c>
      <c r="G343" s="9" t="n">
        <v>2</v>
      </c>
    </row>
    <row r="344" customFormat="false" ht="15" hidden="false" customHeight="true" outlineLevel="0" collapsed="false">
      <c r="A344" s="9" t="s">
        <v>1594</v>
      </c>
      <c r="B344" s="9" t="s">
        <v>402</v>
      </c>
      <c r="C344" s="9" t="s">
        <v>1595</v>
      </c>
      <c r="D344" s="9" t="s">
        <v>1600</v>
      </c>
      <c r="E344" s="9" t="s">
        <v>1204</v>
      </c>
      <c r="F344" s="9" t="s">
        <v>1182</v>
      </c>
      <c r="G344" s="9" t="n">
        <v>3</v>
      </c>
    </row>
    <row r="345" customFormat="false" ht="15" hidden="false" customHeight="true" outlineLevel="0" collapsed="false">
      <c r="A345" s="9" t="s">
        <v>1594</v>
      </c>
      <c r="B345" s="9" t="s">
        <v>402</v>
      </c>
      <c r="C345" s="9" t="s">
        <v>1595</v>
      </c>
      <c r="D345" s="9" t="s">
        <v>1601</v>
      </c>
      <c r="E345" s="9" t="s">
        <v>1180</v>
      </c>
      <c r="F345" s="9" t="s">
        <v>1190</v>
      </c>
      <c r="G345" s="9" t="n">
        <v>2</v>
      </c>
    </row>
    <row r="346" customFormat="false" ht="15" hidden="false" customHeight="true" outlineLevel="0" collapsed="false">
      <c r="A346" s="9" t="s">
        <v>1594</v>
      </c>
      <c r="B346" s="9" t="s">
        <v>402</v>
      </c>
      <c r="C346" s="9" t="s">
        <v>1595</v>
      </c>
      <c r="D346" s="9" t="s">
        <v>1602</v>
      </c>
      <c r="E346" s="9" t="s">
        <v>1216</v>
      </c>
      <c r="F346" s="9" t="s">
        <v>1182</v>
      </c>
      <c r="G346" s="9" t="n">
        <v>6</v>
      </c>
    </row>
    <row r="347" customFormat="false" ht="15" hidden="false" customHeight="true" outlineLevel="0" collapsed="false">
      <c r="A347" s="9" t="s">
        <v>1603</v>
      </c>
      <c r="B347" s="9" t="s">
        <v>1078</v>
      </c>
      <c r="C347" s="9" t="s">
        <v>1604</v>
      </c>
      <c r="D347" s="9" t="s">
        <v>1537</v>
      </c>
      <c r="E347" s="9" t="s">
        <v>1277</v>
      </c>
      <c r="F347" s="9" t="s">
        <v>1196</v>
      </c>
      <c r="G347" s="9" t="n">
        <v>2</v>
      </c>
    </row>
    <row r="348" customFormat="false" ht="15" hidden="false" customHeight="true" outlineLevel="0" collapsed="false">
      <c r="A348" s="9" t="s">
        <v>1603</v>
      </c>
      <c r="B348" s="9" t="s">
        <v>1078</v>
      </c>
      <c r="C348" s="9" t="s">
        <v>1604</v>
      </c>
      <c r="D348" s="9" t="s">
        <v>1301</v>
      </c>
      <c r="E348" s="9" t="s">
        <v>1204</v>
      </c>
      <c r="F348" s="9" t="s">
        <v>1187</v>
      </c>
      <c r="G348" s="9" t="n">
        <v>2</v>
      </c>
    </row>
    <row r="349" customFormat="false" ht="15" hidden="false" customHeight="true" outlineLevel="0" collapsed="false">
      <c r="A349" s="9" t="s">
        <v>1605</v>
      </c>
      <c r="B349" s="9" t="s">
        <v>378</v>
      </c>
      <c r="C349" s="9" t="s">
        <v>1606</v>
      </c>
      <c r="D349" s="9" t="s">
        <v>1607</v>
      </c>
      <c r="E349" s="9" t="s">
        <v>1395</v>
      </c>
      <c r="F349" s="9" t="s">
        <v>1187</v>
      </c>
      <c r="G349" s="9" t="n">
        <v>5</v>
      </c>
    </row>
    <row r="350" customFormat="false" ht="15" hidden="false" customHeight="true" outlineLevel="0" collapsed="false">
      <c r="A350" s="9" t="s">
        <v>1605</v>
      </c>
      <c r="B350" s="9" t="s">
        <v>378</v>
      </c>
      <c r="C350" s="9" t="s">
        <v>1606</v>
      </c>
      <c r="D350" s="9" t="s">
        <v>1608</v>
      </c>
      <c r="E350" s="9" t="s">
        <v>1216</v>
      </c>
      <c r="F350" s="9" t="s">
        <v>1190</v>
      </c>
      <c r="G350" s="9" t="n">
        <v>2</v>
      </c>
    </row>
    <row r="351" customFormat="false" ht="15" hidden="false" customHeight="true" outlineLevel="0" collapsed="false">
      <c r="A351" s="9" t="s">
        <v>1609</v>
      </c>
      <c r="B351" s="9" t="s">
        <v>1004</v>
      </c>
      <c r="C351" s="9" t="s">
        <v>1610</v>
      </c>
      <c r="D351" s="9" t="s">
        <v>1611</v>
      </c>
      <c r="E351" s="9" t="s">
        <v>1177</v>
      </c>
      <c r="F351" s="9" t="s">
        <v>1187</v>
      </c>
      <c r="G351" s="9" t="n">
        <v>2</v>
      </c>
    </row>
    <row r="352" customFormat="false" ht="15" hidden="false" customHeight="true" outlineLevel="0" collapsed="false">
      <c r="A352" s="9" t="s">
        <v>1609</v>
      </c>
      <c r="B352" s="9" t="s">
        <v>1004</v>
      </c>
      <c r="C352" s="9" t="s">
        <v>1610</v>
      </c>
      <c r="D352" s="9" t="s">
        <v>1612</v>
      </c>
      <c r="E352" s="9" t="s">
        <v>1204</v>
      </c>
      <c r="F352" s="9" t="s">
        <v>1187</v>
      </c>
      <c r="G352" s="9" t="n">
        <v>3</v>
      </c>
    </row>
    <row r="353" customFormat="false" ht="15" hidden="false" customHeight="true" outlineLevel="0" collapsed="false">
      <c r="A353" s="9" t="s">
        <v>1609</v>
      </c>
      <c r="B353" s="9" t="s">
        <v>1004</v>
      </c>
      <c r="C353" s="9" t="s">
        <v>1610</v>
      </c>
      <c r="D353" s="9" t="s">
        <v>1613</v>
      </c>
      <c r="E353" s="9" t="s">
        <v>1180</v>
      </c>
      <c r="F353" s="9" t="s">
        <v>1178</v>
      </c>
      <c r="G353" s="9" t="n">
        <v>3</v>
      </c>
    </row>
    <row r="354" customFormat="false" ht="15" hidden="false" customHeight="true" outlineLevel="0" collapsed="false">
      <c r="A354" s="9" t="s">
        <v>1609</v>
      </c>
      <c r="B354" s="9" t="s">
        <v>1004</v>
      </c>
      <c r="C354" s="9" t="s">
        <v>1610</v>
      </c>
      <c r="D354" s="9" t="s">
        <v>1614</v>
      </c>
      <c r="E354" s="9" t="s">
        <v>1192</v>
      </c>
      <c r="F354" s="9" t="s">
        <v>1182</v>
      </c>
      <c r="G354" s="9" t="n">
        <v>3</v>
      </c>
    </row>
    <row r="355" customFormat="false" ht="15" hidden="false" customHeight="true" outlineLevel="0" collapsed="false">
      <c r="A355" s="9" t="s">
        <v>1609</v>
      </c>
      <c r="B355" s="9" t="s">
        <v>1004</v>
      </c>
      <c r="C355" s="9" t="s">
        <v>1610</v>
      </c>
      <c r="D355" s="9" t="s">
        <v>1615</v>
      </c>
      <c r="E355" s="9" t="s">
        <v>1186</v>
      </c>
      <c r="F355" s="9" t="s">
        <v>1182</v>
      </c>
      <c r="G355" s="9" t="n">
        <v>3</v>
      </c>
    </row>
    <row r="356" customFormat="false" ht="15" hidden="false" customHeight="true" outlineLevel="0" collapsed="false">
      <c r="A356" s="9" t="s">
        <v>1609</v>
      </c>
      <c r="B356" s="9" t="s">
        <v>1004</v>
      </c>
      <c r="C356" s="9" t="s">
        <v>1610</v>
      </c>
      <c r="D356" s="9" t="s">
        <v>1524</v>
      </c>
      <c r="E356" s="9" t="s">
        <v>1189</v>
      </c>
      <c r="F356" s="9" t="s">
        <v>1182</v>
      </c>
      <c r="G356" s="9" t="n">
        <v>3</v>
      </c>
    </row>
    <row r="357" customFormat="false" ht="15" hidden="false" customHeight="true" outlineLevel="0" collapsed="false">
      <c r="A357" s="9" t="s">
        <v>1609</v>
      </c>
      <c r="B357" s="9" t="s">
        <v>1004</v>
      </c>
      <c r="C357" s="9" t="s">
        <v>1610</v>
      </c>
      <c r="D357" s="9" t="s">
        <v>1263</v>
      </c>
      <c r="E357" s="9" t="s">
        <v>1180</v>
      </c>
      <c r="F357" s="9" t="s">
        <v>1187</v>
      </c>
      <c r="G357" s="9" t="n">
        <v>2</v>
      </c>
    </row>
    <row r="358" customFormat="false" ht="15" hidden="false" customHeight="true" outlineLevel="0" collapsed="false">
      <c r="A358" s="9" t="s">
        <v>1609</v>
      </c>
      <c r="B358" s="9" t="s">
        <v>1004</v>
      </c>
      <c r="C358" s="9" t="s">
        <v>1610</v>
      </c>
      <c r="D358" s="9" t="s">
        <v>1616</v>
      </c>
      <c r="E358" s="9" t="s">
        <v>1189</v>
      </c>
      <c r="F358" s="9" t="s">
        <v>1190</v>
      </c>
      <c r="G358" s="9" t="n">
        <v>4</v>
      </c>
    </row>
    <row r="359" customFormat="false" ht="15" hidden="false" customHeight="true" outlineLevel="0" collapsed="false">
      <c r="A359" s="9" t="s">
        <v>1609</v>
      </c>
      <c r="B359" s="9" t="s">
        <v>1004</v>
      </c>
      <c r="C359" s="9" t="s">
        <v>1610</v>
      </c>
      <c r="D359" s="9" t="s">
        <v>1300</v>
      </c>
      <c r="E359" s="9" t="s">
        <v>1192</v>
      </c>
      <c r="F359" s="9" t="s">
        <v>1178</v>
      </c>
      <c r="G359" s="9" t="n">
        <v>2</v>
      </c>
    </row>
    <row r="360" customFormat="false" ht="15" hidden="false" customHeight="true" outlineLevel="0" collapsed="false">
      <c r="A360" s="9" t="s">
        <v>1609</v>
      </c>
      <c r="B360" s="9" t="s">
        <v>1004</v>
      </c>
      <c r="C360" s="9" t="s">
        <v>1610</v>
      </c>
      <c r="D360" s="9" t="s">
        <v>1566</v>
      </c>
      <c r="E360" s="9" t="s">
        <v>1395</v>
      </c>
      <c r="F360" s="9" t="s">
        <v>1196</v>
      </c>
      <c r="G360" s="9" t="n">
        <v>3</v>
      </c>
    </row>
    <row r="361" customFormat="false" ht="15" hidden="false" customHeight="true" outlineLevel="0" collapsed="false">
      <c r="A361" s="9" t="s">
        <v>1617</v>
      </c>
      <c r="B361" s="9" t="s">
        <v>883</v>
      </c>
      <c r="C361" s="9" t="s">
        <v>1618</v>
      </c>
      <c r="D361" s="9" t="s">
        <v>1619</v>
      </c>
      <c r="E361" s="9" t="s">
        <v>1204</v>
      </c>
      <c r="F361" s="9" t="s">
        <v>1178</v>
      </c>
      <c r="G361" s="9" t="n">
        <v>6</v>
      </c>
    </row>
    <row r="362" customFormat="false" ht="15" hidden="false" customHeight="true" outlineLevel="0" collapsed="false">
      <c r="A362" s="9" t="s">
        <v>1617</v>
      </c>
      <c r="B362" s="9" t="s">
        <v>883</v>
      </c>
      <c r="C362" s="9" t="s">
        <v>1618</v>
      </c>
      <c r="D362" s="9" t="s">
        <v>1620</v>
      </c>
      <c r="E362" s="9" t="s">
        <v>1180</v>
      </c>
      <c r="F362" s="9" t="s">
        <v>1196</v>
      </c>
      <c r="G362" s="9" t="n">
        <v>3</v>
      </c>
    </row>
    <row r="363" customFormat="false" ht="15" hidden="false" customHeight="true" outlineLevel="0" collapsed="false">
      <c r="A363" s="9" t="s">
        <v>1621</v>
      </c>
      <c r="B363" s="9" t="s">
        <v>546</v>
      </c>
      <c r="C363" s="9" t="s">
        <v>1622</v>
      </c>
      <c r="D363" s="9" t="s">
        <v>1623</v>
      </c>
      <c r="E363" s="9" t="s">
        <v>1216</v>
      </c>
      <c r="F363" s="9" t="s">
        <v>1190</v>
      </c>
      <c r="G363" s="9" t="n">
        <v>2</v>
      </c>
    </row>
    <row r="364" customFormat="false" ht="15" hidden="false" customHeight="true" outlineLevel="0" collapsed="false">
      <c r="A364" s="9" t="s">
        <v>1621</v>
      </c>
      <c r="B364" s="9" t="s">
        <v>546</v>
      </c>
      <c r="C364" s="9" t="s">
        <v>1622</v>
      </c>
      <c r="D364" s="9" t="s">
        <v>1624</v>
      </c>
      <c r="E364" s="9" t="s">
        <v>1177</v>
      </c>
      <c r="F364" s="9" t="s">
        <v>1178</v>
      </c>
      <c r="G364" s="9" t="n">
        <v>6</v>
      </c>
    </row>
    <row r="365" customFormat="false" ht="15" hidden="false" customHeight="true" outlineLevel="0" collapsed="false">
      <c r="A365" s="9" t="s">
        <v>1621</v>
      </c>
      <c r="B365" s="9" t="s">
        <v>546</v>
      </c>
      <c r="C365" s="9" t="s">
        <v>1622</v>
      </c>
      <c r="D365" s="9" t="s">
        <v>1616</v>
      </c>
      <c r="E365" s="9" t="s">
        <v>1186</v>
      </c>
      <c r="F365" s="9" t="s">
        <v>1187</v>
      </c>
      <c r="G365" s="9" t="n">
        <v>2</v>
      </c>
    </row>
    <row r="366" customFormat="false" ht="15" hidden="false" customHeight="true" outlineLevel="0" collapsed="false">
      <c r="A366" s="9" t="s">
        <v>1625</v>
      </c>
      <c r="B366" s="9" t="s">
        <v>750</v>
      </c>
      <c r="C366" s="9" t="s">
        <v>1626</v>
      </c>
      <c r="D366" s="9" t="s">
        <v>1627</v>
      </c>
      <c r="E366" s="9" t="s">
        <v>1192</v>
      </c>
      <c r="F366" s="9" t="s">
        <v>1182</v>
      </c>
      <c r="G366" s="9" t="n">
        <v>3</v>
      </c>
    </row>
    <row r="367" customFormat="false" ht="15" hidden="false" customHeight="true" outlineLevel="0" collapsed="false">
      <c r="A367" s="9" t="s">
        <v>1625</v>
      </c>
      <c r="B367" s="9" t="s">
        <v>750</v>
      </c>
      <c r="C367" s="9" t="s">
        <v>1626</v>
      </c>
      <c r="D367" s="9" t="s">
        <v>1628</v>
      </c>
      <c r="E367" s="9" t="s">
        <v>1177</v>
      </c>
      <c r="F367" s="9" t="s">
        <v>1187</v>
      </c>
      <c r="G367" s="9" t="n">
        <v>2</v>
      </c>
    </row>
    <row r="368" customFormat="false" ht="15" hidden="false" customHeight="true" outlineLevel="0" collapsed="false">
      <c r="A368" s="9" t="s">
        <v>1629</v>
      </c>
      <c r="B368" s="9" t="s">
        <v>1122</v>
      </c>
      <c r="C368" s="9" t="s">
        <v>1630</v>
      </c>
      <c r="D368" s="9" t="s">
        <v>1358</v>
      </c>
      <c r="E368" s="9" t="s">
        <v>1192</v>
      </c>
      <c r="F368" s="9" t="s">
        <v>1196</v>
      </c>
      <c r="G368" s="9" t="n">
        <v>3</v>
      </c>
    </row>
    <row r="369" customFormat="false" ht="15" hidden="false" customHeight="true" outlineLevel="0" collapsed="false">
      <c r="A369" s="9" t="s">
        <v>1629</v>
      </c>
      <c r="B369" s="9" t="s">
        <v>1122</v>
      </c>
      <c r="C369" s="9" t="s">
        <v>1630</v>
      </c>
      <c r="D369" s="9" t="s">
        <v>1631</v>
      </c>
      <c r="E369" s="9" t="s">
        <v>1204</v>
      </c>
      <c r="F369" s="9" t="s">
        <v>1178</v>
      </c>
      <c r="G369" s="9" t="n">
        <v>3</v>
      </c>
    </row>
    <row r="370" customFormat="false" ht="15" hidden="false" customHeight="true" outlineLevel="0" collapsed="false">
      <c r="A370" s="9" t="s">
        <v>1632</v>
      </c>
      <c r="B370" s="9" t="s">
        <v>318</v>
      </c>
      <c r="C370" s="9" t="s">
        <v>1633</v>
      </c>
      <c r="D370" s="9" t="s">
        <v>1391</v>
      </c>
      <c r="E370" s="9" t="s">
        <v>1204</v>
      </c>
      <c r="F370" s="9" t="s">
        <v>1190</v>
      </c>
      <c r="G370" s="9" t="n">
        <v>2</v>
      </c>
    </row>
    <row r="371" customFormat="false" ht="15" hidden="false" customHeight="true" outlineLevel="0" collapsed="false">
      <c r="A371" s="9" t="s">
        <v>1632</v>
      </c>
      <c r="B371" s="9" t="s">
        <v>318</v>
      </c>
      <c r="C371" s="9" t="s">
        <v>1633</v>
      </c>
      <c r="D371" s="9" t="s">
        <v>1634</v>
      </c>
      <c r="E371" s="9" t="s">
        <v>1198</v>
      </c>
      <c r="F371" s="9" t="s">
        <v>1190</v>
      </c>
      <c r="G371" s="9" t="n">
        <v>2</v>
      </c>
    </row>
    <row r="372" customFormat="false" ht="15" hidden="false" customHeight="true" outlineLevel="0" collapsed="false">
      <c r="A372" s="9" t="s">
        <v>1632</v>
      </c>
      <c r="B372" s="9" t="s">
        <v>318</v>
      </c>
      <c r="C372" s="9" t="s">
        <v>1633</v>
      </c>
      <c r="D372" s="9" t="s">
        <v>1635</v>
      </c>
      <c r="E372" s="9" t="s">
        <v>1186</v>
      </c>
      <c r="F372" s="9" t="s">
        <v>1182</v>
      </c>
      <c r="G372" s="9" t="n">
        <v>4</v>
      </c>
    </row>
    <row r="373" customFormat="false" ht="15" hidden="false" customHeight="true" outlineLevel="0" collapsed="false">
      <c r="A373" s="9" t="s">
        <v>1632</v>
      </c>
      <c r="B373" s="9" t="s">
        <v>318</v>
      </c>
      <c r="C373" s="9" t="s">
        <v>1633</v>
      </c>
      <c r="D373" s="9" t="s">
        <v>1636</v>
      </c>
      <c r="E373" s="9" t="s">
        <v>1177</v>
      </c>
      <c r="F373" s="9" t="s">
        <v>1178</v>
      </c>
      <c r="G373" s="9" t="n">
        <v>2</v>
      </c>
    </row>
    <row r="374" customFormat="false" ht="15" hidden="false" customHeight="true" outlineLevel="0" collapsed="false">
      <c r="A374" s="9" t="s">
        <v>1637</v>
      </c>
      <c r="B374" s="9" t="s">
        <v>929</v>
      </c>
      <c r="C374" s="9" t="s">
        <v>1638</v>
      </c>
      <c r="D374" s="9" t="s">
        <v>1193</v>
      </c>
      <c r="E374" s="9" t="s">
        <v>1192</v>
      </c>
      <c r="F374" s="9" t="s">
        <v>1182</v>
      </c>
      <c r="G374" s="9" t="n">
        <v>3</v>
      </c>
    </row>
    <row r="375" customFormat="false" ht="15" hidden="false" customHeight="true" outlineLevel="0" collapsed="false">
      <c r="A375" s="9" t="s">
        <v>1637</v>
      </c>
      <c r="B375" s="9" t="s">
        <v>929</v>
      </c>
      <c r="C375" s="9" t="s">
        <v>1638</v>
      </c>
      <c r="D375" s="9" t="s">
        <v>1248</v>
      </c>
      <c r="E375" s="9" t="s">
        <v>1177</v>
      </c>
      <c r="F375" s="9" t="s">
        <v>1182</v>
      </c>
      <c r="G375" s="9" t="n">
        <v>3</v>
      </c>
    </row>
    <row r="376" customFormat="false" ht="15" hidden="false" customHeight="true" outlineLevel="0" collapsed="false">
      <c r="A376" s="9" t="s">
        <v>1637</v>
      </c>
      <c r="B376" s="9" t="s">
        <v>929</v>
      </c>
      <c r="C376" s="9" t="s">
        <v>1638</v>
      </c>
      <c r="D376" s="9" t="s">
        <v>1639</v>
      </c>
      <c r="E376" s="9" t="s">
        <v>1189</v>
      </c>
      <c r="F376" s="9" t="s">
        <v>1182</v>
      </c>
      <c r="G376" s="9" t="n">
        <v>2</v>
      </c>
    </row>
    <row r="377" customFormat="false" ht="15" hidden="false" customHeight="true" outlineLevel="0" collapsed="false">
      <c r="A377" s="9" t="s">
        <v>1637</v>
      </c>
      <c r="B377" s="9" t="s">
        <v>929</v>
      </c>
      <c r="C377" s="9" t="s">
        <v>1638</v>
      </c>
      <c r="D377" s="9" t="s">
        <v>1640</v>
      </c>
      <c r="E377" s="9" t="s">
        <v>1198</v>
      </c>
      <c r="F377" s="9" t="s">
        <v>1187</v>
      </c>
      <c r="G377" s="9" t="n">
        <v>2</v>
      </c>
    </row>
    <row r="378" customFormat="false" ht="15" hidden="false" customHeight="true" outlineLevel="0" collapsed="false">
      <c r="A378" s="9" t="s">
        <v>1637</v>
      </c>
      <c r="B378" s="9" t="s">
        <v>929</v>
      </c>
      <c r="C378" s="9" t="s">
        <v>1638</v>
      </c>
      <c r="D378" s="9" t="s">
        <v>1641</v>
      </c>
      <c r="E378" s="9" t="s">
        <v>1186</v>
      </c>
      <c r="F378" s="9" t="s">
        <v>1190</v>
      </c>
      <c r="G378" s="9" t="n">
        <v>2</v>
      </c>
    </row>
    <row r="379" customFormat="false" ht="15" hidden="false" customHeight="true" outlineLevel="0" collapsed="false">
      <c r="A379" s="9" t="s">
        <v>1637</v>
      </c>
      <c r="B379" s="9" t="s">
        <v>929</v>
      </c>
      <c r="C379" s="9" t="s">
        <v>1638</v>
      </c>
      <c r="D379" s="9" t="s">
        <v>1642</v>
      </c>
      <c r="E379" s="9" t="s">
        <v>1198</v>
      </c>
      <c r="F379" s="9" t="s">
        <v>1190</v>
      </c>
      <c r="G379" s="9" t="n">
        <v>2</v>
      </c>
    </row>
    <row r="380" customFormat="false" ht="15" hidden="false" customHeight="true" outlineLevel="0" collapsed="false">
      <c r="A380" s="9" t="s">
        <v>1637</v>
      </c>
      <c r="B380" s="9" t="s">
        <v>929</v>
      </c>
      <c r="C380" s="9" t="s">
        <v>1638</v>
      </c>
      <c r="D380" s="9" t="s">
        <v>1643</v>
      </c>
      <c r="E380" s="9" t="s">
        <v>1186</v>
      </c>
      <c r="F380" s="9" t="s">
        <v>1196</v>
      </c>
      <c r="G380" s="9"/>
    </row>
    <row r="381" customFormat="false" ht="15" hidden="false" customHeight="true" outlineLevel="0" collapsed="false">
      <c r="A381" s="9" t="s">
        <v>1637</v>
      </c>
      <c r="B381" s="9" t="s">
        <v>929</v>
      </c>
      <c r="C381" s="9" t="s">
        <v>1638</v>
      </c>
      <c r="D381" s="9" t="s">
        <v>1644</v>
      </c>
      <c r="E381" s="9" t="s">
        <v>1180</v>
      </c>
      <c r="F381" s="9" t="s">
        <v>1182</v>
      </c>
      <c r="G381" s="9" t="n">
        <v>3</v>
      </c>
    </row>
    <row r="382" customFormat="false" ht="15" hidden="false" customHeight="true" outlineLevel="0" collapsed="false">
      <c r="A382" s="9" t="s">
        <v>1637</v>
      </c>
      <c r="B382" s="9" t="s">
        <v>929</v>
      </c>
      <c r="C382" s="9" t="s">
        <v>1638</v>
      </c>
      <c r="D382" s="9" t="s">
        <v>1359</v>
      </c>
      <c r="E382" s="9" t="s">
        <v>1186</v>
      </c>
      <c r="F382" s="9" t="s">
        <v>1178</v>
      </c>
      <c r="G382" s="9" t="n">
        <v>4</v>
      </c>
    </row>
    <row r="383" customFormat="false" ht="15" hidden="false" customHeight="true" outlineLevel="0" collapsed="false">
      <c r="A383" s="9" t="s">
        <v>1637</v>
      </c>
      <c r="B383" s="9" t="s">
        <v>929</v>
      </c>
      <c r="C383" s="9" t="s">
        <v>1638</v>
      </c>
      <c r="D383" s="9" t="s">
        <v>1194</v>
      </c>
      <c r="E383" s="9" t="s">
        <v>1198</v>
      </c>
      <c r="F383" s="9" t="s">
        <v>1187</v>
      </c>
      <c r="G383" s="9" t="n">
        <v>2</v>
      </c>
    </row>
    <row r="384" customFormat="false" ht="15" hidden="false" customHeight="true" outlineLevel="0" collapsed="false">
      <c r="A384" s="9" t="s">
        <v>1645</v>
      </c>
      <c r="B384" s="9" t="s">
        <v>506</v>
      </c>
      <c r="C384" s="9" t="s">
        <v>1646</v>
      </c>
      <c r="D384" s="9" t="s">
        <v>1647</v>
      </c>
      <c r="E384" s="9" t="s">
        <v>1198</v>
      </c>
      <c r="F384" s="9" t="s">
        <v>1178</v>
      </c>
      <c r="G384" s="9" t="n">
        <v>4</v>
      </c>
    </row>
    <row r="385" customFormat="false" ht="15" hidden="false" customHeight="true" outlineLevel="0" collapsed="false">
      <c r="A385" s="9" t="s">
        <v>1645</v>
      </c>
      <c r="B385" s="9" t="s">
        <v>506</v>
      </c>
      <c r="C385" s="9" t="s">
        <v>1646</v>
      </c>
      <c r="D385" s="9" t="s">
        <v>1494</v>
      </c>
      <c r="E385" s="9" t="s">
        <v>1204</v>
      </c>
      <c r="F385" s="9" t="s">
        <v>1196</v>
      </c>
      <c r="G385" s="9" t="n">
        <v>3</v>
      </c>
    </row>
    <row r="386" customFormat="false" ht="15" hidden="false" customHeight="true" outlineLevel="0" collapsed="false">
      <c r="A386" s="9" t="s">
        <v>1645</v>
      </c>
      <c r="B386" s="9" t="s">
        <v>506</v>
      </c>
      <c r="C386" s="9" t="s">
        <v>1646</v>
      </c>
      <c r="D386" s="9" t="s">
        <v>1575</v>
      </c>
      <c r="E386" s="9" t="s">
        <v>1180</v>
      </c>
      <c r="F386" s="9" t="s">
        <v>1196</v>
      </c>
      <c r="G386" s="9" t="n">
        <v>3</v>
      </c>
    </row>
    <row r="387" customFormat="false" ht="15" hidden="false" customHeight="true" outlineLevel="0" collapsed="false">
      <c r="A387" s="9" t="s">
        <v>1645</v>
      </c>
      <c r="B387" s="9" t="s">
        <v>506</v>
      </c>
      <c r="C387" s="9" t="s">
        <v>1646</v>
      </c>
      <c r="D387" s="9" t="s">
        <v>1648</v>
      </c>
      <c r="E387" s="9" t="s">
        <v>1186</v>
      </c>
      <c r="F387" s="9" t="s">
        <v>1196</v>
      </c>
      <c r="G387" s="9" t="n">
        <v>2</v>
      </c>
    </row>
    <row r="388" customFormat="false" ht="15" hidden="false" customHeight="true" outlineLevel="0" collapsed="false">
      <c r="A388" s="9" t="s">
        <v>1645</v>
      </c>
      <c r="B388" s="9" t="s">
        <v>506</v>
      </c>
      <c r="C388" s="9" t="s">
        <v>1646</v>
      </c>
      <c r="D388" s="9" t="s">
        <v>1649</v>
      </c>
      <c r="E388" s="9" t="s">
        <v>1177</v>
      </c>
      <c r="F388" s="9" t="s">
        <v>1187</v>
      </c>
      <c r="G388" s="9" t="n">
        <v>3</v>
      </c>
    </row>
    <row r="389" customFormat="false" ht="15" hidden="false" customHeight="true" outlineLevel="0" collapsed="false">
      <c r="A389" s="9" t="s">
        <v>1650</v>
      </c>
      <c r="B389" s="9" t="s">
        <v>645</v>
      </c>
      <c r="C389" s="9" t="s">
        <v>1651</v>
      </c>
      <c r="D389" s="9" t="s">
        <v>1652</v>
      </c>
      <c r="E389" s="9" t="s">
        <v>1180</v>
      </c>
      <c r="F389" s="9" t="s">
        <v>1196</v>
      </c>
      <c r="G389" s="9" t="n">
        <v>2</v>
      </c>
    </row>
    <row r="390" customFormat="false" ht="15" hidden="false" customHeight="true" outlineLevel="0" collapsed="false">
      <c r="A390" s="9" t="s">
        <v>1650</v>
      </c>
      <c r="B390" s="9" t="s">
        <v>645</v>
      </c>
      <c r="C390" s="9" t="s">
        <v>1651</v>
      </c>
      <c r="D390" s="9" t="s">
        <v>1552</v>
      </c>
      <c r="E390" s="9" t="s">
        <v>1192</v>
      </c>
      <c r="F390" s="9" t="s">
        <v>1196</v>
      </c>
      <c r="G390" s="9" t="n">
        <v>2</v>
      </c>
    </row>
    <row r="391" customFormat="false" ht="15" hidden="false" customHeight="true" outlineLevel="0" collapsed="false">
      <c r="A391" s="9" t="s">
        <v>1650</v>
      </c>
      <c r="B391" s="9" t="s">
        <v>645</v>
      </c>
      <c r="C391" s="9" t="s">
        <v>1651</v>
      </c>
      <c r="D391" s="9" t="s">
        <v>1653</v>
      </c>
      <c r="E391" s="9" t="s">
        <v>1204</v>
      </c>
      <c r="F391" s="9" t="s">
        <v>1187</v>
      </c>
      <c r="G391" s="9" t="n">
        <v>3</v>
      </c>
    </row>
    <row r="392" customFormat="false" ht="15" hidden="false" customHeight="true" outlineLevel="0" collapsed="false">
      <c r="A392" s="9" t="s">
        <v>1654</v>
      </c>
      <c r="B392" s="9" t="s">
        <v>372</v>
      </c>
      <c r="C392" s="9" t="s">
        <v>1655</v>
      </c>
      <c r="D392" s="9" t="s">
        <v>1656</v>
      </c>
      <c r="E392" s="9" t="s">
        <v>1186</v>
      </c>
      <c r="F392" s="9" t="s">
        <v>1190</v>
      </c>
      <c r="G392" s="9" t="n">
        <v>2</v>
      </c>
    </row>
    <row r="393" customFormat="false" ht="15" hidden="false" customHeight="true" outlineLevel="0" collapsed="false">
      <c r="A393" s="9" t="s">
        <v>1654</v>
      </c>
      <c r="B393" s="9" t="s">
        <v>372</v>
      </c>
      <c r="C393" s="9" t="s">
        <v>1655</v>
      </c>
      <c r="D393" s="9" t="s">
        <v>1305</v>
      </c>
      <c r="E393" s="9" t="s">
        <v>1177</v>
      </c>
      <c r="F393" s="9" t="s">
        <v>1187</v>
      </c>
      <c r="G393" s="9" t="n">
        <v>3</v>
      </c>
    </row>
    <row r="394" customFormat="false" ht="15" hidden="false" customHeight="true" outlineLevel="0" collapsed="false">
      <c r="A394" s="9" t="s">
        <v>1654</v>
      </c>
      <c r="B394" s="9" t="s">
        <v>372</v>
      </c>
      <c r="C394" s="9" t="s">
        <v>1655</v>
      </c>
      <c r="D394" s="9" t="s">
        <v>1657</v>
      </c>
      <c r="E394" s="9" t="s">
        <v>1198</v>
      </c>
      <c r="F394" s="9" t="s">
        <v>1182</v>
      </c>
      <c r="G394" s="9" t="n">
        <v>3</v>
      </c>
    </row>
    <row r="395" customFormat="false" ht="15" hidden="false" customHeight="true" outlineLevel="0" collapsed="false">
      <c r="A395" s="9" t="s">
        <v>1654</v>
      </c>
      <c r="B395" s="9" t="s">
        <v>372</v>
      </c>
      <c r="C395" s="9" t="s">
        <v>1655</v>
      </c>
      <c r="D395" s="9" t="s">
        <v>1658</v>
      </c>
      <c r="E395" s="9" t="s">
        <v>1216</v>
      </c>
      <c r="F395" s="9" t="s">
        <v>1196</v>
      </c>
      <c r="G395" s="9" t="n">
        <v>6</v>
      </c>
    </row>
    <row r="396" customFormat="false" ht="15" hidden="false" customHeight="true" outlineLevel="0" collapsed="false">
      <c r="A396" s="9" t="s">
        <v>1654</v>
      </c>
      <c r="B396" s="9" t="s">
        <v>372</v>
      </c>
      <c r="C396" s="9" t="s">
        <v>1655</v>
      </c>
      <c r="D396" s="9" t="s">
        <v>1389</v>
      </c>
      <c r="E396" s="9" t="s">
        <v>1192</v>
      </c>
      <c r="F396" s="9" t="s">
        <v>1190</v>
      </c>
      <c r="G396" s="9" t="n">
        <v>5</v>
      </c>
    </row>
    <row r="397" customFormat="false" ht="15" hidden="false" customHeight="true" outlineLevel="0" collapsed="false">
      <c r="A397" s="9" t="s">
        <v>1659</v>
      </c>
      <c r="B397" s="9" t="s">
        <v>92</v>
      </c>
      <c r="C397" s="9" t="s">
        <v>1660</v>
      </c>
      <c r="D397" s="9" t="s">
        <v>1661</v>
      </c>
      <c r="E397" s="9" t="s">
        <v>1216</v>
      </c>
      <c r="F397" s="9" t="s">
        <v>1190</v>
      </c>
      <c r="G397" s="9" t="n">
        <v>2</v>
      </c>
    </row>
    <row r="398" customFormat="false" ht="15" hidden="false" customHeight="true" outlineLevel="0" collapsed="false">
      <c r="A398" s="9" t="s">
        <v>1659</v>
      </c>
      <c r="B398" s="9" t="s">
        <v>92</v>
      </c>
      <c r="C398" s="9" t="s">
        <v>1660</v>
      </c>
      <c r="D398" s="9" t="s">
        <v>1327</v>
      </c>
      <c r="E398" s="9" t="s">
        <v>1216</v>
      </c>
      <c r="F398" s="9" t="s">
        <v>1178</v>
      </c>
      <c r="G398" s="9" t="n">
        <v>3</v>
      </c>
    </row>
    <row r="399" customFormat="false" ht="15" hidden="false" customHeight="true" outlineLevel="0" collapsed="false">
      <c r="A399" s="9" t="s">
        <v>1659</v>
      </c>
      <c r="B399" s="9" t="s">
        <v>92</v>
      </c>
      <c r="C399" s="9" t="s">
        <v>1660</v>
      </c>
      <c r="D399" s="9" t="s">
        <v>1662</v>
      </c>
      <c r="E399" s="9" t="s">
        <v>1192</v>
      </c>
      <c r="F399" s="9" t="s">
        <v>1196</v>
      </c>
      <c r="G399" s="9" t="n">
        <v>3</v>
      </c>
    </row>
    <row r="400" customFormat="false" ht="15" hidden="false" customHeight="true" outlineLevel="0" collapsed="false">
      <c r="A400" s="9" t="s">
        <v>1659</v>
      </c>
      <c r="B400" s="9" t="s">
        <v>92</v>
      </c>
      <c r="C400" s="9" t="s">
        <v>1660</v>
      </c>
      <c r="D400" s="9" t="s">
        <v>1415</v>
      </c>
      <c r="E400" s="9" t="s">
        <v>1198</v>
      </c>
      <c r="F400" s="9" t="s">
        <v>1190</v>
      </c>
      <c r="G400" s="9" t="n">
        <v>6</v>
      </c>
    </row>
    <row r="401" customFormat="false" ht="15" hidden="false" customHeight="true" outlineLevel="0" collapsed="false">
      <c r="A401" s="9" t="s">
        <v>1663</v>
      </c>
      <c r="B401" s="9" t="s">
        <v>164</v>
      </c>
      <c r="C401" s="9" t="s">
        <v>1664</v>
      </c>
      <c r="D401" s="9" t="s">
        <v>1665</v>
      </c>
      <c r="E401" s="9" t="s">
        <v>1216</v>
      </c>
      <c r="F401" s="9" t="s">
        <v>1190</v>
      </c>
      <c r="G401" s="9" t="n">
        <v>2</v>
      </c>
    </row>
    <row r="402" customFormat="false" ht="15" hidden="false" customHeight="true" outlineLevel="0" collapsed="false">
      <c r="A402" s="9" t="s">
        <v>1663</v>
      </c>
      <c r="B402" s="9" t="s">
        <v>164</v>
      </c>
      <c r="C402" s="9" t="s">
        <v>1664</v>
      </c>
      <c r="D402" s="9" t="s">
        <v>1666</v>
      </c>
      <c r="E402" s="9" t="s">
        <v>1177</v>
      </c>
      <c r="F402" s="9" t="s">
        <v>1178</v>
      </c>
      <c r="G402" s="9" t="n">
        <v>3</v>
      </c>
    </row>
    <row r="403" customFormat="false" ht="15" hidden="false" customHeight="true" outlineLevel="0" collapsed="false">
      <c r="A403" s="9" t="s">
        <v>1663</v>
      </c>
      <c r="B403" s="9" t="s">
        <v>164</v>
      </c>
      <c r="C403" s="9" t="s">
        <v>1664</v>
      </c>
      <c r="D403" s="9" t="s">
        <v>1667</v>
      </c>
      <c r="E403" s="9" t="s">
        <v>1479</v>
      </c>
      <c r="F403" s="9" t="s">
        <v>1182</v>
      </c>
      <c r="G403" s="9" t="n">
        <v>3</v>
      </c>
    </row>
    <row r="404" customFormat="false" ht="15" hidden="false" customHeight="true" outlineLevel="0" collapsed="false">
      <c r="A404" s="9" t="s">
        <v>1663</v>
      </c>
      <c r="B404" s="9" t="s">
        <v>164</v>
      </c>
      <c r="C404" s="9" t="s">
        <v>1664</v>
      </c>
      <c r="D404" s="9" t="s">
        <v>1608</v>
      </c>
      <c r="E404" s="9" t="s">
        <v>1192</v>
      </c>
      <c r="F404" s="9" t="s">
        <v>1190</v>
      </c>
      <c r="G404" s="9" t="n">
        <v>2</v>
      </c>
    </row>
    <row r="405" customFormat="false" ht="15" hidden="false" customHeight="true" outlineLevel="0" collapsed="false">
      <c r="A405" s="9" t="s">
        <v>1663</v>
      </c>
      <c r="B405" s="9" t="s">
        <v>164</v>
      </c>
      <c r="C405" s="9" t="s">
        <v>1664</v>
      </c>
      <c r="D405" s="9" t="s">
        <v>1668</v>
      </c>
      <c r="E405" s="9" t="s">
        <v>1189</v>
      </c>
      <c r="F405" s="9" t="s">
        <v>1196</v>
      </c>
      <c r="G405" s="9" t="n">
        <v>2</v>
      </c>
    </row>
    <row r="406" customFormat="false" ht="15" hidden="false" customHeight="true" outlineLevel="0" collapsed="false">
      <c r="A406" s="9" t="s">
        <v>1663</v>
      </c>
      <c r="B406" s="9" t="s">
        <v>164</v>
      </c>
      <c r="C406" s="9" t="s">
        <v>1664</v>
      </c>
      <c r="D406" s="9" t="s">
        <v>1245</v>
      </c>
      <c r="E406" s="9" t="s">
        <v>1192</v>
      </c>
      <c r="F406" s="9" t="s">
        <v>1196</v>
      </c>
      <c r="G406" s="9" t="n">
        <v>3</v>
      </c>
    </row>
    <row r="407" customFormat="false" ht="15" hidden="false" customHeight="true" outlineLevel="0" collapsed="false">
      <c r="A407" s="9" t="s">
        <v>1663</v>
      </c>
      <c r="B407" s="9" t="s">
        <v>164</v>
      </c>
      <c r="C407" s="9" t="s">
        <v>1664</v>
      </c>
      <c r="D407" s="9" t="s">
        <v>1669</v>
      </c>
      <c r="E407" s="9" t="s">
        <v>1192</v>
      </c>
      <c r="F407" s="9" t="s">
        <v>1190</v>
      </c>
      <c r="G407" s="9" t="n">
        <v>2</v>
      </c>
    </row>
    <row r="408" customFormat="false" ht="15" hidden="false" customHeight="true" outlineLevel="0" collapsed="false">
      <c r="A408" s="9" t="s">
        <v>1663</v>
      </c>
      <c r="B408" s="9" t="s">
        <v>164</v>
      </c>
      <c r="C408" s="9" t="s">
        <v>1664</v>
      </c>
      <c r="D408" s="9" t="s">
        <v>1670</v>
      </c>
      <c r="E408" s="9" t="s">
        <v>1192</v>
      </c>
      <c r="F408" s="9" t="s">
        <v>1182</v>
      </c>
      <c r="G408" s="9" t="n">
        <v>3</v>
      </c>
    </row>
    <row r="409" customFormat="false" ht="15" hidden="false" customHeight="true" outlineLevel="0" collapsed="false">
      <c r="A409" s="9" t="s">
        <v>1663</v>
      </c>
      <c r="B409" s="9" t="s">
        <v>164</v>
      </c>
      <c r="C409" s="9" t="s">
        <v>1664</v>
      </c>
      <c r="D409" s="9" t="s">
        <v>1671</v>
      </c>
      <c r="E409" s="9" t="s">
        <v>1198</v>
      </c>
      <c r="F409" s="9" t="s">
        <v>1187</v>
      </c>
      <c r="G409" s="9" t="n">
        <v>4</v>
      </c>
    </row>
    <row r="410" customFormat="false" ht="15" hidden="false" customHeight="true" outlineLevel="0" collapsed="false">
      <c r="A410" s="9" t="s">
        <v>1663</v>
      </c>
      <c r="B410" s="9" t="s">
        <v>164</v>
      </c>
      <c r="C410" s="9" t="s">
        <v>1664</v>
      </c>
      <c r="D410" s="9" t="s">
        <v>1672</v>
      </c>
      <c r="E410" s="9" t="s">
        <v>1198</v>
      </c>
      <c r="F410" s="9" t="s">
        <v>1182</v>
      </c>
      <c r="G410" s="9" t="n">
        <v>2</v>
      </c>
    </row>
    <row r="411" customFormat="false" ht="15" hidden="false" customHeight="true" outlineLevel="0" collapsed="false">
      <c r="A411" s="9" t="s">
        <v>1663</v>
      </c>
      <c r="B411" s="9" t="s">
        <v>164</v>
      </c>
      <c r="C411" s="9" t="s">
        <v>1664</v>
      </c>
      <c r="D411" s="9" t="s">
        <v>1673</v>
      </c>
      <c r="E411" s="9" t="s">
        <v>1177</v>
      </c>
      <c r="F411" s="9" t="s">
        <v>1196</v>
      </c>
      <c r="G411" s="9" t="n">
        <v>3</v>
      </c>
    </row>
    <row r="412" customFormat="false" ht="15" hidden="false" customHeight="true" outlineLevel="0" collapsed="false">
      <c r="A412" s="9" t="s">
        <v>1663</v>
      </c>
      <c r="B412" s="9" t="s">
        <v>164</v>
      </c>
      <c r="C412" s="9" t="s">
        <v>1664</v>
      </c>
      <c r="D412" s="9" t="s">
        <v>1674</v>
      </c>
      <c r="E412" s="9" t="s">
        <v>1189</v>
      </c>
      <c r="F412" s="9" t="s">
        <v>1178</v>
      </c>
      <c r="G412" s="9" t="n">
        <v>5</v>
      </c>
    </row>
    <row r="413" customFormat="false" ht="15" hidden="false" customHeight="true" outlineLevel="0" collapsed="false">
      <c r="A413" s="9" t="s">
        <v>1675</v>
      </c>
      <c r="B413" s="9" t="s">
        <v>768</v>
      </c>
      <c r="C413" s="9" t="s">
        <v>1676</v>
      </c>
      <c r="D413" s="9" t="s">
        <v>1677</v>
      </c>
      <c r="E413" s="9" t="s">
        <v>1186</v>
      </c>
      <c r="F413" s="9" t="s">
        <v>1190</v>
      </c>
      <c r="G413" s="9" t="n">
        <v>2</v>
      </c>
    </row>
    <row r="414" customFormat="false" ht="15" hidden="false" customHeight="true" outlineLevel="0" collapsed="false">
      <c r="A414" s="9" t="s">
        <v>1675</v>
      </c>
      <c r="B414" s="9" t="s">
        <v>768</v>
      </c>
      <c r="C414" s="9" t="s">
        <v>1676</v>
      </c>
      <c r="D414" s="9" t="s">
        <v>1678</v>
      </c>
      <c r="E414" s="9" t="s">
        <v>1177</v>
      </c>
      <c r="F414" s="9" t="s">
        <v>1182</v>
      </c>
      <c r="G414" s="9" t="n">
        <v>3</v>
      </c>
    </row>
    <row r="415" customFormat="false" ht="15" hidden="false" customHeight="true" outlineLevel="0" collapsed="false">
      <c r="A415" s="9" t="s">
        <v>1675</v>
      </c>
      <c r="B415" s="9" t="s">
        <v>768</v>
      </c>
      <c r="C415" s="9" t="s">
        <v>1676</v>
      </c>
      <c r="D415" s="9" t="s">
        <v>1627</v>
      </c>
      <c r="E415" s="9" t="s">
        <v>1180</v>
      </c>
      <c r="F415" s="9" t="s">
        <v>1190</v>
      </c>
      <c r="G415" s="9" t="n">
        <v>4</v>
      </c>
    </row>
    <row r="416" customFormat="false" ht="15" hidden="false" customHeight="true" outlineLevel="0" collapsed="false">
      <c r="A416" s="9" t="s">
        <v>1675</v>
      </c>
      <c r="B416" s="9" t="s">
        <v>768</v>
      </c>
      <c r="C416" s="9" t="s">
        <v>1676</v>
      </c>
      <c r="D416" s="9" t="s">
        <v>1679</v>
      </c>
      <c r="E416" s="9" t="s">
        <v>1180</v>
      </c>
      <c r="F416" s="9" t="s">
        <v>1190</v>
      </c>
      <c r="G416" s="9" t="n">
        <v>6</v>
      </c>
    </row>
    <row r="417" customFormat="false" ht="15" hidden="false" customHeight="true" outlineLevel="0" collapsed="false">
      <c r="A417" s="9" t="s">
        <v>1680</v>
      </c>
      <c r="B417" s="9" t="s">
        <v>1009</v>
      </c>
      <c r="C417" s="9" t="s">
        <v>1681</v>
      </c>
      <c r="D417" s="9" t="s">
        <v>1473</v>
      </c>
      <c r="E417" s="9" t="s">
        <v>1204</v>
      </c>
      <c r="F417" s="9" t="s">
        <v>1182</v>
      </c>
      <c r="G417" s="9" t="n">
        <v>2</v>
      </c>
    </row>
    <row r="418" customFormat="false" ht="15" hidden="false" customHeight="true" outlineLevel="0" collapsed="false">
      <c r="A418" s="9" t="s">
        <v>1680</v>
      </c>
      <c r="B418" s="9" t="s">
        <v>1009</v>
      </c>
      <c r="C418" s="9" t="s">
        <v>1681</v>
      </c>
      <c r="D418" s="9" t="s">
        <v>1682</v>
      </c>
      <c r="E418" s="9" t="s">
        <v>1216</v>
      </c>
      <c r="F418" s="9" t="s">
        <v>1190</v>
      </c>
      <c r="G418" s="9" t="n">
        <v>2</v>
      </c>
    </row>
    <row r="419" customFormat="false" ht="15" hidden="false" customHeight="true" outlineLevel="0" collapsed="false">
      <c r="A419" s="9" t="s">
        <v>1680</v>
      </c>
      <c r="B419" s="9" t="s">
        <v>1009</v>
      </c>
      <c r="C419" s="9" t="s">
        <v>1681</v>
      </c>
      <c r="D419" s="9" t="s">
        <v>1683</v>
      </c>
      <c r="E419" s="9" t="s">
        <v>1189</v>
      </c>
      <c r="F419" s="9" t="s">
        <v>1178</v>
      </c>
      <c r="G419" s="9" t="n">
        <v>2</v>
      </c>
    </row>
    <row r="420" customFormat="false" ht="15" hidden="false" customHeight="true" outlineLevel="0" collapsed="false">
      <c r="A420" s="9" t="s">
        <v>1684</v>
      </c>
      <c r="B420" s="9" t="s">
        <v>1071</v>
      </c>
      <c r="C420" s="9" t="s">
        <v>1685</v>
      </c>
      <c r="D420" s="9" t="s">
        <v>1686</v>
      </c>
      <c r="E420" s="9" t="s">
        <v>1192</v>
      </c>
      <c r="F420" s="9" t="s">
        <v>1187</v>
      </c>
      <c r="G420" s="9" t="n">
        <v>3</v>
      </c>
    </row>
    <row r="421" customFormat="false" ht="15" hidden="false" customHeight="true" outlineLevel="0" collapsed="false">
      <c r="A421" s="9" t="s">
        <v>1684</v>
      </c>
      <c r="B421" s="9" t="s">
        <v>1071</v>
      </c>
      <c r="C421" s="9" t="s">
        <v>1685</v>
      </c>
      <c r="D421" s="9" t="s">
        <v>1687</v>
      </c>
      <c r="E421" s="9" t="s">
        <v>1198</v>
      </c>
      <c r="F421" s="9" t="s">
        <v>1187</v>
      </c>
      <c r="G421" s="9" t="n">
        <v>3</v>
      </c>
    </row>
    <row r="422" customFormat="false" ht="15" hidden="false" customHeight="true" outlineLevel="0" collapsed="false">
      <c r="A422" s="9" t="s">
        <v>1684</v>
      </c>
      <c r="B422" s="9" t="s">
        <v>1071</v>
      </c>
      <c r="C422" s="9" t="s">
        <v>1685</v>
      </c>
      <c r="D422" s="9" t="s">
        <v>1688</v>
      </c>
      <c r="E422" s="9" t="s">
        <v>1186</v>
      </c>
      <c r="F422" s="9" t="s">
        <v>1196</v>
      </c>
      <c r="G422" s="9" t="n">
        <v>2</v>
      </c>
    </row>
    <row r="423" customFormat="false" ht="15" hidden="false" customHeight="true" outlineLevel="0" collapsed="false">
      <c r="A423" s="9" t="s">
        <v>1684</v>
      </c>
      <c r="B423" s="9" t="s">
        <v>1071</v>
      </c>
      <c r="C423" s="9" t="s">
        <v>1685</v>
      </c>
      <c r="D423" s="9" t="s">
        <v>1689</v>
      </c>
      <c r="E423" s="9" t="s">
        <v>1216</v>
      </c>
      <c r="F423" s="9" t="s">
        <v>1178</v>
      </c>
      <c r="G423" s="9" t="n">
        <v>4</v>
      </c>
    </row>
    <row r="424" customFormat="false" ht="15" hidden="false" customHeight="true" outlineLevel="0" collapsed="false">
      <c r="A424" s="9" t="s">
        <v>1684</v>
      </c>
      <c r="B424" s="9" t="s">
        <v>1071</v>
      </c>
      <c r="C424" s="9" t="s">
        <v>1685</v>
      </c>
      <c r="D424" s="9" t="s">
        <v>1690</v>
      </c>
      <c r="E424" s="9" t="s">
        <v>1192</v>
      </c>
      <c r="F424" s="9" t="s">
        <v>1182</v>
      </c>
      <c r="G424" s="9" t="n">
        <v>3</v>
      </c>
    </row>
    <row r="425" customFormat="false" ht="15" hidden="false" customHeight="true" outlineLevel="0" collapsed="false">
      <c r="A425" s="9" t="s">
        <v>1684</v>
      </c>
      <c r="B425" s="9" t="s">
        <v>1071</v>
      </c>
      <c r="C425" s="9" t="s">
        <v>1685</v>
      </c>
      <c r="D425" s="9" t="s">
        <v>1647</v>
      </c>
      <c r="E425" s="9" t="s">
        <v>1198</v>
      </c>
      <c r="F425" s="9" t="s">
        <v>1178</v>
      </c>
      <c r="G425" s="9" t="n">
        <v>3</v>
      </c>
    </row>
    <row r="426" customFormat="false" ht="15" hidden="false" customHeight="true" outlineLevel="0" collapsed="false">
      <c r="A426" s="9" t="s">
        <v>1684</v>
      </c>
      <c r="B426" s="9" t="s">
        <v>1071</v>
      </c>
      <c r="C426" s="9" t="s">
        <v>1685</v>
      </c>
      <c r="D426" s="9" t="s">
        <v>1485</v>
      </c>
      <c r="E426" s="9" t="s">
        <v>1216</v>
      </c>
      <c r="F426" s="9" t="s">
        <v>1187</v>
      </c>
      <c r="G426" s="9" t="n">
        <v>6</v>
      </c>
    </row>
    <row r="427" customFormat="false" ht="15" hidden="false" customHeight="true" outlineLevel="0" collapsed="false">
      <c r="A427" s="9" t="s">
        <v>1684</v>
      </c>
      <c r="B427" s="9" t="s">
        <v>1071</v>
      </c>
      <c r="C427" s="9" t="s">
        <v>1685</v>
      </c>
      <c r="D427" s="9" t="s">
        <v>1474</v>
      </c>
      <c r="E427" s="9" t="s">
        <v>1186</v>
      </c>
      <c r="F427" s="9" t="s">
        <v>1196</v>
      </c>
      <c r="G427" s="9" t="n">
        <v>2</v>
      </c>
    </row>
    <row r="428" customFormat="false" ht="15" hidden="false" customHeight="true" outlineLevel="0" collapsed="false">
      <c r="A428" s="9" t="s">
        <v>1691</v>
      </c>
      <c r="B428" s="9" t="s">
        <v>681</v>
      </c>
      <c r="C428" s="9" t="s">
        <v>1692</v>
      </c>
      <c r="D428" s="9" t="s">
        <v>1693</v>
      </c>
      <c r="E428" s="9" t="s">
        <v>1216</v>
      </c>
      <c r="F428" s="9" t="s">
        <v>1178</v>
      </c>
      <c r="G428" s="9" t="n">
        <v>6</v>
      </c>
    </row>
    <row r="429" customFormat="false" ht="15" hidden="false" customHeight="true" outlineLevel="0" collapsed="false">
      <c r="A429" s="9" t="s">
        <v>1691</v>
      </c>
      <c r="B429" s="9" t="s">
        <v>681</v>
      </c>
      <c r="C429" s="9" t="s">
        <v>1692</v>
      </c>
      <c r="D429" s="9" t="s">
        <v>1533</v>
      </c>
      <c r="E429" s="9" t="s">
        <v>1180</v>
      </c>
      <c r="F429" s="9" t="s">
        <v>1196</v>
      </c>
      <c r="G429" s="9"/>
    </row>
    <row r="430" customFormat="false" ht="15" hidden="false" customHeight="true" outlineLevel="0" collapsed="false">
      <c r="A430" s="9" t="s">
        <v>1691</v>
      </c>
      <c r="B430" s="9" t="s">
        <v>681</v>
      </c>
      <c r="C430" s="9" t="s">
        <v>1692</v>
      </c>
      <c r="D430" s="9" t="s">
        <v>1694</v>
      </c>
      <c r="E430" s="9" t="s">
        <v>1192</v>
      </c>
      <c r="F430" s="9" t="s">
        <v>1182</v>
      </c>
      <c r="G430" s="9" t="n">
        <v>2</v>
      </c>
    </row>
    <row r="431" customFormat="false" ht="15" hidden="false" customHeight="true" outlineLevel="0" collapsed="false">
      <c r="A431" s="9" t="s">
        <v>1691</v>
      </c>
      <c r="B431" s="9" t="s">
        <v>681</v>
      </c>
      <c r="C431" s="9" t="s">
        <v>1692</v>
      </c>
      <c r="D431" s="9" t="s">
        <v>1695</v>
      </c>
      <c r="E431" s="9" t="s">
        <v>1180</v>
      </c>
      <c r="F431" s="9" t="s">
        <v>1178</v>
      </c>
      <c r="G431" s="9" t="n">
        <v>3</v>
      </c>
    </row>
    <row r="432" customFormat="false" ht="15" hidden="false" customHeight="true" outlineLevel="0" collapsed="false">
      <c r="A432" s="9" t="s">
        <v>1691</v>
      </c>
      <c r="B432" s="9" t="s">
        <v>681</v>
      </c>
      <c r="C432" s="9" t="s">
        <v>1692</v>
      </c>
      <c r="D432" s="9" t="s">
        <v>1285</v>
      </c>
      <c r="E432" s="9" t="s">
        <v>1198</v>
      </c>
      <c r="F432" s="9" t="s">
        <v>1190</v>
      </c>
      <c r="G432" s="9" t="n">
        <v>3</v>
      </c>
    </row>
    <row r="433" customFormat="false" ht="15" hidden="false" customHeight="true" outlineLevel="0" collapsed="false">
      <c r="A433" s="9" t="s">
        <v>1691</v>
      </c>
      <c r="B433" s="9" t="s">
        <v>681</v>
      </c>
      <c r="C433" s="9" t="s">
        <v>1692</v>
      </c>
      <c r="D433" s="9" t="s">
        <v>1696</v>
      </c>
      <c r="E433" s="9" t="s">
        <v>1180</v>
      </c>
      <c r="F433" s="9" t="s">
        <v>1182</v>
      </c>
      <c r="G433" s="9" t="n">
        <v>6</v>
      </c>
    </row>
    <row r="434" customFormat="false" ht="15" hidden="false" customHeight="true" outlineLevel="0" collapsed="false">
      <c r="A434" s="9" t="s">
        <v>1691</v>
      </c>
      <c r="B434" s="9" t="s">
        <v>681</v>
      </c>
      <c r="C434" s="9" t="s">
        <v>1692</v>
      </c>
      <c r="D434" s="9" t="s">
        <v>1697</v>
      </c>
      <c r="E434" s="9" t="s">
        <v>1180</v>
      </c>
      <c r="F434" s="9" t="s">
        <v>1187</v>
      </c>
      <c r="G434" s="9" t="n">
        <v>2</v>
      </c>
    </row>
    <row r="435" customFormat="false" ht="15" hidden="false" customHeight="true" outlineLevel="0" collapsed="false">
      <c r="A435" s="9" t="s">
        <v>1691</v>
      </c>
      <c r="B435" s="9" t="s">
        <v>681</v>
      </c>
      <c r="C435" s="9" t="s">
        <v>1692</v>
      </c>
      <c r="D435" s="9" t="s">
        <v>1698</v>
      </c>
      <c r="E435" s="9" t="s">
        <v>1177</v>
      </c>
      <c r="F435" s="9" t="s">
        <v>1187</v>
      </c>
      <c r="G435" s="9" t="n">
        <v>2</v>
      </c>
    </row>
    <row r="436" customFormat="false" ht="15" hidden="false" customHeight="true" outlineLevel="0" collapsed="false">
      <c r="A436" s="9" t="s">
        <v>1691</v>
      </c>
      <c r="B436" s="9" t="s">
        <v>681</v>
      </c>
      <c r="C436" s="9" t="s">
        <v>1692</v>
      </c>
      <c r="D436" s="9" t="s">
        <v>1628</v>
      </c>
      <c r="E436" s="9" t="s">
        <v>1186</v>
      </c>
      <c r="F436" s="9" t="s">
        <v>1178</v>
      </c>
      <c r="G436" s="9" t="n">
        <v>2</v>
      </c>
    </row>
    <row r="437" customFormat="false" ht="15" hidden="false" customHeight="true" outlineLevel="0" collapsed="false">
      <c r="A437" s="9" t="s">
        <v>1691</v>
      </c>
      <c r="B437" s="9" t="s">
        <v>681</v>
      </c>
      <c r="C437" s="9" t="s">
        <v>1692</v>
      </c>
      <c r="D437" s="9" t="s">
        <v>1232</v>
      </c>
      <c r="E437" s="9" t="s">
        <v>1180</v>
      </c>
      <c r="F437" s="9" t="s">
        <v>1190</v>
      </c>
      <c r="G437" s="9" t="n">
        <v>2</v>
      </c>
    </row>
    <row r="438" customFormat="false" ht="15" hidden="false" customHeight="true" outlineLevel="0" collapsed="false">
      <c r="A438" s="9" t="s">
        <v>1691</v>
      </c>
      <c r="B438" s="9" t="s">
        <v>681</v>
      </c>
      <c r="C438" s="9" t="s">
        <v>1692</v>
      </c>
      <c r="D438" s="9" t="s">
        <v>1699</v>
      </c>
      <c r="E438" s="9" t="s">
        <v>1177</v>
      </c>
      <c r="F438" s="9" t="s">
        <v>1190</v>
      </c>
      <c r="G438" s="9" t="n">
        <v>3</v>
      </c>
    </row>
    <row r="439" customFormat="false" ht="15" hidden="false" customHeight="true" outlineLevel="0" collapsed="false">
      <c r="A439" s="9" t="s">
        <v>1691</v>
      </c>
      <c r="B439" s="9" t="s">
        <v>681</v>
      </c>
      <c r="C439" s="9" t="s">
        <v>1692</v>
      </c>
      <c r="D439" s="9" t="s">
        <v>1700</v>
      </c>
      <c r="E439" s="9" t="s">
        <v>1192</v>
      </c>
      <c r="F439" s="9" t="s">
        <v>1182</v>
      </c>
      <c r="G439" s="9" t="n">
        <v>3</v>
      </c>
    </row>
    <row r="440" customFormat="false" ht="15" hidden="false" customHeight="true" outlineLevel="0" collapsed="false">
      <c r="A440" s="9" t="s">
        <v>1701</v>
      </c>
      <c r="B440" s="9" t="s">
        <v>427</v>
      </c>
      <c r="C440" s="9" t="s">
        <v>1702</v>
      </c>
      <c r="D440" s="9" t="s">
        <v>1549</v>
      </c>
      <c r="E440" s="9" t="s">
        <v>1180</v>
      </c>
      <c r="F440" s="9" t="s">
        <v>1187</v>
      </c>
      <c r="G440" s="9" t="n">
        <v>3</v>
      </c>
    </row>
    <row r="441" customFormat="false" ht="15" hidden="false" customHeight="true" outlineLevel="0" collapsed="false">
      <c r="A441" s="9" t="s">
        <v>1703</v>
      </c>
      <c r="B441" s="9" t="s">
        <v>447</v>
      </c>
      <c r="C441" s="9" t="s">
        <v>1704</v>
      </c>
      <c r="D441" s="9" t="s">
        <v>1195</v>
      </c>
      <c r="E441" s="9" t="s">
        <v>1180</v>
      </c>
      <c r="F441" s="9" t="s">
        <v>1182</v>
      </c>
      <c r="G441" s="9" t="n">
        <v>4</v>
      </c>
    </row>
    <row r="442" customFormat="false" ht="15" hidden="false" customHeight="true" outlineLevel="0" collapsed="false">
      <c r="A442" s="9" t="s">
        <v>1703</v>
      </c>
      <c r="B442" s="9" t="s">
        <v>447</v>
      </c>
      <c r="C442" s="9" t="s">
        <v>1704</v>
      </c>
      <c r="D442" s="9" t="s">
        <v>1700</v>
      </c>
      <c r="E442" s="9" t="s">
        <v>1189</v>
      </c>
      <c r="F442" s="9" t="s">
        <v>1182</v>
      </c>
      <c r="G442" s="9" t="n">
        <v>4</v>
      </c>
    </row>
    <row r="443" customFormat="false" ht="15" hidden="false" customHeight="true" outlineLevel="0" collapsed="false">
      <c r="A443" s="9" t="s">
        <v>1703</v>
      </c>
      <c r="B443" s="9" t="s">
        <v>447</v>
      </c>
      <c r="C443" s="9" t="s">
        <v>1704</v>
      </c>
      <c r="D443" s="9" t="s">
        <v>1705</v>
      </c>
      <c r="E443" s="9" t="s">
        <v>1189</v>
      </c>
      <c r="F443" s="9" t="s">
        <v>1178</v>
      </c>
      <c r="G443" s="9" t="n">
        <v>2</v>
      </c>
    </row>
    <row r="444" customFormat="false" ht="15" hidden="false" customHeight="true" outlineLevel="0" collapsed="false">
      <c r="A444" s="9" t="s">
        <v>1703</v>
      </c>
      <c r="B444" s="9" t="s">
        <v>447</v>
      </c>
      <c r="C444" s="9" t="s">
        <v>1704</v>
      </c>
      <c r="D444" s="9" t="s">
        <v>1706</v>
      </c>
      <c r="E444" s="9" t="s">
        <v>1216</v>
      </c>
      <c r="F444" s="9" t="s">
        <v>1196</v>
      </c>
      <c r="G444" s="9" t="n">
        <v>3</v>
      </c>
    </row>
    <row r="445" customFormat="false" ht="15" hidden="false" customHeight="true" outlineLevel="0" collapsed="false">
      <c r="A445" s="9" t="s">
        <v>1703</v>
      </c>
      <c r="B445" s="9" t="s">
        <v>447</v>
      </c>
      <c r="C445" s="9" t="s">
        <v>1704</v>
      </c>
      <c r="D445" s="9" t="s">
        <v>1523</v>
      </c>
      <c r="E445" s="9" t="s">
        <v>1198</v>
      </c>
      <c r="F445" s="9" t="s">
        <v>1190</v>
      </c>
      <c r="G445" s="9" t="n">
        <v>3</v>
      </c>
    </row>
    <row r="446" customFormat="false" ht="15" hidden="false" customHeight="true" outlineLevel="0" collapsed="false">
      <c r="A446" s="9" t="s">
        <v>1707</v>
      </c>
      <c r="B446" s="9" t="s">
        <v>249</v>
      </c>
      <c r="C446" s="9" t="s">
        <v>1708</v>
      </c>
      <c r="D446" s="9" t="s">
        <v>1239</v>
      </c>
      <c r="E446" s="9" t="s">
        <v>1189</v>
      </c>
      <c r="F446" s="9" t="s">
        <v>1190</v>
      </c>
      <c r="G446" s="9" t="n">
        <v>4</v>
      </c>
    </row>
    <row r="447" customFormat="false" ht="15" hidden="false" customHeight="true" outlineLevel="0" collapsed="false">
      <c r="A447" s="9" t="s">
        <v>1707</v>
      </c>
      <c r="B447" s="9" t="s">
        <v>249</v>
      </c>
      <c r="C447" s="9" t="s">
        <v>1708</v>
      </c>
      <c r="D447" s="9" t="s">
        <v>1356</v>
      </c>
      <c r="E447" s="9" t="s">
        <v>1180</v>
      </c>
      <c r="F447" s="9" t="s">
        <v>1178</v>
      </c>
      <c r="G447" s="9" t="n">
        <v>3</v>
      </c>
    </row>
    <row r="448" customFormat="false" ht="15" hidden="false" customHeight="true" outlineLevel="0" collapsed="false">
      <c r="A448" s="9" t="s">
        <v>1709</v>
      </c>
      <c r="B448" s="9" t="s">
        <v>659</v>
      </c>
      <c r="C448" s="9" t="s">
        <v>1710</v>
      </c>
      <c r="D448" s="9" t="s">
        <v>1711</v>
      </c>
      <c r="E448" s="9" t="s">
        <v>1525</v>
      </c>
      <c r="F448" s="9" t="s">
        <v>1182</v>
      </c>
      <c r="G448" s="9" t="n">
        <v>2</v>
      </c>
    </row>
    <row r="449" customFormat="false" ht="15" hidden="false" customHeight="true" outlineLevel="0" collapsed="false">
      <c r="A449" s="9" t="s">
        <v>1709</v>
      </c>
      <c r="B449" s="9" t="s">
        <v>659</v>
      </c>
      <c r="C449" s="9" t="s">
        <v>1710</v>
      </c>
      <c r="D449" s="9" t="s">
        <v>1712</v>
      </c>
      <c r="E449" s="9" t="s">
        <v>1177</v>
      </c>
      <c r="F449" s="9" t="s">
        <v>1178</v>
      </c>
      <c r="G449" s="9" t="n">
        <v>2</v>
      </c>
    </row>
    <row r="450" customFormat="false" ht="15" hidden="false" customHeight="true" outlineLevel="0" collapsed="false">
      <c r="A450" s="9" t="s">
        <v>1709</v>
      </c>
      <c r="B450" s="9" t="s">
        <v>659</v>
      </c>
      <c r="C450" s="9" t="s">
        <v>1710</v>
      </c>
      <c r="D450" s="9" t="s">
        <v>1713</v>
      </c>
      <c r="E450" s="9" t="s">
        <v>1189</v>
      </c>
      <c r="F450" s="9" t="s">
        <v>1190</v>
      </c>
      <c r="G450" s="9" t="n">
        <v>3</v>
      </c>
    </row>
    <row r="451" customFormat="false" ht="15" hidden="false" customHeight="true" outlineLevel="0" collapsed="false">
      <c r="A451" s="9" t="s">
        <v>1709</v>
      </c>
      <c r="B451" s="9" t="s">
        <v>659</v>
      </c>
      <c r="C451" s="9" t="s">
        <v>1710</v>
      </c>
      <c r="D451" s="9" t="s">
        <v>1377</v>
      </c>
      <c r="E451" s="9" t="s">
        <v>1198</v>
      </c>
      <c r="F451" s="9" t="s">
        <v>1182</v>
      </c>
      <c r="G451" s="9" t="n">
        <v>2</v>
      </c>
    </row>
    <row r="452" customFormat="false" ht="15" hidden="false" customHeight="true" outlineLevel="0" collapsed="false">
      <c r="A452" s="9" t="s">
        <v>1709</v>
      </c>
      <c r="B452" s="9" t="s">
        <v>659</v>
      </c>
      <c r="C452" s="9" t="s">
        <v>1710</v>
      </c>
      <c r="D452" s="9" t="s">
        <v>1714</v>
      </c>
      <c r="E452" s="9" t="s">
        <v>1204</v>
      </c>
      <c r="F452" s="9" t="s">
        <v>1178</v>
      </c>
      <c r="G452" s="9" t="n">
        <v>2</v>
      </c>
    </row>
    <row r="453" customFormat="false" ht="15" hidden="false" customHeight="true" outlineLevel="0" collapsed="false">
      <c r="A453" s="9" t="s">
        <v>1715</v>
      </c>
      <c r="B453" s="9" t="s">
        <v>344</v>
      </c>
      <c r="C453" s="9" t="s">
        <v>1716</v>
      </c>
      <c r="D453" s="9" t="s">
        <v>1717</v>
      </c>
      <c r="E453" s="9" t="s">
        <v>1177</v>
      </c>
      <c r="F453" s="9" t="s">
        <v>1178</v>
      </c>
      <c r="G453" s="9" t="n">
        <v>3</v>
      </c>
    </row>
    <row r="454" customFormat="false" ht="15" hidden="false" customHeight="true" outlineLevel="0" collapsed="false">
      <c r="A454" s="9" t="s">
        <v>1715</v>
      </c>
      <c r="B454" s="9" t="s">
        <v>344</v>
      </c>
      <c r="C454" s="9" t="s">
        <v>1716</v>
      </c>
      <c r="D454" s="9" t="s">
        <v>1718</v>
      </c>
      <c r="E454" s="9" t="s">
        <v>1216</v>
      </c>
      <c r="F454" s="9" t="s">
        <v>1182</v>
      </c>
      <c r="G454" s="9" t="n">
        <v>3</v>
      </c>
    </row>
    <row r="455" customFormat="false" ht="15" hidden="false" customHeight="true" outlineLevel="0" collapsed="false">
      <c r="A455" s="9" t="s">
        <v>1715</v>
      </c>
      <c r="B455" s="9" t="s">
        <v>344</v>
      </c>
      <c r="C455" s="9" t="s">
        <v>1716</v>
      </c>
      <c r="D455" s="9" t="s">
        <v>1537</v>
      </c>
      <c r="E455" s="9" t="s">
        <v>1204</v>
      </c>
      <c r="F455" s="9" t="s">
        <v>1196</v>
      </c>
      <c r="G455" s="9" t="n">
        <v>3</v>
      </c>
    </row>
    <row r="456" customFormat="false" ht="15" hidden="false" customHeight="true" outlineLevel="0" collapsed="false">
      <c r="A456" s="9" t="s">
        <v>1715</v>
      </c>
      <c r="B456" s="9" t="s">
        <v>344</v>
      </c>
      <c r="C456" s="9" t="s">
        <v>1716</v>
      </c>
      <c r="D456" s="9" t="s">
        <v>1719</v>
      </c>
      <c r="E456" s="9" t="s">
        <v>1216</v>
      </c>
      <c r="F456" s="9" t="s">
        <v>1187</v>
      </c>
      <c r="G456" s="9" t="n">
        <v>2</v>
      </c>
    </row>
    <row r="457" customFormat="false" ht="15" hidden="false" customHeight="true" outlineLevel="0" collapsed="false">
      <c r="A457" s="9" t="s">
        <v>1720</v>
      </c>
      <c r="B457" s="9" t="s">
        <v>382</v>
      </c>
      <c r="C457" s="9" t="s">
        <v>1721</v>
      </c>
      <c r="D457" s="9" t="s">
        <v>1274</v>
      </c>
      <c r="E457" s="9" t="s">
        <v>1192</v>
      </c>
      <c r="F457" s="9" t="s">
        <v>1178</v>
      </c>
      <c r="G457" s="9" t="n">
        <v>3</v>
      </c>
    </row>
    <row r="458" customFormat="false" ht="15" hidden="false" customHeight="true" outlineLevel="0" collapsed="false">
      <c r="A458" s="9" t="s">
        <v>1722</v>
      </c>
      <c r="B458" s="9" t="s">
        <v>1044</v>
      </c>
      <c r="C458" s="9" t="s">
        <v>1723</v>
      </c>
      <c r="D458" s="9" t="s">
        <v>1724</v>
      </c>
      <c r="E458" s="9" t="s">
        <v>1216</v>
      </c>
      <c r="F458" s="9" t="s">
        <v>1190</v>
      </c>
      <c r="G458" s="9" t="n">
        <v>2</v>
      </c>
    </row>
    <row r="459" customFormat="false" ht="15" hidden="false" customHeight="true" outlineLevel="0" collapsed="false">
      <c r="A459" s="9" t="s">
        <v>1722</v>
      </c>
      <c r="B459" s="9" t="s">
        <v>1044</v>
      </c>
      <c r="C459" s="9" t="s">
        <v>1723</v>
      </c>
      <c r="D459" s="9" t="s">
        <v>1725</v>
      </c>
      <c r="E459" s="9" t="s">
        <v>1216</v>
      </c>
      <c r="F459" s="9" t="s">
        <v>1196</v>
      </c>
      <c r="G459" s="9" t="n">
        <v>2</v>
      </c>
    </row>
    <row r="460" customFormat="false" ht="15" hidden="false" customHeight="true" outlineLevel="0" collapsed="false">
      <c r="A460" s="9" t="s">
        <v>1722</v>
      </c>
      <c r="B460" s="9" t="s">
        <v>1044</v>
      </c>
      <c r="C460" s="9" t="s">
        <v>1723</v>
      </c>
      <c r="D460" s="9" t="s">
        <v>1726</v>
      </c>
      <c r="E460" s="9" t="s">
        <v>1192</v>
      </c>
      <c r="F460" s="9" t="s">
        <v>1190</v>
      </c>
      <c r="G460" s="9" t="n">
        <v>3</v>
      </c>
    </row>
    <row r="461" customFormat="false" ht="15" hidden="false" customHeight="true" outlineLevel="0" collapsed="false">
      <c r="A461" s="9" t="s">
        <v>1722</v>
      </c>
      <c r="B461" s="9" t="s">
        <v>1044</v>
      </c>
      <c r="C461" s="9" t="s">
        <v>1723</v>
      </c>
      <c r="D461" s="9" t="s">
        <v>1236</v>
      </c>
      <c r="E461" s="9" t="s">
        <v>1180</v>
      </c>
      <c r="F461" s="9" t="s">
        <v>1178</v>
      </c>
      <c r="G461" s="9" t="n">
        <v>3</v>
      </c>
    </row>
    <row r="462" customFormat="false" ht="15" hidden="false" customHeight="true" outlineLevel="0" collapsed="false">
      <c r="A462" s="9" t="s">
        <v>1722</v>
      </c>
      <c r="B462" s="9" t="s">
        <v>1044</v>
      </c>
      <c r="C462" s="9" t="s">
        <v>1723</v>
      </c>
      <c r="D462" s="9" t="s">
        <v>1727</v>
      </c>
      <c r="E462" s="9" t="s">
        <v>1216</v>
      </c>
      <c r="F462" s="9" t="s">
        <v>1187</v>
      </c>
      <c r="G462" s="9" t="n">
        <v>3</v>
      </c>
    </row>
    <row r="463" customFormat="false" ht="15" hidden="false" customHeight="true" outlineLevel="0" collapsed="false">
      <c r="A463" s="9" t="s">
        <v>1722</v>
      </c>
      <c r="B463" s="9" t="s">
        <v>1044</v>
      </c>
      <c r="C463" s="9" t="s">
        <v>1723</v>
      </c>
      <c r="D463" s="9" t="s">
        <v>1728</v>
      </c>
      <c r="E463" s="9" t="s">
        <v>1277</v>
      </c>
      <c r="F463" s="9" t="s">
        <v>1196</v>
      </c>
      <c r="G463" s="9" t="n">
        <v>3</v>
      </c>
    </row>
    <row r="464" customFormat="false" ht="15" hidden="false" customHeight="true" outlineLevel="0" collapsed="false">
      <c r="A464" s="9" t="s">
        <v>1729</v>
      </c>
      <c r="B464" s="9" t="s">
        <v>564</v>
      </c>
      <c r="C464" s="9" t="s">
        <v>1309</v>
      </c>
      <c r="D464" s="9" t="s">
        <v>1730</v>
      </c>
      <c r="E464" s="9" t="s">
        <v>1186</v>
      </c>
      <c r="F464" s="9" t="s">
        <v>1187</v>
      </c>
      <c r="G464" s="9" t="n">
        <v>3</v>
      </c>
    </row>
    <row r="465" customFormat="false" ht="15" hidden="false" customHeight="true" outlineLevel="0" collapsed="false">
      <c r="A465" s="9" t="s">
        <v>1729</v>
      </c>
      <c r="B465" s="9" t="s">
        <v>564</v>
      </c>
      <c r="C465" s="9" t="s">
        <v>1309</v>
      </c>
      <c r="D465" s="9" t="s">
        <v>1731</v>
      </c>
      <c r="E465" s="9" t="s">
        <v>1198</v>
      </c>
      <c r="F465" s="9" t="s">
        <v>1187</v>
      </c>
      <c r="G465" s="9" t="n">
        <v>2</v>
      </c>
    </row>
    <row r="466" customFormat="false" ht="15" hidden="false" customHeight="true" outlineLevel="0" collapsed="false">
      <c r="A466" s="9" t="s">
        <v>1729</v>
      </c>
      <c r="B466" s="9" t="s">
        <v>564</v>
      </c>
      <c r="C466" s="9" t="s">
        <v>1309</v>
      </c>
      <c r="D466" s="9" t="s">
        <v>1732</v>
      </c>
      <c r="E466" s="9" t="s">
        <v>1204</v>
      </c>
      <c r="F466" s="9" t="s">
        <v>1182</v>
      </c>
      <c r="G466" s="9" t="n">
        <v>2</v>
      </c>
    </row>
    <row r="467" customFormat="false" ht="15" hidden="false" customHeight="true" outlineLevel="0" collapsed="false">
      <c r="A467" s="9" t="s">
        <v>1729</v>
      </c>
      <c r="B467" s="9" t="s">
        <v>564</v>
      </c>
      <c r="C467" s="9" t="s">
        <v>1309</v>
      </c>
      <c r="D467" s="9" t="s">
        <v>1661</v>
      </c>
      <c r="E467" s="9" t="s">
        <v>1192</v>
      </c>
      <c r="F467" s="9" t="s">
        <v>1187</v>
      </c>
      <c r="G467" s="9" t="n">
        <v>2</v>
      </c>
    </row>
    <row r="468" customFormat="false" ht="15" hidden="false" customHeight="true" outlineLevel="0" collapsed="false">
      <c r="A468" s="9" t="s">
        <v>1729</v>
      </c>
      <c r="B468" s="9" t="s">
        <v>564</v>
      </c>
      <c r="C468" s="9" t="s">
        <v>1309</v>
      </c>
      <c r="D468" s="9" t="s">
        <v>1733</v>
      </c>
      <c r="E468" s="9" t="s">
        <v>1216</v>
      </c>
      <c r="F468" s="9" t="s">
        <v>1196</v>
      </c>
      <c r="G468" s="9"/>
    </row>
    <row r="469" customFormat="false" ht="15" hidden="false" customHeight="true" outlineLevel="0" collapsed="false">
      <c r="A469" s="9" t="s">
        <v>1734</v>
      </c>
      <c r="B469" s="9" t="s">
        <v>102</v>
      </c>
      <c r="C469" s="9" t="s">
        <v>1735</v>
      </c>
      <c r="D469" s="9" t="s">
        <v>1614</v>
      </c>
      <c r="E469" s="9" t="s">
        <v>1198</v>
      </c>
      <c r="F469" s="9" t="s">
        <v>1178</v>
      </c>
      <c r="G469" s="9" t="n">
        <v>3</v>
      </c>
    </row>
    <row r="470" customFormat="false" ht="15" hidden="false" customHeight="true" outlineLevel="0" collapsed="false">
      <c r="A470" s="9" t="s">
        <v>1734</v>
      </c>
      <c r="B470" s="9" t="s">
        <v>102</v>
      </c>
      <c r="C470" s="9" t="s">
        <v>1735</v>
      </c>
      <c r="D470" s="9" t="s">
        <v>1387</v>
      </c>
      <c r="E470" s="9" t="s">
        <v>1180</v>
      </c>
      <c r="F470" s="9" t="s">
        <v>1182</v>
      </c>
      <c r="G470" s="9" t="n">
        <v>2</v>
      </c>
    </row>
    <row r="471" customFormat="false" ht="15" hidden="false" customHeight="true" outlineLevel="0" collapsed="false">
      <c r="A471" s="9" t="s">
        <v>1734</v>
      </c>
      <c r="B471" s="9" t="s">
        <v>102</v>
      </c>
      <c r="C471" s="9" t="s">
        <v>1735</v>
      </c>
      <c r="D471" s="9" t="s">
        <v>1736</v>
      </c>
      <c r="E471" s="9" t="s">
        <v>1192</v>
      </c>
      <c r="F471" s="9" t="s">
        <v>1190</v>
      </c>
      <c r="G471" s="9" t="n">
        <v>2</v>
      </c>
    </row>
    <row r="472" customFormat="false" ht="15" hidden="false" customHeight="true" outlineLevel="0" collapsed="false">
      <c r="A472" s="9" t="s">
        <v>1734</v>
      </c>
      <c r="B472" s="9" t="s">
        <v>102</v>
      </c>
      <c r="C472" s="9" t="s">
        <v>1735</v>
      </c>
      <c r="D472" s="9" t="s">
        <v>1737</v>
      </c>
      <c r="E472" s="9" t="s">
        <v>1189</v>
      </c>
      <c r="F472" s="9" t="s">
        <v>1187</v>
      </c>
      <c r="G472" s="9" t="n">
        <v>2</v>
      </c>
    </row>
    <row r="473" customFormat="false" ht="15" hidden="false" customHeight="true" outlineLevel="0" collapsed="false">
      <c r="A473" s="9" t="s">
        <v>1734</v>
      </c>
      <c r="B473" s="9" t="s">
        <v>102</v>
      </c>
      <c r="C473" s="9" t="s">
        <v>1735</v>
      </c>
      <c r="D473" s="9" t="s">
        <v>1738</v>
      </c>
      <c r="E473" s="9" t="s">
        <v>1177</v>
      </c>
      <c r="F473" s="9" t="s">
        <v>1178</v>
      </c>
      <c r="G473" s="9" t="n">
        <v>6</v>
      </c>
    </row>
    <row r="474" customFormat="false" ht="15" hidden="false" customHeight="true" outlineLevel="0" collapsed="false">
      <c r="A474" s="9" t="s">
        <v>1739</v>
      </c>
      <c r="B474" s="9" t="s">
        <v>608</v>
      </c>
      <c r="C474" s="9" t="s">
        <v>1740</v>
      </c>
      <c r="D474" s="9" t="s">
        <v>1741</v>
      </c>
      <c r="E474" s="9" t="s">
        <v>1204</v>
      </c>
      <c r="F474" s="9" t="s">
        <v>1196</v>
      </c>
      <c r="G474" s="9" t="n">
        <v>3</v>
      </c>
    </row>
    <row r="475" customFormat="false" ht="15" hidden="false" customHeight="true" outlineLevel="0" collapsed="false">
      <c r="A475" s="9" t="s">
        <v>1739</v>
      </c>
      <c r="B475" s="9" t="s">
        <v>608</v>
      </c>
      <c r="C475" s="9" t="s">
        <v>1740</v>
      </c>
      <c r="D475" s="9" t="s">
        <v>1742</v>
      </c>
      <c r="E475" s="9" t="s">
        <v>1186</v>
      </c>
      <c r="F475" s="9" t="s">
        <v>1178</v>
      </c>
      <c r="G475" s="9" t="n">
        <v>4</v>
      </c>
    </row>
    <row r="476" customFormat="false" ht="15" hidden="false" customHeight="true" outlineLevel="0" collapsed="false">
      <c r="A476" s="9" t="s">
        <v>1739</v>
      </c>
      <c r="B476" s="9" t="s">
        <v>608</v>
      </c>
      <c r="C476" s="9" t="s">
        <v>1740</v>
      </c>
      <c r="D476" s="9" t="s">
        <v>1743</v>
      </c>
      <c r="E476" s="9" t="s">
        <v>1198</v>
      </c>
      <c r="F476" s="9" t="s">
        <v>1196</v>
      </c>
      <c r="G476" s="9" t="n">
        <v>2</v>
      </c>
    </row>
    <row r="477" customFormat="false" ht="15" hidden="false" customHeight="true" outlineLevel="0" collapsed="false">
      <c r="A477" s="9" t="s">
        <v>1739</v>
      </c>
      <c r="B477" s="9" t="s">
        <v>608</v>
      </c>
      <c r="C477" s="9" t="s">
        <v>1740</v>
      </c>
      <c r="D477" s="9" t="s">
        <v>1744</v>
      </c>
      <c r="E477" s="9" t="s">
        <v>1216</v>
      </c>
      <c r="F477" s="9" t="s">
        <v>1178</v>
      </c>
      <c r="G477" s="9" t="n">
        <v>2</v>
      </c>
    </row>
    <row r="478" customFormat="false" ht="15" hidden="false" customHeight="true" outlineLevel="0" collapsed="false">
      <c r="A478" s="9" t="s">
        <v>1745</v>
      </c>
      <c r="B478" s="9" t="s">
        <v>1051</v>
      </c>
      <c r="C478" s="9" t="s">
        <v>1746</v>
      </c>
      <c r="D478" s="9" t="s">
        <v>1264</v>
      </c>
      <c r="E478" s="9" t="s">
        <v>1204</v>
      </c>
      <c r="F478" s="9" t="s">
        <v>1187</v>
      </c>
      <c r="G478" s="9" t="n">
        <v>2</v>
      </c>
    </row>
    <row r="479" customFormat="false" ht="15" hidden="false" customHeight="true" outlineLevel="0" collapsed="false">
      <c r="A479" s="9" t="s">
        <v>1745</v>
      </c>
      <c r="B479" s="9" t="s">
        <v>1051</v>
      </c>
      <c r="C479" s="9" t="s">
        <v>1746</v>
      </c>
      <c r="D479" s="9" t="s">
        <v>1747</v>
      </c>
      <c r="E479" s="9" t="s">
        <v>1189</v>
      </c>
      <c r="F479" s="9" t="s">
        <v>1178</v>
      </c>
      <c r="G479" s="9" t="n">
        <v>3</v>
      </c>
    </row>
    <row r="480" customFormat="false" ht="15" hidden="false" customHeight="true" outlineLevel="0" collapsed="false">
      <c r="A480" s="9" t="s">
        <v>1745</v>
      </c>
      <c r="B480" s="9" t="s">
        <v>1051</v>
      </c>
      <c r="C480" s="9" t="s">
        <v>1746</v>
      </c>
      <c r="D480" s="9" t="s">
        <v>1748</v>
      </c>
      <c r="E480" s="9" t="s">
        <v>1198</v>
      </c>
      <c r="F480" s="9" t="s">
        <v>1190</v>
      </c>
      <c r="G480" s="9" t="n">
        <v>2</v>
      </c>
    </row>
    <row r="481" customFormat="false" ht="15" hidden="false" customHeight="true" outlineLevel="0" collapsed="false">
      <c r="A481" s="9" t="s">
        <v>1745</v>
      </c>
      <c r="B481" s="9" t="s">
        <v>1051</v>
      </c>
      <c r="C481" s="9" t="s">
        <v>1746</v>
      </c>
      <c r="D481" s="9" t="s">
        <v>1749</v>
      </c>
      <c r="E481" s="9" t="s">
        <v>1216</v>
      </c>
      <c r="F481" s="9" t="s">
        <v>1187</v>
      </c>
      <c r="G481" s="9" t="n">
        <v>2</v>
      </c>
    </row>
    <row r="482" customFormat="false" ht="15" hidden="false" customHeight="true" outlineLevel="0" collapsed="false">
      <c r="A482" s="9" t="s">
        <v>1745</v>
      </c>
      <c r="B482" s="9" t="s">
        <v>1051</v>
      </c>
      <c r="C482" s="9" t="s">
        <v>1746</v>
      </c>
      <c r="D482" s="9" t="s">
        <v>1750</v>
      </c>
      <c r="E482" s="9" t="s">
        <v>1204</v>
      </c>
      <c r="F482" s="9" t="s">
        <v>1178</v>
      </c>
      <c r="G482" s="9" t="n">
        <v>5</v>
      </c>
    </row>
    <row r="483" customFormat="false" ht="15" hidden="false" customHeight="true" outlineLevel="0" collapsed="false">
      <c r="A483" s="9" t="s">
        <v>1745</v>
      </c>
      <c r="B483" s="9" t="s">
        <v>1051</v>
      </c>
      <c r="C483" s="9" t="s">
        <v>1746</v>
      </c>
      <c r="D483" s="9" t="s">
        <v>1338</v>
      </c>
      <c r="E483" s="9" t="s">
        <v>1192</v>
      </c>
      <c r="F483" s="9" t="s">
        <v>1178</v>
      </c>
      <c r="G483" s="9" t="n">
        <v>3</v>
      </c>
    </row>
    <row r="484" customFormat="false" ht="15" hidden="false" customHeight="true" outlineLevel="0" collapsed="false">
      <c r="A484" s="9" t="s">
        <v>1751</v>
      </c>
      <c r="B484" s="9" t="s">
        <v>862</v>
      </c>
      <c r="C484" s="9" t="s">
        <v>1752</v>
      </c>
      <c r="D484" s="9" t="s">
        <v>1753</v>
      </c>
      <c r="E484" s="9" t="s">
        <v>1177</v>
      </c>
      <c r="F484" s="9" t="s">
        <v>1182</v>
      </c>
      <c r="G484" s="9" t="n">
        <v>4</v>
      </c>
    </row>
    <row r="485" customFormat="false" ht="15" hidden="false" customHeight="true" outlineLevel="0" collapsed="false">
      <c r="A485" s="9" t="s">
        <v>1751</v>
      </c>
      <c r="B485" s="9" t="s">
        <v>862</v>
      </c>
      <c r="C485" s="9" t="s">
        <v>1752</v>
      </c>
      <c r="D485" s="9" t="s">
        <v>1330</v>
      </c>
      <c r="E485" s="9" t="s">
        <v>1189</v>
      </c>
      <c r="F485" s="9" t="s">
        <v>1187</v>
      </c>
      <c r="G485" s="9" t="n">
        <v>2</v>
      </c>
    </row>
    <row r="486" customFormat="false" ht="15" hidden="false" customHeight="true" outlineLevel="0" collapsed="false">
      <c r="A486" s="9" t="s">
        <v>1751</v>
      </c>
      <c r="B486" s="9" t="s">
        <v>862</v>
      </c>
      <c r="C486" s="9" t="s">
        <v>1752</v>
      </c>
      <c r="D486" s="9" t="s">
        <v>1754</v>
      </c>
      <c r="E486" s="9" t="s">
        <v>1192</v>
      </c>
      <c r="F486" s="9" t="s">
        <v>1178</v>
      </c>
      <c r="G486" s="9" t="n">
        <v>2</v>
      </c>
    </row>
    <row r="487" customFormat="false" ht="15" hidden="false" customHeight="true" outlineLevel="0" collapsed="false">
      <c r="A487" s="9" t="s">
        <v>1751</v>
      </c>
      <c r="B487" s="9" t="s">
        <v>862</v>
      </c>
      <c r="C487" s="9" t="s">
        <v>1752</v>
      </c>
      <c r="D487" s="9" t="s">
        <v>1755</v>
      </c>
      <c r="E487" s="9" t="s">
        <v>1204</v>
      </c>
      <c r="F487" s="9" t="s">
        <v>1182</v>
      </c>
      <c r="G487" s="9" t="n">
        <v>5</v>
      </c>
    </row>
    <row r="488" customFormat="false" ht="15" hidden="false" customHeight="true" outlineLevel="0" collapsed="false">
      <c r="A488" s="9" t="s">
        <v>1751</v>
      </c>
      <c r="B488" s="9" t="s">
        <v>862</v>
      </c>
      <c r="C488" s="9" t="s">
        <v>1752</v>
      </c>
      <c r="D488" s="9" t="s">
        <v>1496</v>
      </c>
      <c r="E488" s="9" t="s">
        <v>1204</v>
      </c>
      <c r="F488" s="9" t="s">
        <v>1178</v>
      </c>
      <c r="G488" s="9" t="n">
        <v>3</v>
      </c>
    </row>
    <row r="489" customFormat="false" ht="15" hidden="false" customHeight="true" outlineLevel="0" collapsed="false">
      <c r="A489" s="9" t="s">
        <v>1751</v>
      </c>
      <c r="B489" s="9" t="s">
        <v>862</v>
      </c>
      <c r="C489" s="9" t="s">
        <v>1752</v>
      </c>
      <c r="D489" s="9" t="s">
        <v>1648</v>
      </c>
      <c r="E489" s="9" t="s">
        <v>1189</v>
      </c>
      <c r="F489" s="9" t="s">
        <v>1187</v>
      </c>
      <c r="G489" s="9" t="n">
        <v>3</v>
      </c>
    </row>
    <row r="490" customFormat="false" ht="15" hidden="false" customHeight="true" outlineLevel="0" collapsed="false">
      <c r="A490" s="9" t="s">
        <v>1756</v>
      </c>
      <c r="B490" s="9" t="s">
        <v>487</v>
      </c>
      <c r="C490" s="9" t="s">
        <v>1757</v>
      </c>
      <c r="D490" s="9" t="s">
        <v>1620</v>
      </c>
      <c r="E490" s="9" t="s">
        <v>1186</v>
      </c>
      <c r="F490" s="9" t="s">
        <v>1187</v>
      </c>
      <c r="G490" s="9" t="n">
        <v>2</v>
      </c>
    </row>
    <row r="491" customFormat="false" ht="15" hidden="false" customHeight="true" outlineLevel="0" collapsed="false">
      <c r="A491" s="9" t="s">
        <v>1756</v>
      </c>
      <c r="B491" s="9" t="s">
        <v>487</v>
      </c>
      <c r="C491" s="9" t="s">
        <v>1757</v>
      </c>
      <c r="D491" s="9" t="s">
        <v>1758</v>
      </c>
      <c r="E491" s="9" t="s">
        <v>1395</v>
      </c>
      <c r="F491" s="9" t="s">
        <v>1178</v>
      </c>
      <c r="G491" s="9" t="n">
        <v>3</v>
      </c>
    </row>
    <row r="492" customFormat="false" ht="15" hidden="false" customHeight="true" outlineLevel="0" collapsed="false">
      <c r="A492" s="9" t="s">
        <v>1756</v>
      </c>
      <c r="B492" s="9" t="s">
        <v>487</v>
      </c>
      <c r="C492" s="9" t="s">
        <v>1757</v>
      </c>
      <c r="D492" s="9" t="s">
        <v>1759</v>
      </c>
      <c r="E492" s="9" t="s">
        <v>1180</v>
      </c>
      <c r="F492" s="9" t="s">
        <v>1196</v>
      </c>
      <c r="G492" s="9" t="n">
        <v>3</v>
      </c>
    </row>
    <row r="493" customFormat="false" ht="15" hidden="false" customHeight="true" outlineLevel="0" collapsed="false">
      <c r="A493" s="9" t="s">
        <v>1760</v>
      </c>
      <c r="B493" s="9" t="s">
        <v>1002</v>
      </c>
      <c r="C493" s="9" t="s">
        <v>1761</v>
      </c>
      <c r="D493" s="9" t="s">
        <v>1762</v>
      </c>
      <c r="E493" s="9" t="s">
        <v>1177</v>
      </c>
      <c r="F493" s="9" t="s">
        <v>1190</v>
      </c>
      <c r="G493" s="9" t="n">
        <v>2</v>
      </c>
    </row>
    <row r="494" customFormat="false" ht="15" hidden="false" customHeight="true" outlineLevel="0" collapsed="false">
      <c r="A494" s="9" t="s">
        <v>1760</v>
      </c>
      <c r="B494" s="9" t="s">
        <v>1002</v>
      </c>
      <c r="C494" s="9" t="s">
        <v>1761</v>
      </c>
      <c r="D494" s="9" t="s">
        <v>1763</v>
      </c>
      <c r="E494" s="9" t="s">
        <v>1177</v>
      </c>
      <c r="F494" s="9" t="s">
        <v>1182</v>
      </c>
      <c r="G494" s="9" t="n">
        <v>4</v>
      </c>
    </row>
    <row r="495" customFormat="false" ht="15" hidden="false" customHeight="true" outlineLevel="0" collapsed="false">
      <c r="A495" s="9" t="s">
        <v>1760</v>
      </c>
      <c r="B495" s="9" t="s">
        <v>1002</v>
      </c>
      <c r="C495" s="9" t="s">
        <v>1761</v>
      </c>
      <c r="D495" s="9" t="s">
        <v>1545</v>
      </c>
      <c r="E495" s="9" t="s">
        <v>1177</v>
      </c>
      <c r="F495" s="9" t="s">
        <v>1178</v>
      </c>
      <c r="G495" s="9" t="n">
        <v>3</v>
      </c>
    </row>
    <row r="496" customFormat="false" ht="15" hidden="false" customHeight="true" outlineLevel="0" collapsed="false">
      <c r="A496" s="9" t="s">
        <v>1760</v>
      </c>
      <c r="B496" s="9" t="s">
        <v>1002</v>
      </c>
      <c r="C496" s="9" t="s">
        <v>1761</v>
      </c>
      <c r="D496" s="9" t="s">
        <v>1313</v>
      </c>
      <c r="E496" s="9" t="s">
        <v>1189</v>
      </c>
      <c r="F496" s="9" t="s">
        <v>1182</v>
      </c>
      <c r="G496" s="9" t="n">
        <v>5</v>
      </c>
    </row>
    <row r="497" customFormat="false" ht="15" hidden="false" customHeight="true" outlineLevel="0" collapsed="false">
      <c r="A497" s="9" t="s">
        <v>1764</v>
      </c>
      <c r="B497" s="9" t="s">
        <v>724</v>
      </c>
      <c r="C497" s="9" t="s">
        <v>1765</v>
      </c>
      <c r="D497" s="9" t="s">
        <v>1532</v>
      </c>
      <c r="E497" s="9" t="s">
        <v>1177</v>
      </c>
      <c r="F497" s="9" t="s">
        <v>1182</v>
      </c>
      <c r="G497" s="9" t="n">
        <v>2</v>
      </c>
    </row>
    <row r="498" customFormat="false" ht="15" hidden="false" customHeight="true" outlineLevel="0" collapsed="false">
      <c r="A498" s="9" t="s">
        <v>1764</v>
      </c>
      <c r="B498" s="9" t="s">
        <v>724</v>
      </c>
      <c r="C498" s="9" t="s">
        <v>1765</v>
      </c>
      <c r="D498" s="9" t="s">
        <v>1599</v>
      </c>
      <c r="E498" s="9" t="s">
        <v>1395</v>
      </c>
      <c r="F498" s="9" t="s">
        <v>1190</v>
      </c>
      <c r="G498" s="9" t="n">
        <v>2</v>
      </c>
    </row>
    <row r="499" customFormat="false" ht="15" hidden="false" customHeight="true" outlineLevel="0" collapsed="false">
      <c r="A499" s="9" t="s">
        <v>1764</v>
      </c>
      <c r="B499" s="9" t="s">
        <v>724</v>
      </c>
      <c r="C499" s="9" t="s">
        <v>1765</v>
      </c>
      <c r="D499" s="9" t="s">
        <v>1613</v>
      </c>
      <c r="E499" s="9" t="s">
        <v>1198</v>
      </c>
      <c r="F499" s="9" t="s">
        <v>1182</v>
      </c>
      <c r="G499" s="9" t="n">
        <v>3</v>
      </c>
    </row>
    <row r="500" customFormat="false" ht="15" hidden="false" customHeight="true" outlineLevel="0" collapsed="false">
      <c r="A500" s="9" t="s">
        <v>1764</v>
      </c>
      <c r="B500" s="9" t="s">
        <v>724</v>
      </c>
      <c r="C500" s="9" t="s">
        <v>1765</v>
      </c>
      <c r="D500" s="9" t="s">
        <v>1766</v>
      </c>
      <c r="E500" s="9" t="s">
        <v>1204</v>
      </c>
      <c r="F500" s="9" t="s">
        <v>1196</v>
      </c>
      <c r="G500" s="9" t="n">
        <v>2</v>
      </c>
    </row>
    <row r="501" customFormat="false" ht="15" hidden="false" customHeight="true" outlineLevel="0" collapsed="false">
      <c r="A501" s="9" t="s">
        <v>1764</v>
      </c>
      <c r="B501" s="9" t="s">
        <v>724</v>
      </c>
      <c r="C501" s="9" t="s">
        <v>1765</v>
      </c>
      <c r="D501" s="9" t="s">
        <v>1767</v>
      </c>
      <c r="E501" s="9" t="s">
        <v>1186</v>
      </c>
      <c r="F501" s="9" t="s">
        <v>1182</v>
      </c>
      <c r="G501" s="9" t="n">
        <v>3</v>
      </c>
    </row>
    <row r="502" customFormat="false" ht="15" hidden="false" customHeight="true" outlineLevel="0" collapsed="false">
      <c r="A502" s="9" t="s">
        <v>1764</v>
      </c>
      <c r="B502" s="9" t="s">
        <v>724</v>
      </c>
      <c r="C502" s="9" t="s">
        <v>1765</v>
      </c>
      <c r="D502" s="9" t="s">
        <v>1229</v>
      </c>
      <c r="E502" s="9" t="s">
        <v>1180</v>
      </c>
      <c r="F502" s="9" t="s">
        <v>1196</v>
      </c>
      <c r="G502" s="9" t="n">
        <v>3</v>
      </c>
    </row>
    <row r="503" customFormat="false" ht="15" hidden="false" customHeight="true" outlineLevel="0" collapsed="false">
      <c r="A503" s="9" t="s">
        <v>1764</v>
      </c>
      <c r="B503" s="9" t="s">
        <v>724</v>
      </c>
      <c r="C503" s="9" t="s">
        <v>1765</v>
      </c>
      <c r="D503" s="9" t="s">
        <v>1371</v>
      </c>
      <c r="E503" s="9" t="s">
        <v>1192</v>
      </c>
      <c r="F503" s="9" t="s">
        <v>1190</v>
      </c>
      <c r="G503" s="9" t="n">
        <v>5</v>
      </c>
    </row>
    <row r="504" customFormat="false" ht="15" hidden="false" customHeight="true" outlineLevel="0" collapsed="false">
      <c r="A504" s="9" t="s">
        <v>1764</v>
      </c>
      <c r="B504" s="9" t="s">
        <v>724</v>
      </c>
      <c r="C504" s="9" t="s">
        <v>1765</v>
      </c>
      <c r="D504" s="9" t="s">
        <v>1230</v>
      </c>
      <c r="E504" s="9" t="s">
        <v>1216</v>
      </c>
      <c r="F504" s="9" t="s">
        <v>1196</v>
      </c>
      <c r="G504" s="9" t="n">
        <v>5</v>
      </c>
    </row>
    <row r="505" customFormat="false" ht="15" hidden="false" customHeight="true" outlineLevel="0" collapsed="false">
      <c r="A505" s="9" t="s">
        <v>1768</v>
      </c>
      <c r="B505" s="9" t="s">
        <v>115</v>
      </c>
      <c r="C505" s="9" t="s">
        <v>1769</v>
      </c>
      <c r="D505" s="9" t="s">
        <v>1770</v>
      </c>
      <c r="E505" s="9" t="s">
        <v>1198</v>
      </c>
      <c r="F505" s="9" t="s">
        <v>1182</v>
      </c>
      <c r="G505" s="9" t="n">
        <v>6</v>
      </c>
    </row>
    <row r="506" customFormat="false" ht="15" hidden="false" customHeight="true" outlineLevel="0" collapsed="false">
      <c r="A506" s="9" t="s">
        <v>1768</v>
      </c>
      <c r="B506" s="9" t="s">
        <v>115</v>
      </c>
      <c r="C506" s="9" t="s">
        <v>1769</v>
      </c>
      <c r="D506" s="9" t="s">
        <v>1771</v>
      </c>
      <c r="E506" s="9" t="s">
        <v>1198</v>
      </c>
      <c r="F506" s="9" t="s">
        <v>1187</v>
      </c>
      <c r="G506" s="9" t="n">
        <v>5</v>
      </c>
    </row>
    <row r="507" customFormat="false" ht="15" hidden="false" customHeight="true" outlineLevel="0" collapsed="false">
      <c r="A507" s="9" t="s">
        <v>1768</v>
      </c>
      <c r="B507" s="9" t="s">
        <v>115</v>
      </c>
      <c r="C507" s="9" t="s">
        <v>1769</v>
      </c>
      <c r="D507" s="9" t="s">
        <v>1772</v>
      </c>
      <c r="E507" s="9" t="s">
        <v>1192</v>
      </c>
      <c r="F507" s="9" t="s">
        <v>1196</v>
      </c>
      <c r="G507" s="9" t="n">
        <v>3</v>
      </c>
    </row>
    <row r="508" customFormat="false" ht="15" hidden="false" customHeight="true" outlineLevel="0" collapsed="false">
      <c r="A508" s="9" t="s">
        <v>1773</v>
      </c>
      <c r="B508" s="9" t="s">
        <v>684</v>
      </c>
      <c r="C508" s="9" t="s">
        <v>1774</v>
      </c>
      <c r="D508" s="9" t="s">
        <v>1775</v>
      </c>
      <c r="E508" s="9" t="s">
        <v>1186</v>
      </c>
      <c r="F508" s="9" t="s">
        <v>1178</v>
      </c>
      <c r="G508" s="9" t="n">
        <v>3</v>
      </c>
    </row>
    <row r="509" customFormat="false" ht="15" hidden="false" customHeight="true" outlineLevel="0" collapsed="false">
      <c r="A509" s="9" t="s">
        <v>1773</v>
      </c>
      <c r="B509" s="9" t="s">
        <v>684</v>
      </c>
      <c r="C509" s="9" t="s">
        <v>1774</v>
      </c>
      <c r="D509" s="9" t="s">
        <v>1392</v>
      </c>
      <c r="E509" s="9" t="s">
        <v>1198</v>
      </c>
      <c r="F509" s="9" t="s">
        <v>1187</v>
      </c>
      <c r="G509" s="9" t="n">
        <v>2</v>
      </c>
    </row>
    <row r="510" customFormat="false" ht="15" hidden="false" customHeight="true" outlineLevel="0" collapsed="false">
      <c r="A510" s="9" t="s">
        <v>1773</v>
      </c>
      <c r="B510" s="9" t="s">
        <v>684</v>
      </c>
      <c r="C510" s="9" t="s">
        <v>1774</v>
      </c>
      <c r="D510" s="9" t="s">
        <v>1776</v>
      </c>
      <c r="E510" s="9" t="s">
        <v>1204</v>
      </c>
      <c r="F510" s="9" t="s">
        <v>1178</v>
      </c>
      <c r="G510" s="9" t="n">
        <v>3</v>
      </c>
    </row>
    <row r="511" customFormat="false" ht="15" hidden="false" customHeight="true" outlineLevel="0" collapsed="false">
      <c r="A511" s="9" t="s">
        <v>1773</v>
      </c>
      <c r="B511" s="9" t="s">
        <v>684</v>
      </c>
      <c r="C511" s="9" t="s">
        <v>1774</v>
      </c>
      <c r="D511" s="9" t="s">
        <v>1777</v>
      </c>
      <c r="E511" s="9" t="s">
        <v>1192</v>
      </c>
      <c r="F511" s="9" t="s">
        <v>1190</v>
      </c>
      <c r="G511" s="9" t="n">
        <v>2</v>
      </c>
    </row>
    <row r="512" customFormat="false" ht="15" hidden="false" customHeight="true" outlineLevel="0" collapsed="false">
      <c r="A512" s="9" t="s">
        <v>1773</v>
      </c>
      <c r="B512" s="9" t="s">
        <v>684</v>
      </c>
      <c r="C512" s="9" t="s">
        <v>1774</v>
      </c>
      <c r="D512" s="9" t="s">
        <v>1179</v>
      </c>
      <c r="E512" s="9" t="s">
        <v>1216</v>
      </c>
      <c r="F512" s="9" t="s">
        <v>1178</v>
      </c>
      <c r="G512" s="9" t="n">
        <v>3</v>
      </c>
    </row>
    <row r="513" customFormat="false" ht="15" hidden="false" customHeight="true" outlineLevel="0" collapsed="false">
      <c r="A513" s="9" t="s">
        <v>1773</v>
      </c>
      <c r="B513" s="9" t="s">
        <v>684</v>
      </c>
      <c r="C513" s="9" t="s">
        <v>1774</v>
      </c>
      <c r="D513" s="9" t="s">
        <v>1560</v>
      </c>
      <c r="E513" s="9" t="s">
        <v>1189</v>
      </c>
      <c r="F513" s="9" t="s">
        <v>1178</v>
      </c>
      <c r="G513" s="9" t="n">
        <v>6</v>
      </c>
    </row>
    <row r="514" customFormat="false" ht="15" hidden="false" customHeight="true" outlineLevel="0" collapsed="false">
      <c r="A514" s="9" t="s">
        <v>1778</v>
      </c>
      <c r="B514" s="9" t="s">
        <v>537</v>
      </c>
      <c r="C514" s="9" t="s">
        <v>1779</v>
      </c>
      <c r="D514" s="9" t="s">
        <v>1780</v>
      </c>
      <c r="E514" s="9" t="s">
        <v>1189</v>
      </c>
      <c r="F514" s="9" t="s">
        <v>1190</v>
      </c>
      <c r="G514" s="9" t="n">
        <v>3</v>
      </c>
    </row>
    <row r="515" customFormat="false" ht="15" hidden="false" customHeight="true" outlineLevel="0" collapsed="false">
      <c r="A515" s="9" t="s">
        <v>1778</v>
      </c>
      <c r="B515" s="9" t="s">
        <v>537</v>
      </c>
      <c r="C515" s="9" t="s">
        <v>1779</v>
      </c>
      <c r="D515" s="9" t="s">
        <v>1545</v>
      </c>
      <c r="E515" s="9" t="s">
        <v>1180</v>
      </c>
      <c r="F515" s="9" t="s">
        <v>1196</v>
      </c>
      <c r="G515" s="9" t="n">
        <v>3</v>
      </c>
    </row>
    <row r="516" customFormat="false" ht="15" hidden="false" customHeight="true" outlineLevel="0" collapsed="false">
      <c r="A516" s="9" t="s">
        <v>1778</v>
      </c>
      <c r="B516" s="9" t="s">
        <v>537</v>
      </c>
      <c r="C516" s="9" t="s">
        <v>1779</v>
      </c>
      <c r="D516" s="9" t="s">
        <v>1343</v>
      </c>
      <c r="E516" s="9" t="s">
        <v>1177</v>
      </c>
      <c r="F516" s="9" t="s">
        <v>1182</v>
      </c>
      <c r="G516" s="9" t="n">
        <v>4</v>
      </c>
    </row>
    <row r="517" customFormat="false" ht="15" hidden="false" customHeight="true" outlineLevel="0" collapsed="false">
      <c r="A517" s="9" t="s">
        <v>1778</v>
      </c>
      <c r="B517" s="9" t="s">
        <v>537</v>
      </c>
      <c r="C517" s="9" t="s">
        <v>1779</v>
      </c>
      <c r="D517" s="9" t="s">
        <v>1744</v>
      </c>
      <c r="E517" s="9" t="s">
        <v>1204</v>
      </c>
      <c r="F517" s="9" t="s">
        <v>1187</v>
      </c>
      <c r="G517" s="9" t="n">
        <v>3</v>
      </c>
    </row>
    <row r="518" customFormat="false" ht="15" hidden="false" customHeight="true" outlineLevel="0" collapsed="false">
      <c r="A518" s="9" t="s">
        <v>1778</v>
      </c>
      <c r="B518" s="9" t="s">
        <v>537</v>
      </c>
      <c r="C518" s="9" t="s">
        <v>1779</v>
      </c>
      <c r="D518" s="9" t="s">
        <v>1781</v>
      </c>
      <c r="E518" s="9" t="s">
        <v>1189</v>
      </c>
      <c r="F518" s="9" t="s">
        <v>1190</v>
      </c>
      <c r="G518" s="9" t="n">
        <v>3</v>
      </c>
    </row>
    <row r="519" customFormat="false" ht="15" hidden="false" customHeight="true" outlineLevel="0" collapsed="false">
      <c r="A519" s="9" t="s">
        <v>1778</v>
      </c>
      <c r="B519" s="9" t="s">
        <v>537</v>
      </c>
      <c r="C519" s="9" t="s">
        <v>1779</v>
      </c>
      <c r="D519" s="9" t="s">
        <v>1782</v>
      </c>
      <c r="E519" s="9" t="s">
        <v>1180</v>
      </c>
      <c r="F519" s="9" t="s">
        <v>1190</v>
      </c>
      <c r="G519" s="9" t="n">
        <v>3</v>
      </c>
    </row>
    <row r="520" customFormat="false" ht="15" hidden="false" customHeight="true" outlineLevel="0" collapsed="false">
      <c r="A520" s="9" t="s">
        <v>1778</v>
      </c>
      <c r="B520" s="9" t="s">
        <v>537</v>
      </c>
      <c r="C520" s="9" t="s">
        <v>1779</v>
      </c>
      <c r="D520" s="9" t="s">
        <v>1783</v>
      </c>
      <c r="E520" s="9" t="s">
        <v>1177</v>
      </c>
      <c r="F520" s="9" t="s">
        <v>1178</v>
      </c>
      <c r="G520" s="9" t="n">
        <v>3</v>
      </c>
    </row>
    <row r="521" customFormat="false" ht="15" hidden="false" customHeight="true" outlineLevel="0" collapsed="false">
      <c r="A521" s="9" t="s">
        <v>1778</v>
      </c>
      <c r="B521" s="9" t="s">
        <v>537</v>
      </c>
      <c r="C521" s="9" t="s">
        <v>1779</v>
      </c>
      <c r="D521" s="9" t="s">
        <v>1474</v>
      </c>
      <c r="E521" s="9" t="s">
        <v>1204</v>
      </c>
      <c r="F521" s="9" t="s">
        <v>1178</v>
      </c>
      <c r="G521" s="9" t="n">
        <v>2</v>
      </c>
    </row>
    <row r="522" customFormat="false" ht="15" hidden="false" customHeight="true" outlineLevel="0" collapsed="false">
      <c r="A522" s="9" t="s">
        <v>1778</v>
      </c>
      <c r="B522" s="9" t="s">
        <v>537</v>
      </c>
      <c r="C522" s="9" t="s">
        <v>1779</v>
      </c>
      <c r="D522" s="9" t="s">
        <v>1784</v>
      </c>
      <c r="E522" s="9" t="s">
        <v>1204</v>
      </c>
      <c r="F522" s="9" t="s">
        <v>1196</v>
      </c>
      <c r="G522" s="9" t="n">
        <v>4</v>
      </c>
    </row>
    <row r="523" customFormat="false" ht="15" hidden="false" customHeight="true" outlineLevel="0" collapsed="false">
      <c r="A523" s="9" t="s">
        <v>1778</v>
      </c>
      <c r="B523" s="9" t="s">
        <v>537</v>
      </c>
      <c r="C523" s="9" t="s">
        <v>1779</v>
      </c>
      <c r="D523" s="9" t="s">
        <v>1785</v>
      </c>
      <c r="E523" s="9" t="s">
        <v>1198</v>
      </c>
      <c r="F523" s="9" t="s">
        <v>1187</v>
      </c>
      <c r="G523" s="9" t="n">
        <v>6</v>
      </c>
    </row>
    <row r="524" customFormat="false" ht="15" hidden="false" customHeight="true" outlineLevel="0" collapsed="false">
      <c r="A524" s="9" t="s">
        <v>1786</v>
      </c>
      <c r="B524" s="9" t="s">
        <v>886</v>
      </c>
      <c r="C524" s="9" t="s">
        <v>1787</v>
      </c>
      <c r="D524" s="9" t="s">
        <v>1788</v>
      </c>
      <c r="E524" s="9" t="s">
        <v>1189</v>
      </c>
      <c r="F524" s="9" t="s">
        <v>1187</v>
      </c>
      <c r="G524" s="9" t="n">
        <v>3</v>
      </c>
    </row>
    <row r="525" customFormat="false" ht="15" hidden="false" customHeight="true" outlineLevel="0" collapsed="false">
      <c r="A525" s="9" t="s">
        <v>1786</v>
      </c>
      <c r="B525" s="9" t="s">
        <v>886</v>
      </c>
      <c r="C525" s="9" t="s">
        <v>1787</v>
      </c>
      <c r="D525" s="9" t="s">
        <v>1789</v>
      </c>
      <c r="E525" s="9" t="s">
        <v>1192</v>
      </c>
      <c r="F525" s="9" t="s">
        <v>1178</v>
      </c>
      <c r="G525" s="9" t="n">
        <v>2</v>
      </c>
    </row>
    <row r="526" customFormat="false" ht="15" hidden="false" customHeight="true" outlineLevel="0" collapsed="false">
      <c r="A526" s="9" t="s">
        <v>1786</v>
      </c>
      <c r="B526" s="9" t="s">
        <v>886</v>
      </c>
      <c r="C526" s="9" t="s">
        <v>1787</v>
      </c>
      <c r="D526" s="9" t="s">
        <v>1790</v>
      </c>
      <c r="E526" s="9" t="s">
        <v>1216</v>
      </c>
      <c r="F526" s="9" t="s">
        <v>1187</v>
      </c>
      <c r="G526" s="9" t="n">
        <v>2</v>
      </c>
    </row>
    <row r="527" customFormat="false" ht="15" hidden="false" customHeight="true" outlineLevel="0" collapsed="false">
      <c r="A527" s="9" t="s">
        <v>1786</v>
      </c>
      <c r="B527" s="9" t="s">
        <v>886</v>
      </c>
      <c r="C527" s="9" t="s">
        <v>1787</v>
      </c>
      <c r="D527" s="9" t="s">
        <v>1384</v>
      </c>
      <c r="E527" s="9" t="s">
        <v>1192</v>
      </c>
      <c r="F527" s="9" t="s">
        <v>1182</v>
      </c>
      <c r="G527" s="9" t="n">
        <v>4</v>
      </c>
    </row>
    <row r="528" customFormat="false" ht="15" hidden="false" customHeight="true" outlineLevel="0" collapsed="false">
      <c r="A528" s="9" t="s">
        <v>1786</v>
      </c>
      <c r="B528" s="9" t="s">
        <v>886</v>
      </c>
      <c r="C528" s="9" t="s">
        <v>1787</v>
      </c>
      <c r="D528" s="9" t="s">
        <v>1791</v>
      </c>
      <c r="E528" s="9" t="s">
        <v>1189</v>
      </c>
      <c r="F528" s="9" t="s">
        <v>1178</v>
      </c>
      <c r="G528" s="9" t="n">
        <v>3</v>
      </c>
    </row>
    <row r="529" customFormat="false" ht="15" hidden="false" customHeight="true" outlineLevel="0" collapsed="false">
      <c r="A529" s="9" t="s">
        <v>1786</v>
      </c>
      <c r="B529" s="9" t="s">
        <v>886</v>
      </c>
      <c r="C529" s="9" t="s">
        <v>1787</v>
      </c>
      <c r="D529" s="9" t="s">
        <v>1792</v>
      </c>
      <c r="E529" s="9" t="s">
        <v>1186</v>
      </c>
      <c r="F529" s="9" t="s">
        <v>1187</v>
      </c>
      <c r="G529" s="9" t="n">
        <v>2</v>
      </c>
    </row>
    <row r="530" customFormat="false" ht="15" hidden="false" customHeight="true" outlineLevel="0" collapsed="false">
      <c r="A530" s="9" t="s">
        <v>1786</v>
      </c>
      <c r="B530" s="9" t="s">
        <v>886</v>
      </c>
      <c r="C530" s="9" t="s">
        <v>1787</v>
      </c>
      <c r="D530" s="9" t="s">
        <v>1793</v>
      </c>
      <c r="E530" s="9" t="s">
        <v>1198</v>
      </c>
      <c r="F530" s="9" t="s">
        <v>1196</v>
      </c>
      <c r="G530" s="9" t="n">
        <v>2</v>
      </c>
    </row>
    <row r="531" customFormat="false" ht="15" hidden="false" customHeight="true" outlineLevel="0" collapsed="false">
      <c r="A531" s="9" t="s">
        <v>1786</v>
      </c>
      <c r="B531" s="9" t="s">
        <v>886</v>
      </c>
      <c r="C531" s="9" t="s">
        <v>1787</v>
      </c>
      <c r="D531" s="9" t="s">
        <v>1794</v>
      </c>
      <c r="E531" s="9" t="s">
        <v>1189</v>
      </c>
      <c r="F531" s="9" t="s">
        <v>1178</v>
      </c>
      <c r="G531" s="9" t="n">
        <v>2</v>
      </c>
    </row>
    <row r="532" customFormat="false" ht="15" hidden="false" customHeight="true" outlineLevel="0" collapsed="false">
      <c r="A532" s="9" t="s">
        <v>1795</v>
      </c>
      <c r="B532" s="9" t="s">
        <v>845</v>
      </c>
      <c r="C532" s="9" t="s">
        <v>1796</v>
      </c>
      <c r="D532" s="9" t="s">
        <v>1797</v>
      </c>
      <c r="E532" s="9" t="s">
        <v>1216</v>
      </c>
      <c r="F532" s="9" t="s">
        <v>1187</v>
      </c>
      <c r="G532" s="9" t="n">
        <v>2</v>
      </c>
    </row>
    <row r="533" customFormat="false" ht="15" hidden="false" customHeight="true" outlineLevel="0" collapsed="false">
      <c r="A533" s="9" t="s">
        <v>1795</v>
      </c>
      <c r="B533" s="9" t="s">
        <v>845</v>
      </c>
      <c r="C533" s="9" t="s">
        <v>1796</v>
      </c>
      <c r="D533" s="9" t="s">
        <v>1262</v>
      </c>
      <c r="E533" s="9" t="s">
        <v>1177</v>
      </c>
      <c r="F533" s="9" t="s">
        <v>1178</v>
      </c>
      <c r="G533" s="9" t="n">
        <v>2</v>
      </c>
    </row>
    <row r="534" customFormat="false" ht="15" hidden="false" customHeight="true" outlineLevel="0" collapsed="false">
      <c r="A534" s="9" t="s">
        <v>1795</v>
      </c>
      <c r="B534" s="9" t="s">
        <v>845</v>
      </c>
      <c r="C534" s="9" t="s">
        <v>1796</v>
      </c>
      <c r="D534" s="9" t="s">
        <v>1798</v>
      </c>
      <c r="E534" s="9" t="s">
        <v>1186</v>
      </c>
      <c r="F534" s="9" t="s">
        <v>1190</v>
      </c>
      <c r="G534" s="9" t="n">
        <v>2</v>
      </c>
    </row>
    <row r="535" customFormat="false" ht="15" hidden="false" customHeight="true" outlineLevel="0" collapsed="false">
      <c r="A535" s="9" t="s">
        <v>1799</v>
      </c>
      <c r="B535" s="9" t="s">
        <v>283</v>
      </c>
      <c r="C535" s="9" t="s">
        <v>1800</v>
      </c>
      <c r="D535" s="9" t="s">
        <v>1206</v>
      </c>
      <c r="E535" s="9" t="s">
        <v>1177</v>
      </c>
      <c r="F535" s="9" t="s">
        <v>1190</v>
      </c>
      <c r="G535" s="9" t="n">
        <v>2</v>
      </c>
    </row>
    <row r="536" customFormat="false" ht="15" hidden="false" customHeight="true" outlineLevel="0" collapsed="false">
      <c r="A536" s="9" t="s">
        <v>1799</v>
      </c>
      <c r="B536" s="9" t="s">
        <v>283</v>
      </c>
      <c r="C536" s="9" t="s">
        <v>1800</v>
      </c>
      <c r="D536" s="9" t="s">
        <v>1801</v>
      </c>
      <c r="E536" s="9" t="s">
        <v>1180</v>
      </c>
      <c r="F536" s="9" t="s">
        <v>1196</v>
      </c>
      <c r="G536" s="9" t="n">
        <v>2</v>
      </c>
    </row>
    <row r="537" customFormat="false" ht="15" hidden="false" customHeight="true" outlineLevel="0" collapsed="false">
      <c r="A537" s="9" t="s">
        <v>1799</v>
      </c>
      <c r="B537" s="9" t="s">
        <v>283</v>
      </c>
      <c r="C537" s="9" t="s">
        <v>1800</v>
      </c>
      <c r="D537" s="9" t="s">
        <v>1802</v>
      </c>
      <c r="E537" s="9" t="s">
        <v>1216</v>
      </c>
      <c r="F537" s="9" t="s">
        <v>1187</v>
      </c>
      <c r="G537" s="9" t="n">
        <v>3</v>
      </c>
    </row>
    <row r="538" customFormat="false" ht="15" hidden="false" customHeight="true" outlineLevel="0" collapsed="false">
      <c r="A538" s="9" t="s">
        <v>1799</v>
      </c>
      <c r="B538" s="9" t="s">
        <v>283</v>
      </c>
      <c r="C538" s="9" t="s">
        <v>1800</v>
      </c>
      <c r="D538" s="9" t="s">
        <v>1803</v>
      </c>
      <c r="E538" s="9" t="s">
        <v>1189</v>
      </c>
      <c r="F538" s="9" t="s">
        <v>1190</v>
      </c>
      <c r="G538" s="9" t="n">
        <v>2</v>
      </c>
    </row>
    <row r="539" customFormat="false" ht="15" hidden="false" customHeight="true" outlineLevel="0" collapsed="false">
      <c r="A539" s="9" t="s">
        <v>1799</v>
      </c>
      <c r="B539" s="9" t="s">
        <v>283</v>
      </c>
      <c r="C539" s="9" t="s">
        <v>1800</v>
      </c>
      <c r="D539" s="9" t="s">
        <v>1220</v>
      </c>
      <c r="E539" s="9" t="s">
        <v>1198</v>
      </c>
      <c r="F539" s="9" t="s">
        <v>1182</v>
      </c>
      <c r="G539" s="9" t="n">
        <v>2</v>
      </c>
    </row>
    <row r="540" customFormat="false" ht="15" hidden="false" customHeight="true" outlineLevel="0" collapsed="false">
      <c r="A540" s="9" t="s">
        <v>1799</v>
      </c>
      <c r="B540" s="9" t="s">
        <v>283</v>
      </c>
      <c r="C540" s="9" t="s">
        <v>1800</v>
      </c>
      <c r="D540" s="9" t="s">
        <v>1581</v>
      </c>
      <c r="E540" s="9" t="s">
        <v>1204</v>
      </c>
      <c r="F540" s="9" t="s">
        <v>1182</v>
      </c>
      <c r="G540" s="9" t="n">
        <v>2</v>
      </c>
    </row>
    <row r="541" customFormat="false" ht="15" hidden="false" customHeight="true" outlineLevel="0" collapsed="false">
      <c r="A541" s="9" t="s">
        <v>1799</v>
      </c>
      <c r="B541" s="9" t="s">
        <v>283</v>
      </c>
      <c r="C541" s="9" t="s">
        <v>1800</v>
      </c>
      <c r="D541" s="9" t="s">
        <v>1804</v>
      </c>
      <c r="E541" s="9" t="s">
        <v>1204</v>
      </c>
      <c r="F541" s="9" t="s">
        <v>1182</v>
      </c>
      <c r="G541" s="9" t="n">
        <v>3</v>
      </c>
    </row>
    <row r="542" customFormat="false" ht="15" hidden="false" customHeight="true" outlineLevel="0" collapsed="false">
      <c r="A542" s="9" t="s">
        <v>1799</v>
      </c>
      <c r="B542" s="9" t="s">
        <v>283</v>
      </c>
      <c r="C542" s="9" t="s">
        <v>1800</v>
      </c>
      <c r="D542" s="9" t="s">
        <v>1805</v>
      </c>
      <c r="E542" s="9" t="s">
        <v>1177</v>
      </c>
      <c r="F542" s="9" t="s">
        <v>1187</v>
      </c>
      <c r="G542" s="9" t="n">
        <v>4</v>
      </c>
    </row>
    <row r="543" customFormat="false" ht="15" hidden="false" customHeight="true" outlineLevel="0" collapsed="false">
      <c r="A543" s="9" t="s">
        <v>1799</v>
      </c>
      <c r="B543" s="9" t="s">
        <v>283</v>
      </c>
      <c r="C543" s="9" t="s">
        <v>1800</v>
      </c>
      <c r="D543" s="9" t="s">
        <v>1806</v>
      </c>
      <c r="E543" s="9" t="s">
        <v>1198</v>
      </c>
      <c r="F543" s="9" t="s">
        <v>1178</v>
      </c>
      <c r="G543" s="9" t="n">
        <v>4</v>
      </c>
    </row>
    <row r="544" customFormat="false" ht="15" hidden="false" customHeight="true" outlineLevel="0" collapsed="false">
      <c r="A544" s="9" t="s">
        <v>1799</v>
      </c>
      <c r="B544" s="9" t="s">
        <v>283</v>
      </c>
      <c r="C544" s="9" t="s">
        <v>1800</v>
      </c>
      <c r="D544" s="9" t="s">
        <v>1807</v>
      </c>
      <c r="E544" s="9" t="s">
        <v>1216</v>
      </c>
      <c r="F544" s="9" t="s">
        <v>1196</v>
      </c>
      <c r="G544" s="9" t="n">
        <v>2</v>
      </c>
    </row>
    <row r="545" customFormat="false" ht="15" hidden="false" customHeight="true" outlineLevel="0" collapsed="false">
      <c r="A545" s="9" t="s">
        <v>1808</v>
      </c>
      <c r="B545" s="9" t="s">
        <v>75</v>
      </c>
      <c r="C545" s="9" t="s">
        <v>1809</v>
      </c>
      <c r="D545" s="9" t="s">
        <v>1699</v>
      </c>
      <c r="E545" s="9" t="s">
        <v>1204</v>
      </c>
      <c r="F545" s="9" t="s">
        <v>1178</v>
      </c>
      <c r="G545" s="9" t="n">
        <v>3</v>
      </c>
    </row>
    <row r="546" customFormat="false" ht="15" hidden="false" customHeight="true" outlineLevel="0" collapsed="false">
      <c r="A546" s="9" t="s">
        <v>1808</v>
      </c>
      <c r="B546" s="9" t="s">
        <v>75</v>
      </c>
      <c r="C546" s="9" t="s">
        <v>1809</v>
      </c>
      <c r="D546" s="9" t="s">
        <v>1251</v>
      </c>
      <c r="E546" s="9" t="s">
        <v>1186</v>
      </c>
      <c r="F546" s="9" t="s">
        <v>1187</v>
      </c>
      <c r="G546" s="9" t="n">
        <v>2</v>
      </c>
    </row>
    <row r="547" customFormat="false" ht="15" hidden="false" customHeight="true" outlineLevel="0" collapsed="false">
      <c r="A547" s="9" t="s">
        <v>1808</v>
      </c>
      <c r="B547" s="9" t="s">
        <v>75</v>
      </c>
      <c r="C547" s="9" t="s">
        <v>1809</v>
      </c>
      <c r="D547" s="9" t="s">
        <v>1775</v>
      </c>
      <c r="E547" s="9" t="s">
        <v>1177</v>
      </c>
      <c r="F547" s="9" t="s">
        <v>1187</v>
      </c>
      <c r="G547" s="9" t="n">
        <v>3</v>
      </c>
    </row>
    <row r="548" customFormat="false" ht="15" hidden="false" customHeight="true" outlineLevel="0" collapsed="false">
      <c r="A548" s="9" t="s">
        <v>1810</v>
      </c>
      <c r="B548" s="9" t="s">
        <v>340</v>
      </c>
      <c r="C548" s="9" t="s">
        <v>1811</v>
      </c>
      <c r="D548" s="9" t="s">
        <v>1812</v>
      </c>
      <c r="E548" s="9" t="s">
        <v>1180</v>
      </c>
      <c r="F548" s="9" t="s">
        <v>1187</v>
      </c>
      <c r="G548" s="9" t="n">
        <v>4</v>
      </c>
    </row>
    <row r="549" customFormat="false" ht="15" hidden="false" customHeight="true" outlineLevel="0" collapsed="false">
      <c r="A549" s="9" t="s">
        <v>1810</v>
      </c>
      <c r="B549" s="9" t="s">
        <v>340</v>
      </c>
      <c r="C549" s="9" t="s">
        <v>1811</v>
      </c>
      <c r="D549" s="9" t="s">
        <v>1813</v>
      </c>
      <c r="E549" s="9" t="s">
        <v>1216</v>
      </c>
      <c r="F549" s="9" t="s">
        <v>1190</v>
      </c>
      <c r="G549" s="9" t="n">
        <v>4</v>
      </c>
    </row>
    <row r="550" customFormat="false" ht="15" hidden="false" customHeight="true" outlineLevel="0" collapsed="false">
      <c r="A550" s="9" t="s">
        <v>1810</v>
      </c>
      <c r="B550" s="9" t="s">
        <v>340</v>
      </c>
      <c r="C550" s="9" t="s">
        <v>1811</v>
      </c>
      <c r="D550" s="9" t="s">
        <v>1616</v>
      </c>
      <c r="E550" s="9" t="s">
        <v>1198</v>
      </c>
      <c r="F550" s="9" t="s">
        <v>1187</v>
      </c>
      <c r="G550" s="9" t="n">
        <v>2</v>
      </c>
    </row>
    <row r="551" customFormat="false" ht="15" hidden="false" customHeight="true" outlineLevel="0" collapsed="false">
      <c r="A551" s="9" t="s">
        <v>1810</v>
      </c>
      <c r="B551" s="9" t="s">
        <v>340</v>
      </c>
      <c r="C551" s="9" t="s">
        <v>1811</v>
      </c>
      <c r="D551" s="9" t="s">
        <v>1772</v>
      </c>
      <c r="E551" s="9" t="s">
        <v>1192</v>
      </c>
      <c r="F551" s="9" t="s">
        <v>1187</v>
      </c>
      <c r="G551" s="9" t="n">
        <v>2</v>
      </c>
    </row>
    <row r="552" customFormat="false" ht="15" hidden="false" customHeight="true" outlineLevel="0" collapsed="false">
      <c r="A552" s="9" t="s">
        <v>1810</v>
      </c>
      <c r="B552" s="9" t="s">
        <v>340</v>
      </c>
      <c r="C552" s="9" t="s">
        <v>1811</v>
      </c>
      <c r="D552" s="9" t="s">
        <v>1571</v>
      </c>
      <c r="E552" s="9" t="s">
        <v>1189</v>
      </c>
      <c r="F552" s="9" t="s">
        <v>1178</v>
      </c>
      <c r="G552" s="9" t="n">
        <v>2</v>
      </c>
    </row>
    <row r="553" customFormat="false" ht="15" hidden="false" customHeight="true" outlineLevel="0" collapsed="false">
      <c r="A553" s="9" t="s">
        <v>1810</v>
      </c>
      <c r="B553" s="9" t="s">
        <v>340</v>
      </c>
      <c r="C553" s="9" t="s">
        <v>1811</v>
      </c>
      <c r="D553" s="9" t="s">
        <v>1462</v>
      </c>
      <c r="E553" s="9" t="s">
        <v>1180</v>
      </c>
      <c r="F553" s="9" t="s">
        <v>1182</v>
      </c>
      <c r="G553" s="9" t="n">
        <v>5</v>
      </c>
    </row>
    <row r="554" customFormat="false" ht="15" hidden="false" customHeight="true" outlineLevel="0" collapsed="false">
      <c r="A554" s="9" t="s">
        <v>1810</v>
      </c>
      <c r="B554" s="9" t="s">
        <v>340</v>
      </c>
      <c r="C554" s="9" t="s">
        <v>1811</v>
      </c>
      <c r="D554" s="9" t="s">
        <v>1814</v>
      </c>
      <c r="E554" s="9" t="s">
        <v>1204</v>
      </c>
      <c r="F554" s="9" t="s">
        <v>1187</v>
      </c>
      <c r="G554" s="9" t="n">
        <v>3</v>
      </c>
    </row>
    <row r="555" customFormat="false" ht="15" hidden="false" customHeight="true" outlineLevel="0" collapsed="false">
      <c r="A555" s="9" t="s">
        <v>1810</v>
      </c>
      <c r="B555" s="9" t="s">
        <v>340</v>
      </c>
      <c r="C555" s="9" t="s">
        <v>1811</v>
      </c>
      <c r="D555" s="9" t="s">
        <v>1397</v>
      </c>
      <c r="E555" s="9" t="s">
        <v>1189</v>
      </c>
      <c r="F555" s="9" t="s">
        <v>1178</v>
      </c>
      <c r="G555" s="9" t="n">
        <v>3</v>
      </c>
    </row>
    <row r="556" customFormat="false" ht="15" hidden="false" customHeight="true" outlineLevel="0" collapsed="false">
      <c r="A556" s="9" t="s">
        <v>1810</v>
      </c>
      <c r="B556" s="9" t="s">
        <v>340</v>
      </c>
      <c r="C556" s="9" t="s">
        <v>1811</v>
      </c>
      <c r="D556" s="9" t="s">
        <v>1815</v>
      </c>
      <c r="E556" s="9" t="s">
        <v>1189</v>
      </c>
      <c r="F556" s="9" t="s">
        <v>1190</v>
      </c>
      <c r="G556" s="9" t="n">
        <v>3</v>
      </c>
    </row>
    <row r="557" customFormat="false" ht="15" hidden="false" customHeight="true" outlineLevel="0" collapsed="false">
      <c r="A557" s="9" t="s">
        <v>1810</v>
      </c>
      <c r="B557" s="9" t="s">
        <v>340</v>
      </c>
      <c r="C557" s="9" t="s">
        <v>1811</v>
      </c>
      <c r="D557" s="9" t="s">
        <v>1816</v>
      </c>
      <c r="E557" s="9" t="s">
        <v>1192</v>
      </c>
      <c r="F557" s="9" t="s">
        <v>1196</v>
      </c>
      <c r="G557" s="9" t="n">
        <v>3</v>
      </c>
    </row>
    <row r="558" customFormat="false" ht="15" hidden="false" customHeight="true" outlineLevel="0" collapsed="false">
      <c r="A558" s="9" t="s">
        <v>1810</v>
      </c>
      <c r="B558" s="9" t="s">
        <v>340</v>
      </c>
      <c r="C558" s="9" t="s">
        <v>1811</v>
      </c>
      <c r="D558" s="9" t="s">
        <v>1468</v>
      </c>
      <c r="E558" s="9" t="s">
        <v>1189</v>
      </c>
      <c r="F558" s="9" t="s">
        <v>1196</v>
      </c>
      <c r="G558" s="9" t="n">
        <v>6</v>
      </c>
    </row>
    <row r="559" customFormat="false" ht="15" hidden="false" customHeight="true" outlineLevel="0" collapsed="false">
      <c r="A559" s="9" t="s">
        <v>1810</v>
      </c>
      <c r="B559" s="9" t="s">
        <v>340</v>
      </c>
      <c r="C559" s="9" t="s">
        <v>1811</v>
      </c>
      <c r="D559" s="9" t="s">
        <v>1817</v>
      </c>
      <c r="E559" s="9" t="s">
        <v>1198</v>
      </c>
      <c r="F559" s="9" t="s">
        <v>1182</v>
      </c>
      <c r="G559" s="9"/>
    </row>
    <row r="560" customFormat="false" ht="15" hidden="false" customHeight="true" outlineLevel="0" collapsed="false">
      <c r="A560" s="9" t="s">
        <v>1818</v>
      </c>
      <c r="B560" s="9" t="s">
        <v>376</v>
      </c>
      <c r="C560" s="9" t="s">
        <v>1819</v>
      </c>
      <c r="D560" s="9" t="s">
        <v>1665</v>
      </c>
      <c r="E560" s="9" t="s">
        <v>1189</v>
      </c>
      <c r="F560" s="9" t="s">
        <v>1182</v>
      </c>
      <c r="G560" s="9" t="n">
        <v>3</v>
      </c>
    </row>
    <row r="561" customFormat="false" ht="15" hidden="false" customHeight="true" outlineLevel="0" collapsed="false">
      <c r="A561" s="9" t="s">
        <v>1818</v>
      </c>
      <c r="B561" s="9" t="s">
        <v>376</v>
      </c>
      <c r="C561" s="9" t="s">
        <v>1819</v>
      </c>
      <c r="D561" s="9" t="s">
        <v>1319</v>
      </c>
      <c r="E561" s="9" t="s">
        <v>1198</v>
      </c>
      <c r="F561" s="9" t="s">
        <v>1182</v>
      </c>
      <c r="G561" s="9" t="n">
        <v>3</v>
      </c>
    </row>
    <row r="562" customFormat="false" ht="15" hidden="false" customHeight="true" outlineLevel="0" collapsed="false">
      <c r="A562" s="9" t="s">
        <v>1818</v>
      </c>
      <c r="B562" s="9" t="s">
        <v>376</v>
      </c>
      <c r="C562" s="9" t="s">
        <v>1819</v>
      </c>
      <c r="D562" s="9" t="s">
        <v>1820</v>
      </c>
      <c r="E562" s="9" t="s">
        <v>1204</v>
      </c>
      <c r="F562" s="9" t="s">
        <v>1196</v>
      </c>
      <c r="G562" s="9" t="n">
        <v>2</v>
      </c>
    </row>
    <row r="563" customFormat="false" ht="15" hidden="false" customHeight="true" outlineLevel="0" collapsed="false">
      <c r="A563" s="9" t="s">
        <v>1818</v>
      </c>
      <c r="B563" s="9" t="s">
        <v>376</v>
      </c>
      <c r="C563" s="9" t="s">
        <v>1819</v>
      </c>
      <c r="D563" s="9" t="s">
        <v>1821</v>
      </c>
      <c r="E563" s="9" t="s">
        <v>1177</v>
      </c>
      <c r="F563" s="9" t="s">
        <v>1182</v>
      </c>
      <c r="G563" s="9" t="n">
        <v>6</v>
      </c>
    </row>
    <row r="564" customFormat="false" ht="15" hidden="false" customHeight="true" outlineLevel="0" collapsed="false">
      <c r="A564" s="9" t="s">
        <v>1818</v>
      </c>
      <c r="B564" s="9" t="s">
        <v>376</v>
      </c>
      <c r="C564" s="9" t="s">
        <v>1819</v>
      </c>
      <c r="D564" s="9" t="s">
        <v>1548</v>
      </c>
      <c r="E564" s="9" t="s">
        <v>1216</v>
      </c>
      <c r="F564" s="9" t="s">
        <v>1190</v>
      </c>
      <c r="G564" s="9" t="n">
        <v>3</v>
      </c>
    </row>
    <row r="565" customFormat="false" ht="15" hidden="false" customHeight="true" outlineLevel="0" collapsed="false">
      <c r="A565" s="9" t="s">
        <v>1822</v>
      </c>
      <c r="B565" s="9" t="s">
        <v>512</v>
      </c>
      <c r="C565" s="9" t="s">
        <v>1823</v>
      </c>
      <c r="D565" s="9" t="s">
        <v>1824</v>
      </c>
      <c r="E565" s="9" t="s">
        <v>1216</v>
      </c>
      <c r="F565" s="9" t="s">
        <v>1190</v>
      </c>
      <c r="G565" s="9" t="n">
        <v>3</v>
      </c>
    </row>
    <row r="566" customFormat="false" ht="15" hidden="false" customHeight="true" outlineLevel="0" collapsed="false">
      <c r="A566" s="9" t="s">
        <v>1822</v>
      </c>
      <c r="B566" s="9" t="s">
        <v>512</v>
      </c>
      <c r="C566" s="9" t="s">
        <v>1823</v>
      </c>
      <c r="D566" s="9" t="s">
        <v>1825</v>
      </c>
      <c r="E566" s="9" t="s">
        <v>1189</v>
      </c>
      <c r="F566" s="9" t="s">
        <v>1196</v>
      </c>
      <c r="G566" s="9" t="n">
        <v>3</v>
      </c>
    </row>
    <row r="567" customFormat="false" ht="15" hidden="false" customHeight="true" outlineLevel="0" collapsed="false">
      <c r="A567" s="9" t="s">
        <v>1822</v>
      </c>
      <c r="B567" s="9" t="s">
        <v>512</v>
      </c>
      <c r="C567" s="9" t="s">
        <v>1823</v>
      </c>
      <c r="D567" s="9" t="s">
        <v>1371</v>
      </c>
      <c r="E567" s="9" t="s">
        <v>1189</v>
      </c>
      <c r="F567" s="9" t="s">
        <v>1196</v>
      </c>
      <c r="G567" s="9" t="n">
        <v>4</v>
      </c>
    </row>
    <row r="568" customFormat="false" ht="15" hidden="false" customHeight="true" outlineLevel="0" collapsed="false">
      <c r="A568" s="9" t="s">
        <v>1822</v>
      </c>
      <c r="B568" s="9" t="s">
        <v>512</v>
      </c>
      <c r="C568" s="9" t="s">
        <v>1823</v>
      </c>
      <c r="D568" s="9" t="s">
        <v>1805</v>
      </c>
      <c r="E568" s="9" t="s">
        <v>1216</v>
      </c>
      <c r="F568" s="9" t="s">
        <v>1178</v>
      </c>
      <c r="G568" s="9" t="n">
        <v>3</v>
      </c>
    </row>
    <row r="569" customFormat="false" ht="15" hidden="false" customHeight="true" outlineLevel="0" collapsed="false">
      <c r="A569" s="9" t="s">
        <v>1822</v>
      </c>
      <c r="B569" s="9" t="s">
        <v>512</v>
      </c>
      <c r="C569" s="9" t="s">
        <v>1823</v>
      </c>
      <c r="D569" s="9" t="s">
        <v>1826</v>
      </c>
      <c r="E569" s="9" t="s">
        <v>1192</v>
      </c>
      <c r="F569" s="9" t="s">
        <v>1187</v>
      </c>
      <c r="G569" s="9" t="n">
        <v>2</v>
      </c>
    </row>
    <row r="570" customFormat="false" ht="15" hidden="false" customHeight="true" outlineLevel="0" collapsed="false">
      <c r="A570" s="9" t="s">
        <v>1822</v>
      </c>
      <c r="B570" s="9" t="s">
        <v>512</v>
      </c>
      <c r="C570" s="9" t="s">
        <v>1823</v>
      </c>
      <c r="D570" s="9" t="s">
        <v>1367</v>
      </c>
      <c r="E570" s="9" t="s">
        <v>1827</v>
      </c>
      <c r="F570" s="9" t="s">
        <v>1196</v>
      </c>
      <c r="G570" s="9" t="n">
        <v>3</v>
      </c>
    </row>
    <row r="571" customFormat="false" ht="15" hidden="false" customHeight="true" outlineLevel="0" collapsed="false">
      <c r="A571" s="9" t="s">
        <v>1828</v>
      </c>
      <c r="B571" s="9" t="s">
        <v>993</v>
      </c>
      <c r="C571" s="9" t="s">
        <v>1829</v>
      </c>
      <c r="D571" s="9" t="s">
        <v>1830</v>
      </c>
      <c r="E571" s="9" t="s">
        <v>1192</v>
      </c>
      <c r="F571" s="9" t="s">
        <v>1187</v>
      </c>
      <c r="G571" s="9" t="n">
        <v>4</v>
      </c>
    </row>
    <row r="572" customFormat="false" ht="15" hidden="false" customHeight="true" outlineLevel="0" collapsed="false">
      <c r="A572" s="9" t="s">
        <v>1828</v>
      </c>
      <c r="B572" s="9" t="s">
        <v>993</v>
      </c>
      <c r="C572" s="9" t="s">
        <v>1829</v>
      </c>
      <c r="D572" s="9" t="s">
        <v>1377</v>
      </c>
      <c r="E572" s="9" t="s">
        <v>1198</v>
      </c>
      <c r="F572" s="9" t="s">
        <v>1196</v>
      </c>
      <c r="G572" s="9" t="n">
        <v>4</v>
      </c>
    </row>
    <row r="573" customFormat="false" ht="15" hidden="false" customHeight="true" outlineLevel="0" collapsed="false">
      <c r="A573" s="9" t="s">
        <v>1828</v>
      </c>
      <c r="B573" s="9" t="s">
        <v>993</v>
      </c>
      <c r="C573" s="9" t="s">
        <v>1829</v>
      </c>
      <c r="D573" s="9" t="s">
        <v>1471</v>
      </c>
      <c r="E573" s="9" t="s">
        <v>1192</v>
      </c>
      <c r="F573" s="9" t="s">
        <v>1178</v>
      </c>
      <c r="G573" s="9" t="n">
        <v>2</v>
      </c>
    </row>
    <row r="574" customFormat="false" ht="15" hidden="false" customHeight="true" outlineLevel="0" collapsed="false">
      <c r="A574" s="9" t="s">
        <v>1828</v>
      </c>
      <c r="B574" s="9" t="s">
        <v>993</v>
      </c>
      <c r="C574" s="9" t="s">
        <v>1829</v>
      </c>
      <c r="D574" s="9" t="s">
        <v>1831</v>
      </c>
      <c r="E574" s="9" t="s">
        <v>1177</v>
      </c>
      <c r="F574" s="9" t="s">
        <v>1178</v>
      </c>
      <c r="G574" s="9" t="n">
        <v>2</v>
      </c>
    </row>
    <row r="575" customFormat="false" ht="15" hidden="false" customHeight="true" outlineLevel="0" collapsed="false">
      <c r="A575" s="9" t="s">
        <v>1828</v>
      </c>
      <c r="B575" s="9" t="s">
        <v>993</v>
      </c>
      <c r="C575" s="9" t="s">
        <v>1829</v>
      </c>
      <c r="D575" s="9" t="s">
        <v>1662</v>
      </c>
      <c r="E575" s="9" t="s">
        <v>1186</v>
      </c>
      <c r="F575" s="9" t="s">
        <v>1190</v>
      </c>
      <c r="G575" s="9" t="n">
        <v>4</v>
      </c>
    </row>
    <row r="576" customFormat="false" ht="15" hidden="false" customHeight="true" outlineLevel="0" collapsed="false">
      <c r="A576" s="9" t="s">
        <v>1828</v>
      </c>
      <c r="B576" s="9" t="s">
        <v>993</v>
      </c>
      <c r="C576" s="9" t="s">
        <v>1829</v>
      </c>
      <c r="D576" s="9" t="s">
        <v>1832</v>
      </c>
      <c r="E576" s="9" t="s">
        <v>1189</v>
      </c>
      <c r="F576" s="9" t="s">
        <v>1178</v>
      </c>
      <c r="G576" s="9" t="n">
        <v>3</v>
      </c>
    </row>
    <row r="577" customFormat="false" ht="15" hidden="false" customHeight="true" outlineLevel="0" collapsed="false">
      <c r="A577" s="9" t="s">
        <v>1833</v>
      </c>
      <c r="B577" s="9" t="s">
        <v>1118</v>
      </c>
      <c r="C577" s="9" t="s">
        <v>1834</v>
      </c>
      <c r="D577" s="9" t="s">
        <v>1391</v>
      </c>
      <c r="E577" s="9" t="s">
        <v>1204</v>
      </c>
      <c r="F577" s="9" t="s">
        <v>1190</v>
      </c>
      <c r="G577" s="9" t="n">
        <v>2</v>
      </c>
    </row>
    <row r="578" customFormat="false" ht="15" hidden="false" customHeight="true" outlineLevel="0" collapsed="false">
      <c r="A578" s="9" t="s">
        <v>1833</v>
      </c>
      <c r="B578" s="9" t="s">
        <v>1118</v>
      </c>
      <c r="C578" s="9" t="s">
        <v>1834</v>
      </c>
      <c r="D578" s="9" t="s">
        <v>1224</v>
      </c>
      <c r="E578" s="9" t="s">
        <v>1189</v>
      </c>
      <c r="F578" s="9" t="s">
        <v>1187</v>
      </c>
      <c r="G578" s="9" t="n">
        <v>2</v>
      </c>
    </row>
    <row r="579" customFormat="false" ht="15" hidden="false" customHeight="true" outlineLevel="0" collapsed="false">
      <c r="A579" s="9" t="s">
        <v>1835</v>
      </c>
      <c r="B579" s="9" t="s">
        <v>387</v>
      </c>
      <c r="C579" s="9" t="s">
        <v>1836</v>
      </c>
      <c r="D579" s="9" t="s">
        <v>1837</v>
      </c>
      <c r="E579" s="9" t="s">
        <v>1186</v>
      </c>
      <c r="F579" s="9" t="s">
        <v>1178</v>
      </c>
      <c r="G579" s="9" t="n">
        <v>3</v>
      </c>
    </row>
    <row r="580" customFormat="false" ht="15" hidden="false" customHeight="true" outlineLevel="0" collapsed="false">
      <c r="A580" s="9" t="s">
        <v>1835</v>
      </c>
      <c r="B580" s="9" t="s">
        <v>387</v>
      </c>
      <c r="C580" s="9" t="s">
        <v>1836</v>
      </c>
      <c r="D580" s="9" t="s">
        <v>1534</v>
      </c>
      <c r="E580" s="9" t="s">
        <v>1216</v>
      </c>
      <c r="F580" s="9" t="s">
        <v>1187</v>
      </c>
      <c r="G580" s="9" t="n">
        <v>5</v>
      </c>
    </row>
    <row r="581" customFormat="false" ht="15" hidden="false" customHeight="true" outlineLevel="0" collapsed="false">
      <c r="A581" s="9" t="s">
        <v>1838</v>
      </c>
      <c r="B581" s="9" t="s">
        <v>607</v>
      </c>
      <c r="C581" s="9" t="s">
        <v>1839</v>
      </c>
      <c r="D581" s="9" t="s">
        <v>1840</v>
      </c>
      <c r="E581" s="9" t="s">
        <v>1186</v>
      </c>
      <c r="F581" s="9" t="s">
        <v>1178</v>
      </c>
      <c r="G581" s="9" t="n">
        <v>2</v>
      </c>
    </row>
    <row r="582" customFormat="false" ht="15" hidden="false" customHeight="true" outlineLevel="0" collapsed="false">
      <c r="A582" s="9" t="s">
        <v>1841</v>
      </c>
      <c r="B582" s="9" t="s">
        <v>988</v>
      </c>
      <c r="C582" s="9" t="s">
        <v>1842</v>
      </c>
      <c r="D582" s="9" t="s">
        <v>1843</v>
      </c>
      <c r="E582" s="9" t="s">
        <v>1216</v>
      </c>
      <c r="F582" s="9" t="s">
        <v>1178</v>
      </c>
      <c r="G582" s="9" t="n">
        <v>6</v>
      </c>
    </row>
    <row r="583" customFormat="false" ht="15" hidden="false" customHeight="true" outlineLevel="0" collapsed="false">
      <c r="A583" s="9" t="s">
        <v>1841</v>
      </c>
      <c r="B583" s="9" t="s">
        <v>988</v>
      </c>
      <c r="C583" s="9" t="s">
        <v>1842</v>
      </c>
      <c r="D583" s="9" t="s">
        <v>1549</v>
      </c>
      <c r="E583" s="9" t="s">
        <v>1204</v>
      </c>
      <c r="F583" s="9" t="s">
        <v>1178</v>
      </c>
      <c r="G583" s="9" t="n">
        <v>2</v>
      </c>
    </row>
    <row r="584" customFormat="false" ht="15" hidden="false" customHeight="true" outlineLevel="0" collapsed="false">
      <c r="A584" s="9" t="s">
        <v>1841</v>
      </c>
      <c r="B584" s="9" t="s">
        <v>988</v>
      </c>
      <c r="C584" s="9" t="s">
        <v>1842</v>
      </c>
      <c r="D584" s="9" t="s">
        <v>1844</v>
      </c>
      <c r="E584" s="9" t="s">
        <v>1277</v>
      </c>
      <c r="F584" s="9" t="s">
        <v>1187</v>
      </c>
      <c r="G584" s="9" t="n">
        <v>4</v>
      </c>
    </row>
    <row r="585" customFormat="false" ht="15" hidden="false" customHeight="true" outlineLevel="0" collapsed="false">
      <c r="A585" s="9" t="s">
        <v>1841</v>
      </c>
      <c r="B585" s="9" t="s">
        <v>988</v>
      </c>
      <c r="C585" s="9" t="s">
        <v>1842</v>
      </c>
      <c r="D585" s="9" t="s">
        <v>1845</v>
      </c>
      <c r="E585" s="9" t="s">
        <v>1198</v>
      </c>
      <c r="F585" s="9" t="s">
        <v>1187</v>
      </c>
      <c r="G585" s="9" t="n">
        <v>3</v>
      </c>
    </row>
    <row r="586" customFormat="false" ht="15" hidden="false" customHeight="true" outlineLevel="0" collapsed="false">
      <c r="A586" s="9" t="s">
        <v>1841</v>
      </c>
      <c r="B586" s="9" t="s">
        <v>988</v>
      </c>
      <c r="C586" s="9" t="s">
        <v>1842</v>
      </c>
      <c r="D586" s="9" t="s">
        <v>1846</v>
      </c>
      <c r="E586" s="9" t="s">
        <v>1192</v>
      </c>
      <c r="F586" s="9" t="s">
        <v>1190</v>
      </c>
      <c r="G586" s="9" t="n">
        <v>3</v>
      </c>
    </row>
    <row r="587" customFormat="false" ht="15" hidden="false" customHeight="true" outlineLevel="0" collapsed="false">
      <c r="A587" s="9" t="s">
        <v>1841</v>
      </c>
      <c r="B587" s="9" t="s">
        <v>988</v>
      </c>
      <c r="C587" s="9" t="s">
        <v>1842</v>
      </c>
      <c r="D587" s="9" t="s">
        <v>1847</v>
      </c>
      <c r="E587" s="9" t="s">
        <v>1204</v>
      </c>
      <c r="F587" s="9" t="s">
        <v>1182</v>
      </c>
      <c r="G587" s="9" t="n">
        <v>2</v>
      </c>
    </row>
    <row r="588" customFormat="false" ht="15" hidden="false" customHeight="true" outlineLevel="0" collapsed="false">
      <c r="A588" s="9" t="s">
        <v>1841</v>
      </c>
      <c r="B588" s="9" t="s">
        <v>988</v>
      </c>
      <c r="C588" s="9" t="s">
        <v>1842</v>
      </c>
      <c r="D588" s="9" t="s">
        <v>1384</v>
      </c>
      <c r="E588" s="9" t="s">
        <v>1180</v>
      </c>
      <c r="F588" s="9" t="s">
        <v>1190</v>
      </c>
      <c r="G588" s="9" t="n">
        <v>4</v>
      </c>
    </row>
    <row r="589" customFormat="false" ht="15" hidden="false" customHeight="true" outlineLevel="0" collapsed="false">
      <c r="A589" s="9" t="s">
        <v>1841</v>
      </c>
      <c r="B589" s="9" t="s">
        <v>988</v>
      </c>
      <c r="C589" s="9" t="s">
        <v>1842</v>
      </c>
      <c r="D589" s="9" t="s">
        <v>1848</v>
      </c>
      <c r="E589" s="9" t="s">
        <v>1189</v>
      </c>
      <c r="F589" s="9" t="s">
        <v>1190</v>
      </c>
      <c r="G589" s="9" t="n">
        <v>3</v>
      </c>
    </row>
    <row r="590" customFormat="false" ht="15" hidden="false" customHeight="true" outlineLevel="0" collapsed="false">
      <c r="A590" s="9" t="s">
        <v>1849</v>
      </c>
      <c r="B590" s="9" t="s">
        <v>353</v>
      </c>
      <c r="C590" s="9" t="s">
        <v>1850</v>
      </c>
      <c r="D590" s="9" t="s">
        <v>1237</v>
      </c>
      <c r="E590" s="9" t="s">
        <v>1198</v>
      </c>
      <c r="F590" s="9" t="s">
        <v>1182</v>
      </c>
      <c r="G590" s="9" t="n">
        <v>3</v>
      </c>
    </row>
    <row r="591" customFormat="false" ht="15" hidden="false" customHeight="true" outlineLevel="0" collapsed="false">
      <c r="A591" s="9" t="s">
        <v>1849</v>
      </c>
      <c r="B591" s="9" t="s">
        <v>353</v>
      </c>
      <c r="C591" s="9" t="s">
        <v>1850</v>
      </c>
      <c r="D591" s="9" t="s">
        <v>1851</v>
      </c>
      <c r="E591" s="9" t="s">
        <v>1198</v>
      </c>
      <c r="F591" s="9" t="s">
        <v>1178</v>
      </c>
      <c r="G591" s="9" t="n">
        <v>3</v>
      </c>
    </row>
    <row r="592" customFormat="false" ht="15" hidden="false" customHeight="true" outlineLevel="0" collapsed="false">
      <c r="A592" s="9" t="s">
        <v>1849</v>
      </c>
      <c r="B592" s="9" t="s">
        <v>353</v>
      </c>
      <c r="C592" s="9" t="s">
        <v>1850</v>
      </c>
      <c r="D592" s="9" t="s">
        <v>1852</v>
      </c>
      <c r="E592" s="9" t="s">
        <v>1216</v>
      </c>
      <c r="F592" s="9" t="s">
        <v>1196</v>
      </c>
      <c r="G592" s="9" t="n">
        <v>2</v>
      </c>
    </row>
    <row r="593" customFormat="false" ht="15" hidden="false" customHeight="true" outlineLevel="0" collapsed="false">
      <c r="A593" s="9" t="s">
        <v>1849</v>
      </c>
      <c r="B593" s="9" t="s">
        <v>353</v>
      </c>
      <c r="C593" s="9" t="s">
        <v>1850</v>
      </c>
      <c r="D593" s="9" t="s">
        <v>1853</v>
      </c>
      <c r="E593" s="9" t="s">
        <v>1216</v>
      </c>
      <c r="F593" s="9" t="s">
        <v>1190</v>
      </c>
      <c r="G593" s="9" t="n">
        <v>2</v>
      </c>
    </row>
    <row r="594" customFormat="false" ht="15" hidden="false" customHeight="true" outlineLevel="0" collapsed="false">
      <c r="A594" s="9" t="s">
        <v>1849</v>
      </c>
      <c r="B594" s="9" t="s">
        <v>353</v>
      </c>
      <c r="C594" s="9" t="s">
        <v>1850</v>
      </c>
      <c r="D594" s="9" t="s">
        <v>1854</v>
      </c>
      <c r="E594" s="9" t="s">
        <v>1177</v>
      </c>
      <c r="F594" s="9" t="s">
        <v>1187</v>
      </c>
      <c r="G594" s="9" t="n">
        <v>2</v>
      </c>
    </row>
    <row r="595" customFormat="false" ht="15" hidden="false" customHeight="true" outlineLevel="0" collapsed="false">
      <c r="A595" s="9" t="s">
        <v>1849</v>
      </c>
      <c r="B595" s="9" t="s">
        <v>353</v>
      </c>
      <c r="C595" s="9" t="s">
        <v>1850</v>
      </c>
      <c r="D595" s="9" t="s">
        <v>1855</v>
      </c>
      <c r="E595" s="9" t="s">
        <v>1189</v>
      </c>
      <c r="F595" s="9" t="s">
        <v>1190</v>
      </c>
      <c r="G595" s="9" t="n">
        <v>3</v>
      </c>
    </row>
    <row r="596" customFormat="false" ht="15" hidden="false" customHeight="true" outlineLevel="0" collapsed="false">
      <c r="A596" s="9" t="s">
        <v>1849</v>
      </c>
      <c r="B596" s="9" t="s">
        <v>353</v>
      </c>
      <c r="C596" s="9" t="s">
        <v>1850</v>
      </c>
      <c r="D596" s="9" t="s">
        <v>1856</v>
      </c>
      <c r="E596" s="9" t="s">
        <v>1216</v>
      </c>
      <c r="F596" s="9" t="s">
        <v>1190</v>
      </c>
      <c r="G596" s="9" t="n">
        <v>4</v>
      </c>
    </row>
    <row r="597" customFormat="false" ht="15" hidden="false" customHeight="true" outlineLevel="0" collapsed="false">
      <c r="A597" s="9" t="s">
        <v>1849</v>
      </c>
      <c r="B597" s="9" t="s">
        <v>353</v>
      </c>
      <c r="C597" s="9" t="s">
        <v>1850</v>
      </c>
      <c r="D597" s="9" t="s">
        <v>1857</v>
      </c>
      <c r="E597" s="9" t="s">
        <v>1180</v>
      </c>
      <c r="F597" s="9" t="s">
        <v>1178</v>
      </c>
      <c r="G597" s="9" t="n">
        <v>3</v>
      </c>
    </row>
    <row r="598" customFormat="false" ht="15" hidden="false" customHeight="true" outlineLevel="0" collapsed="false">
      <c r="A598" s="9" t="s">
        <v>1849</v>
      </c>
      <c r="B598" s="9" t="s">
        <v>353</v>
      </c>
      <c r="C598" s="9" t="s">
        <v>1850</v>
      </c>
      <c r="D598" s="9" t="s">
        <v>1317</v>
      </c>
      <c r="E598" s="9" t="s">
        <v>1204</v>
      </c>
      <c r="F598" s="9" t="s">
        <v>1190</v>
      </c>
      <c r="G598" s="9" t="n">
        <v>2</v>
      </c>
    </row>
    <row r="599" customFormat="false" ht="15" hidden="false" customHeight="true" outlineLevel="0" collapsed="false">
      <c r="A599" s="9" t="s">
        <v>1849</v>
      </c>
      <c r="B599" s="9" t="s">
        <v>353</v>
      </c>
      <c r="C599" s="9" t="s">
        <v>1850</v>
      </c>
      <c r="D599" s="9" t="s">
        <v>1480</v>
      </c>
      <c r="E599" s="9" t="s">
        <v>1216</v>
      </c>
      <c r="F599" s="9" t="s">
        <v>1178</v>
      </c>
      <c r="G599" s="9" t="n">
        <v>2</v>
      </c>
    </row>
    <row r="600" customFormat="false" ht="15" hidden="false" customHeight="true" outlineLevel="0" collapsed="false">
      <c r="A600" s="9" t="s">
        <v>1858</v>
      </c>
      <c r="B600" s="9" t="s">
        <v>1146</v>
      </c>
      <c r="C600" s="9" t="s">
        <v>1859</v>
      </c>
      <c r="D600" s="9" t="s">
        <v>1696</v>
      </c>
      <c r="E600" s="9" t="s">
        <v>1192</v>
      </c>
      <c r="F600" s="9" t="s">
        <v>1187</v>
      </c>
      <c r="G600" s="9" t="n">
        <v>3</v>
      </c>
    </row>
    <row r="601" customFormat="false" ht="15" hidden="false" customHeight="true" outlineLevel="0" collapsed="false">
      <c r="A601" s="9" t="s">
        <v>1858</v>
      </c>
      <c r="B601" s="9" t="s">
        <v>1146</v>
      </c>
      <c r="C601" s="9" t="s">
        <v>1859</v>
      </c>
      <c r="D601" s="9" t="s">
        <v>1860</v>
      </c>
      <c r="E601" s="9" t="s">
        <v>1186</v>
      </c>
      <c r="F601" s="9" t="s">
        <v>1187</v>
      </c>
      <c r="G601" s="9" t="n">
        <v>3</v>
      </c>
    </row>
    <row r="602" customFormat="false" ht="15" hidden="false" customHeight="true" outlineLevel="0" collapsed="false">
      <c r="A602" s="9" t="s">
        <v>1858</v>
      </c>
      <c r="B602" s="9" t="s">
        <v>1146</v>
      </c>
      <c r="C602" s="9" t="s">
        <v>1859</v>
      </c>
      <c r="D602" s="9" t="s">
        <v>1861</v>
      </c>
      <c r="E602" s="9" t="s">
        <v>1192</v>
      </c>
      <c r="F602" s="9" t="s">
        <v>1182</v>
      </c>
      <c r="G602" s="9" t="n">
        <v>4</v>
      </c>
    </row>
    <row r="603" customFormat="false" ht="15" hidden="false" customHeight="true" outlineLevel="0" collapsed="false">
      <c r="A603" s="9" t="s">
        <v>1862</v>
      </c>
      <c r="B603" s="9" t="s">
        <v>367</v>
      </c>
      <c r="C603" s="9" t="s">
        <v>1863</v>
      </c>
      <c r="D603" s="9" t="s">
        <v>1591</v>
      </c>
      <c r="E603" s="9" t="s">
        <v>1189</v>
      </c>
      <c r="F603" s="9" t="s">
        <v>1190</v>
      </c>
      <c r="G603" s="9" t="n">
        <v>2</v>
      </c>
    </row>
    <row r="604" customFormat="false" ht="15" hidden="false" customHeight="true" outlineLevel="0" collapsed="false">
      <c r="A604" s="9" t="s">
        <v>1862</v>
      </c>
      <c r="B604" s="9" t="s">
        <v>367</v>
      </c>
      <c r="C604" s="9" t="s">
        <v>1863</v>
      </c>
      <c r="D604" s="9" t="s">
        <v>1375</v>
      </c>
      <c r="E604" s="9" t="s">
        <v>1216</v>
      </c>
      <c r="F604" s="9" t="s">
        <v>1196</v>
      </c>
      <c r="G604" s="9" t="n">
        <v>2</v>
      </c>
    </row>
    <row r="605" customFormat="false" ht="15" hidden="false" customHeight="true" outlineLevel="0" collapsed="false">
      <c r="A605" s="9" t="s">
        <v>1862</v>
      </c>
      <c r="B605" s="9" t="s">
        <v>367</v>
      </c>
      <c r="C605" s="9" t="s">
        <v>1863</v>
      </c>
      <c r="D605" s="9" t="s">
        <v>1864</v>
      </c>
      <c r="E605" s="9" t="s">
        <v>1192</v>
      </c>
      <c r="F605" s="9" t="s">
        <v>1182</v>
      </c>
      <c r="G605" s="9" t="n">
        <v>2</v>
      </c>
    </row>
    <row r="606" customFormat="false" ht="15" hidden="false" customHeight="true" outlineLevel="0" collapsed="false">
      <c r="A606" s="9" t="s">
        <v>1862</v>
      </c>
      <c r="B606" s="9" t="s">
        <v>367</v>
      </c>
      <c r="C606" s="9" t="s">
        <v>1863</v>
      </c>
      <c r="D606" s="9" t="s">
        <v>1865</v>
      </c>
      <c r="E606" s="9" t="s">
        <v>1177</v>
      </c>
      <c r="F606" s="9" t="s">
        <v>1196</v>
      </c>
      <c r="G606" s="9" t="n">
        <v>2</v>
      </c>
    </row>
    <row r="607" customFormat="false" ht="15" hidden="false" customHeight="true" outlineLevel="0" collapsed="false">
      <c r="A607" s="9" t="s">
        <v>1862</v>
      </c>
      <c r="B607" s="9" t="s">
        <v>367</v>
      </c>
      <c r="C607" s="9" t="s">
        <v>1863</v>
      </c>
      <c r="D607" s="9" t="s">
        <v>1468</v>
      </c>
      <c r="E607" s="9" t="s">
        <v>1198</v>
      </c>
      <c r="F607" s="9" t="s">
        <v>1190</v>
      </c>
      <c r="G607" s="9" t="n">
        <v>3</v>
      </c>
    </row>
    <row r="608" customFormat="false" ht="15" hidden="false" customHeight="true" outlineLevel="0" collapsed="false">
      <c r="A608" s="9" t="s">
        <v>1862</v>
      </c>
      <c r="B608" s="9" t="s">
        <v>367</v>
      </c>
      <c r="C608" s="9" t="s">
        <v>1863</v>
      </c>
      <c r="D608" s="9" t="s">
        <v>1432</v>
      </c>
      <c r="E608" s="9" t="s">
        <v>1189</v>
      </c>
      <c r="F608" s="9" t="s">
        <v>1187</v>
      </c>
      <c r="G608" s="9"/>
    </row>
    <row r="609" customFormat="false" ht="15" hidden="false" customHeight="true" outlineLevel="0" collapsed="false">
      <c r="A609" s="9" t="s">
        <v>1862</v>
      </c>
      <c r="B609" s="9" t="s">
        <v>367</v>
      </c>
      <c r="C609" s="9" t="s">
        <v>1863</v>
      </c>
      <c r="D609" s="9" t="s">
        <v>1718</v>
      </c>
      <c r="E609" s="9" t="s">
        <v>1204</v>
      </c>
      <c r="F609" s="9" t="s">
        <v>1187</v>
      </c>
      <c r="G609" s="9" t="n">
        <v>3</v>
      </c>
    </row>
    <row r="610" customFormat="false" ht="15" hidden="false" customHeight="true" outlineLevel="0" collapsed="false">
      <c r="A610" s="9" t="s">
        <v>1862</v>
      </c>
      <c r="B610" s="9" t="s">
        <v>367</v>
      </c>
      <c r="C610" s="9" t="s">
        <v>1863</v>
      </c>
      <c r="D610" s="9" t="s">
        <v>1303</v>
      </c>
      <c r="E610" s="9" t="s">
        <v>1198</v>
      </c>
      <c r="F610" s="9" t="s">
        <v>1196</v>
      </c>
      <c r="G610" s="9" t="n">
        <v>2</v>
      </c>
    </row>
    <row r="611" customFormat="false" ht="15" hidden="false" customHeight="true" outlineLevel="0" collapsed="false">
      <c r="A611" s="9" t="s">
        <v>1862</v>
      </c>
      <c r="B611" s="9" t="s">
        <v>367</v>
      </c>
      <c r="C611" s="9" t="s">
        <v>1863</v>
      </c>
      <c r="D611" s="9" t="s">
        <v>1866</v>
      </c>
      <c r="E611" s="9" t="s">
        <v>1189</v>
      </c>
      <c r="F611" s="9" t="s">
        <v>1196</v>
      </c>
      <c r="G611" s="9" t="n">
        <v>2</v>
      </c>
    </row>
    <row r="612" customFormat="false" ht="15" hidden="false" customHeight="true" outlineLevel="0" collapsed="false">
      <c r="A612" s="9" t="s">
        <v>1862</v>
      </c>
      <c r="B612" s="9" t="s">
        <v>367</v>
      </c>
      <c r="C612" s="9" t="s">
        <v>1863</v>
      </c>
      <c r="D612" s="9" t="s">
        <v>1500</v>
      </c>
      <c r="E612" s="9" t="s">
        <v>1177</v>
      </c>
      <c r="F612" s="9" t="s">
        <v>1178</v>
      </c>
      <c r="G612" s="9" t="n">
        <v>3</v>
      </c>
    </row>
    <row r="613" customFormat="false" ht="15" hidden="false" customHeight="true" outlineLevel="0" collapsed="false">
      <c r="A613" s="9" t="s">
        <v>1862</v>
      </c>
      <c r="B613" s="9" t="s">
        <v>367</v>
      </c>
      <c r="C613" s="9" t="s">
        <v>1863</v>
      </c>
      <c r="D613" s="9" t="s">
        <v>1545</v>
      </c>
      <c r="E613" s="9" t="s">
        <v>1204</v>
      </c>
      <c r="F613" s="9" t="s">
        <v>1187</v>
      </c>
      <c r="G613" s="9" t="n">
        <v>4</v>
      </c>
    </row>
    <row r="614" customFormat="false" ht="15" hidden="false" customHeight="true" outlineLevel="0" collapsed="false">
      <c r="A614" s="9" t="s">
        <v>1862</v>
      </c>
      <c r="B614" s="9" t="s">
        <v>367</v>
      </c>
      <c r="C614" s="9" t="s">
        <v>1863</v>
      </c>
      <c r="D614" s="9" t="s">
        <v>1867</v>
      </c>
      <c r="E614" s="9" t="s">
        <v>1177</v>
      </c>
      <c r="F614" s="9" t="s">
        <v>1190</v>
      </c>
      <c r="G614" s="9" t="n">
        <v>4</v>
      </c>
    </row>
    <row r="615" customFormat="false" ht="15" hidden="false" customHeight="true" outlineLevel="0" collapsed="false">
      <c r="A615" s="9" t="s">
        <v>1868</v>
      </c>
      <c r="B615" s="9" t="s">
        <v>935</v>
      </c>
      <c r="C615" s="9" t="s">
        <v>1869</v>
      </c>
      <c r="D615" s="9" t="s">
        <v>1777</v>
      </c>
      <c r="E615" s="9" t="s">
        <v>1177</v>
      </c>
      <c r="F615" s="9" t="s">
        <v>1178</v>
      </c>
      <c r="G615" s="9" t="n">
        <v>3</v>
      </c>
    </row>
    <row r="616" customFormat="false" ht="15" hidden="false" customHeight="true" outlineLevel="0" collapsed="false">
      <c r="A616" s="9" t="s">
        <v>1868</v>
      </c>
      <c r="B616" s="9" t="s">
        <v>935</v>
      </c>
      <c r="C616" s="9" t="s">
        <v>1869</v>
      </c>
      <c r="D616" s="9" t="s">
        <v>1870</v>
      </c>
      <c r="E616" s="9" t="s">
        <v>1180</v>
      </c>
      <c r="F616" s="9" t="s">
        <v>1190</v>
      </c>
      <c r="G616" s="9" t="n">
        <v>2</v>
      </c>
    </row>
    <row r="617" customFormat="false" ht="15" hidden="false" customHeight="true" outlineLevel="0" collapsed="false">
      <c r="A617" s="9" t="s">
        <v>1868</v>
      </c>
      <c r="B617" s="9" t="s">
        <v>935</v>
      </c>
      <c r="C617" s="9" t="s">
        <v>1869</v>
      </c>
      <c r="D617" s="9" t="s">
        <v>1693</v>
      </c>
      <c r="E617" s="9" t="s">
        <v>1177</v>
      </c>
      <c r="F617" s="9" t="s">
        <v>1178</v>
      </c>
      <c r="G617" s="9" t="n">
        <v>2</v>
      </c>
    </row>
    <row r="618" customFormat="false" ht="15" hidden="false" customHeight="true" outlineLevel="0" collapsed="false">
      <c r="A618" s="9" t="s">
        <v>1868</v>
      </c>
      <c r="B618" s="9" t="s">
        <v>935</v>
      </c>
      <c r="C618" s="9" t="s">
        <v>1869</v>
      </c>
      <c r="D618" s="9" t="s">
        <v>1785</v>
      </c>
      <c r="E618" s="9" t="s">
        <v>1180</v>
      </c>
      <c r="F618" s="9" t="s">
        <v>1182</v>
      </c>
      <c r="G618" s="9" t="n">
        <v>3</v>
      </c>
    </row>
    <row r="619" customFormat="false" ht="15" hidden="false" customHeight="true" outlineLevel="0" collapsed="false">
      <c r="A619" s="9" t="s">
        <v>1871</v>
      </c>
      <c r="B619" s="9" t="s">
        <v>420</v>
      </c>
      <c r="C619" s="9" t="s">
        <v>1283</v>
      </c>
      <c r="D619" s="9" t="s">
        <v>1665</v>
      </c>
      <c r="E619" s="9" t="s">
        <v>1177</v>
      </c>
      <c r="F619" s="9" t="s">
        <v>1196</v>
      </c>
      <c r="G619" s="9" t="n">
        <v>2</v>
      </c>
    </row>
    <row r="620" customFormat="false" ht="15" hidden="false" customHeight="true" outlineLevel="0" collapsed="false">
      <c r="A620" s="9" t="s">
        <v>1871</v>
      </c>
      <c r="B620" s="9" t="s">
        <v>420</v>
      </c>
      <c r="C620" s="9" t="s">
        <v>1283</v>
      </c>
      <c r="D620" s="9" t="s">
        <v>1872</v>
      </c>
      <c r="E620" s="9" t="s">
        <v>1192</v>
      </c>
      <c r="F620" s="9" t="s">
        <v>1187</v>
      </c>
      <c r="G620" s="9" t="n">
        <v>2</v>
      </c>
    </row>
    <row r="621" customFormat="false" ht="15" hidden="false" customHeight="true" outlineLevel="0" collapsed="false">
      <c r="A621" s="9" t="s">
        <v>1873</v>
      </c>
      <c r="B621" s="9" t="s">
        <v>155</v>
      </c>
      <c r="C621" s="9" t="s">
        <v>1874</v>
      </c>
      <c r="D621" s="9" t="s">
        <v>1875</v>
      </c>
      <c r="E621" s="9" t="s">
        <v>1180</v>
      </c>
      <c r="F621" s="9" t="s">
        <v>1190</v>
      </c>
      <c r="G621" s="9" t="n">
        <v>5</v>
      </c>
    </row>
    <row r="622" customFormat="false" ht="15" hidden="false" customHeight="true" outlineLevel="0" collapsed="false">
      <c r="A622" s="9" t="s">
        <v>1876</v>
      </c>
      <c r="B622" s="9" t="s">
        <v>385</v>
      </c>
      <c r="C622" s="9" t="s">
        <v>1877</v>
      </c>
      <c r="D622" s="9" t="s">
        <v>1251</v>
      </c>
      <c r="E622" s="9" t="s">
        <v>1189</v>
      </c>
      <c r="F622" s="9" t="s">
        <v>1182</v>
      </c>
      <c r="G622" s="9" t="n">
        <v>2</v>
      </c>
    </row>
    <row r="623" customFormat="false" ht="15" hidden="false" customHeight="true" outlineLevel="0" collapsed="false">
      <c r="A623" s="9" t="s">
        <v>1876</v>
      </c>
      <c r="B623" s="9" t="s">
        <v>385</v>
      </c>
      <c r="C623" s="9" t="s">
        <v>1877</v>
      </c>
      <c r="D623" s="9" t="s">
        <v>1458</v>
      </c>
      <c r="E623" s="9" t="s">
        <v>1192</v>
      </c>
      <c r="F623" s="9" t="s">
        <v>1190</v>
      </c>
      <c r="G623" s="9" t="n">
        <v>4</v>
      </c>
    </row>
    <row r="624" customFormat="false" ht="15" hidden="false" customHeight="true" outlineLevel="0" collapsed="false">
      <c r="A624" s="9" t="s">
        <v>1876</v>
      </c>
      <c r="B624" s="9" t="s">
        <v>385</v>
      </c>
      <c r="C624" s="9" t="s">
        <v>1877</v>
      </c>
      <c r="D624" s="9" t="s">
        <v>1359</v>
      </c>
      <c r="E624" s="9" t="s">
        <v>1198</v>
      </c>
      <c r="F624" s="9" t="s">
        <v>1187</v>
      </c>
      <c r="G624" s="9" t="n">
        <v>2</v>
      </c>
    </row>
    <row r="625" customFormat="false" ht="15" hidden="false" customHeight="true" outlineLevel="0" collapsed="false">
      <c r="A625" s="9" t="s">
        <v>1876</v>
      </c>
      <c r="B625" s="9" t="s">
        <v>385</v>
      </c>
      <c r="C625" s="9" t="s">
        <v>1877</v>
      </c>
      <c r="D625" s="9" t="s">
        <v>1878</v>
      </c>
      <c r="E625" s="9" t="s">
        <v>1189</v>
      </c>
      <c r="F625" s="9" t="s">
        <v>1190</v>
      </c>
      <c r="G625" s="9" t="n">
        <v>2</v>
      </c>
    </row>
    <row r="626" customFormat="false" ht="15" hidden="false" customHeight="true" outlineLevel="0" collapsed="false">
      <c r="A626" s="9" t="s">
        <v>1876</v>
      </c>
      <c r="B626" s="9" t="s">
        <v>385</v>
      </c>
      <c r="C626" s="9" t="s">
        <v>1877</v>
      </c>
      <c r="D626" s="9" t="s">
        <v>1879</v>
      </c>
      <c r="E626" s="9" t="s">
        <v>1177</v>
      </c>
      <c r="F626" s="9" t="s">
        <v>1190</v>
      </c>
      <c r="G626" s="9" t="n">
        <v>5</v>
      </c>
    </row>
    <row r="627" customFormat="false" ht="15" hidden="false" customHeight="true" outlineLevel="0" collapsed="false">
      <c r="A627" s="9" t="s">
        <v>1876</v>
      </c>
      <c r="B627" s="9" t="s">
        <v>385</v>
      </c>
      <c r="C627" s="9" t="s">
        <v>1877</v>
      </c>
      <c r="D627" s="9" t="s">
        <v>1880</v>
      </c>
      <c r="E627" s="9" t="s">
        <v>1204</v>
      </c>
      <c r="F627" s="9" t="s">
        <v>1178</v>
      </c>
      <c r="G627" s="9" t="n">
        <v>3</v>
      </c>
    </row>
    <row r="628" customFormat="false" ht="15" hidden="false" customHeight="true" outlineLevel="0" collapsed="false">
      <c r="A628" s="9" t="s">
        <v>1876</v>
      </c>
      <c r="B628" s="9" t="s">
        <v>385</v>
      </c>
      <c r="C628" s="9" t="s">
        <v>1877</v>
      </c>
      <c r="D628" s="9" t="s">
        <v>1475</v>
      </c>
      <c r="E628" s="9" t="s">
        <v>1204</v>
      </c>
      <c r="F628" s="9" t="s">
        <v>1178</v>
      </c>
      <c r="G628" s="9" t="n">
        <v>2</v>
      </c>
    </row>
    <row r="629" customFormat="false" ht="15" hidden="false" customHeight="true" outlineLevel="0" collapsed="false">
      <c r="A629" s="9" t="s">
        <v>1876</v>
      </c>
      <c r="B629" s="9" t="s">
        <v>385</v>
      </c>
      <c r="C629" s="9" t="s">
        <v>1877</v>
      </c>
      <c r="D629" s="9" t="s">
        <v>1813</v>
      </c>
      <c r="E629" s="9" t="s">
        <v>1216</v>
      </c>
      <c r="F629" s="9" t="s">
        <v>1190</v>
      </c>
      <c r="G629" s="9" t="n">
        <v>2</v>
      </c>
    </row>
    <row r="630" customFormat="false" ht="15" hidden="false" customHeight="true" outlineLevel="0" collapsed="false">
      <c r="A630" s="9" t="s">
        <v>1876</v>
      </c>
      <c r="B630" s="9" t="s">
        <v>385</v>
      </c>
      <c r="C630" s="9" t="s">
        <v>1877</v>
      </c>
      <c r="D630" s="9" t="s">
        <v>1881</v>
      </c>
      <c r="E630" s="9" t="s">
        <v>1186</v>
      </c>
      <c r="F630" s="9" t="s">
        <v>1190</v>
      </c>
      <c r="G630" s="9" t="n">
        <v>3</v>
      </c>
    </row>
    <row r="631" customFormat="false" ht="15" hidden="false" customHeight="true" outlineLevel="0" collapsed="false">
      <c r="A631" s="9" t="s">
        <v>1876</v>
      </c>
      <c r="B631" s="9" t="s">
        <v>385</v>
      </c>
      <c r="C631" s="9" t="s">
        <v>1877</v>
      </c>
      <c r="D631" s="9" t="s">
        <v>1882</v>
      </c>
      <c r="E631" s="9" t="s">
        <v>1189</v>
      </c>
      <c r="F631" s="9" t="s">
        <v>1190</v>
      </c>
      <c r="G631" s="9" t="n">
        <v>2</v>
      </c>
    </row>
    <row r="632" customFormat="false" ht="15" hidden="false" customHeight="true" outlineLevel="0" collapsed="false">
      <c r="A632" s="9" t="s">
        <v>1883</v>
      </c>
      <c r="B632" s="9" t="s">
        <v>180</v>
      </c>
      <c r="C632" s="9" t="s">
        <v>1884</v>
      </c>
      <c r="D632" s="9" t="s">
        <v>1375</v>
      </c>
      <c r="E632" s="9" t="s">
        <v>1180</v>
      </c>
      <c r="F632" s="9" t="s">
        <v>1178</v>
      </c>
      <c r="G632" s="9" t="n">
        <v>3</v>
      </c>
    </row>
    <row r="633" customFormat="false" ht="15" hidden="false" customHeight="true" outlineLevel="0" collapsed="false">
      <c r="A633" s="9" t="s">
        <v>1883</v>
      </c>
      <c r="B633" s="9" t="s">
        <v>180</v>
      </c>
      <c r="C633" s="9" t="s">
        <v>1884</v>
      </c>
      <c r="D633" s="9" t="s">
        <v>1666</v>
      </c>
      <c r="E633" s="9" t="s">
        <v>1192</v>
      </c>
      <c r="F633" s="9" t="s">
        <v>1178</v>
      </c>
      <c r="G633" s="9" t="n">
        <v>2</v>
      </c>
    </row>
    <row r="634" customFormat="false" ht="15" hidden="false" customHeight="true" outlineLevel="0" collapsed="false">
      <c r="A634" s="9" t="s">
        <v>1883</v>
      </c>
      <c r="B634" s="9" t="s">
        <v>180</v>
      </c>
      <c r="C634" s="9" t="s">
        <v>1884</v>
      </c>
      <c r="D634" s="9" t="s">
        <v>1267</v>
      </c>
      <c r="E634" s="9" t="s">
        <v>1186</v>
      </c>
      <c r="F634" s="9" t="s">
        <v>1190</v>
      </c>
      <c r="G634" s="9" t="n">
        <v>3</v>
      </c>
    </row>
    <row r="635" customFormat="false" ht="15" hidden="false" customHeight="true" outlineLevel="0" collapsed="false">
      <c r="A635" s="9" t="s">
        <v>1885</v>
      </c>
      <c r="B635" s="9"/>
      <c r="C635" s="9" t="s">
        <v>1443</v>
      </c>
      <c r="D635" s="9" t="s">
        <v>1782</v>
      </c>
      <c r="E635" s="9" t="s">
        <v>1216</v>
      </c>
      <c r="F635" s="9" t="s">
        <v>1178</v>
      </c>
      <c r="G635" s="9" t="n">
        <v>3</v>
      </c>
    </row>
    <row r="636" customFormat="false" ht="15" hidden="false" customHeight="true" outlineLevel="0" collapsed="false">
      <c r="A636" s="9" t="s">
        <v>1885</v>
      </c>
      <c r="B636" s="9"/>
      <c r="C636" s="9" t="s">
        <v>1443</v>
      </c>
      <c r="D636" s="9" t="s">
        <v>1694</v>
      </c>
      <c r="E636" s="9" t="s">
        <v>1189</v>
      </c>
      <c r="F636" s="9" t="s">
        <v>1187</v>
      </c>
      <c r="G636" s="9" t="n">
        <v>3</v>
      </c>
    </row>
    <row r="637" customFormat="false" ht="15" hidden="false" customHeight="true" outlineLevel="0" collapsed="false">
      <c r="A637" s="9" t="s">
        <v>1885</v>
      </c>
      <c r="B637" s="9"/>
      <c r="C637" s="9" t="s">
        <v>1443</v>
      </c>
      <c r="D637" s="9" t="s">
        <v>1613</v>
      </c>
      <c r="E637" s="9" t="s">
        <v>1177</v>
      </c>
      <c r="F637" s="9" t="s">
        <v>1182</v>
      </c>
      <c r="G637" s="9" t="n">
        <v>3</v>
      </c>
    </row>
    <row r="638" customFormat="false" ht="15" hidden="false" customHeight="true" outlineLevel="0" collapsed="false">
      <c r="A638" s="9" t="s">
        <v>1885</v>
      </c>
      <c r="B638" s="9"/>
      <c r="C638" s="9" t="s">
        <v>1443</v>
      </c>
      <c r="D638" s="9" t="s">
        <v>1614</v>
      </c>
      <c r="E638" s="9" t="s">
        <v>1216</v>
      </c>
      <c r="F638" s="9" t="s">
        <v>1190</v>
      </c>
      <c r="G638" s="9" t="n">
        <v>2</v>
      </c>
    </row>
    <row r="639" customFormat="false" ht="15" hidden="false" customHeight="true" outlineLevel="0" collapsed="false">
      <c r="A639" s="9" t="s">
        <v>1886</v>
      </c>
      <c r="B639" s="9"/>
      <c r="C639" s="9" t="s">
        <v>1887</v>
      </c>
      <c r="D639" s="9" t="s">
        <v>1679</v>
      </c>
      <c r="E639" s="9" t="s">
        <v>1177</v>
      </c>
      <c r="F639" s="9" t="s">
        <v>1190</v>
      </c>
      <c r="G639" s="9" t="n">
        <v>5</v>
      </c>
    </row>
    <row r="640" customFormat="false" ht="15" hidden="false" customHeight="true" outlineLevel="0" collapsed="false">
      <c r="A640" s="9" t="s">
        <v>1886</v>
      </c>
      <c r="B640" s="9"/>
      <c r="C640" s="9" t="s">
        <v>1887</v>
      </c>
      <c r="D640" s="9" t="s">
        <v>1404</v>
      </c>
      <c r="E640" s="9" t="s">
        <v>1186</v>
      </c>
      <c r="F640" s="9" t="s">
        <v>1182</v>
      </c>
      <c r="G640" s="9" t="n">
        <v>3</v>
      </c>
    </row>
    <row r="641" customFormat="false" ht="15" hidden="false" customHeight="true" outlineLevel="0" collapsed="false">
      <c r="A641" s="9" t="s">
        <v>1886</v>
      </c>
      <c r="B641" s="9"/>
      <c r="C641" s="9" t="s">
        <v>1887</v>
      </c>
      <c r="D641" s="9" t="s">
        <v>1240</v>
      </c>
      <c r="E641" s="9" t="s">
        <v>1180</v>
      </c>
      <c r="F641" s="9" t="s">
        <v>1190</v>
      </c>
      <c r="G641" s="9" t="n">
        <v>2</v>
      </c>
    </row>
    <row r="642" customFormat="false" ht="15" hidden="false" customHeight="true" outlineLevel="0" collapsed="false">
      <c r="A642" s="9" t="s">
        <v>1886</v>
      </c>
      <c r="B642" s="9"/>
      <c r="C642" s="9" t="s">
        <v>1887</v>
      </c>
      <c r="D642" s="9" t="s">
        <v>1888</v>
      </c>
      <c r="E642" s="9" t="s">
        <v>1186</v>
      </c>
      <c r="F642" s="9" t="s">
        <v>1187</v>
      </c>
      <c r="G642" s="9" t="n">
        <v>3</v>
      </c>
    </row>
    <row r="643" customFormat="false" ht="15" hidden="false" customHeight="true" outlineLevel="0" collapsed="false">
      <c r="A643" s="9" t="s">
        <v>1889</v>
      </c>
      <c r="B643" s="9"/>
      <c r="C643" s="9" t="s">
        <v>1890</v>
      </c>
      <c r="D643" s="9" t="s">
        <v>1891</v>
      </c>
      <c r="E643" s="9" t="s">
        <v>1204</v>
      </c>
      <c r="F643" s="9" t="s">
        <v>1196</v>
      </c>
      <c r="G643" s="9" t="n">
        <v>3</v>
      </c>
    </row>
    <row r="644" customFormat="false" ht="15" hidden="false" customHeight="true" outlineLevel="0" collapsed="false">
      <c r="A644" s="9" t="s">
        <v>1892</v>
      </c>
      <c r="B644" s="9"/>
      <c r="C644" s="9" t="s">
        <v>1893</v>
      </c>
      <c r="D644" s="9" t="s">
        <v>1843</v>
      </c>
      <c r="E644" s="9" t="s">
        <v>1186</v>
      </c>
      <c r="F644" s="9" t="s">
        <v>1182</v>
      </c>
      <c r="G644" s="9" t="n">
        <v>4</v>
      </c>
    </row>
    <row r="645" customFormat="false" ht="15" hidden="false" customHeight="true" outlineLevel="0" collapsed="false">
      <c r="A645" s="9" t="s">
        <v>1892</v>
      </c>
      <c r="B645" s="9"/>
      <c r="C645" s="9" t="s">
        <v>1893</v>
      </c>
      <c r="D645" s="9" t="s">
        <v>1744</v>
      </c>
      <c r="E645" s="9" t="s">
        <v>1186</v>
      </c>
      <c r="F645" s="9" t="s">
        <v>1178</v>
      </c>
      <c r="G645" s="9" t="n">
        <v>2</v>
      </c>
    </row>
    <row r="646" customFormat="false" ht="15" hidden="false" customHeight="true" outlineLevel="0" collapsed="false">
      <c r="A646" s="9" t="s">
        <v>1892</v>
      </c>
      <c r="B646" s="9"/>
      <c r="C646" s="9" t="s">
        <v>1893</v>
      </c>
      <c r="D646" s="9" t="s">
        <v>1894</v>
      </c>
      <c r="E646" s="9" t="s">
        <v>1198</v>
      </c>
      <c r="F646" s="9" t="s">
        <v>1178</v>
      </c>
      <c r="G646" s="9" t="n">
        <v>2</v>
      </c>
    </row>
    <row r="647" customFormat="false" ht="15" hidden="false" customHeight="true" outlineLevel="0" collapsed="false">
      <c r="A647" s="9" t="s">
        <v>1892</v>
      </c>
      <c r="B647" s="9"/>
      <c r="C647" s="9" t="s">
        <v>1893</v>
      </c>
      <c r="D647" s="9" t="s">
        <v>1895</v>
      </c>
      <c r="E647" s="9" t="s">
        <v>1216</v>
      </c>
      <c r="F647" s="9" t="s">
        <v>1190</v>
      </c>
      <c r="G647" s="9" t="n">
        <v>3</v>
      </c>
    </row>
    <row r="648" customFormat="false" ht="15" hidden="false" customHeight="true" outlineLevel="0" collapsed="false">
      <c r="A648" s="9" t="s">
        <v>1892</v>
      </c>
      <c r="B648" s="9"/>
      <c r="C648" s="9" t="s">
        <v>1893</v>
      </c>
      <c r="D648" s="9" t="s">
        <v>1896</v>
      </c>
      <c r="E648" s="9" t="s">
        <v>1177</v>
      </c>
      <c r="F648" s="9" t="s">
        <v>1182</v>
      </c>
      <c r="G648" s="9" t="n">
        <v>3</v>
      </c>
    </row>
    <row r="649" customFormat="false" ht="15" hidden="false" customHeight="true" outlineLevel="0" collapsed="false">
      <c r="A649" s="9" t="s">
        <v>1892</v>
      </c>
      <c r="B649" s="9"/>
      <c r="C649" s="9" t="s">
        <v>1893</v>
      </c>
      <c r="D649" s="9" t="s">
        <v>1225</v>
      </c>
      <c r="E649" s="9" t="s">
        <v>1180</v>
      </c>
      <c r="F649" s="9" t="s">
        <v>1182</v>
      </c>
      <c r="G649" s="9" t="n">
        <v>5</v>
      </c>
    </row>
    <row r="650" customFormat="false" ht="15" hidden="false" customHeight="true" outlineLevel="0" collapsed="false">
      <c r="A650" s="9" t="s">
        <v>1897</v>
      </c>
      <c r="B650" s="9"/>
      <c r="C650" s="9" t="s">
        <v>1898</v>
      </c>
      <c r="D650" s="9" t="s">
        <v>1578</v>
      </c>
      <c r="E650" s="9" t="s">
        <v>1204</v>
      </c>
      <c r="F650" s="9" t="s">
        <v>1182</v>
      </c>
      <c r="G650" s="9" t="n">
        <v>3</v>
      </c>
    </row>
    <row r="651" customFormat="false" ht="15" hidden="false" customHeight="true" outlineLevel="0" collapsed="false">
      <c r="A651" s="9" t="s">
        <v>1899</v>
      </c>
      <c r="B651" s="9"/>
      <c r="C651" s="9" t="s">
        <v>1900</v>
      </c>
      <c r="D651" s="9" t="s">
        <v>1901</v>
      </c>
      <c r="E651" s="9" t="s">
        <v>1216</v>
      </c>
      <c r="F651" s="9" t="s">
        <v>1187</v>
      </c>
      <c r="G651" s="9" t="n">
        <v>2</v>
      </c>
    </row>
    <row r="652" customFormat="false" ht="15" hidden="false" customHeight="true" outlineLevel="0" collapsed="false">
      <c r="A652" s="9" t="s">
        <v>1899</v>
      </c>
      <c r="B652" s="9"/>
      <c r="C652" s="9" t="s">
        <v>1900</v>
      </c>
      <c r="D652" s="9" t="s">
        <v>1902</v>
      </c>
      <c r="E652" s="9" t="s">
        <v>1189</v>
      </c>
      <c r="F652" s="9" t="s">
        <v>1190</v>
      </c>
      <c r="G652" s="9" t="n">
        <v>3</v>
      </c>
    </row>
    <row r="653" customFormat="false" ht="15" hidden="false" customHeight="true" outlineLevel="0" collapsed="false">
      <c r="A653" s="9" t="s">
        <v>1903</v>
      </c>
      <c r="B653" s="9"/>
      <c r="C653" s="9" t="s">
        <v>1904</v>
      </c>
      <c r="D653" s="9" t="s">
        <v>1905</v>
      </c>
      <c r="E653" s="9" t="s">
        <v>1189</v>
      </c>
      <c r="F653" s="9" t="s">
        <v>1182</v>
      </c>
      <c r="G653" s="9" t="n">
        <v>2</v>
      </c>
    </row>
    <row r="654" customFormat="false" ht="15" hidden="false" customHeight="true" outlineLevel="0" collapsed="false">
      <c r="A654" s="9" t="s">
        <v>1903</v>
      </c>
      <c r="B654" s="9"/>
      <c r="C654" s="9" t="s">
        <v>1904</v>
      </c>
      <c r="D654" s="9" t="s">
        <v>1906</v>
      </c>
      <c r="E654" s="9" t="s">
        <v>1180</v>
      </c>
      <c r="F654" s="9" t="s">
        <v>1187</v>
      </c>
      <c r="G654" s="9" t="n">
        <v>4</v>
      </c>
    </row>
    <row r="655" customFormat="false" ht="15" hidden="false" customHeight="true" outlineLevel="0" collapsed="false">
      <c r="A655" s="9" t="s">
        <v>1907</v>
      </c>
      <c r="B655" s="9"/>
      <c r="C655" s="9" t="s">
        <v>1908</v>
      </c>
      <c r="D655" s="9" t="s">
        <v>1909</v>
      </c>
      <c r="E655" s="9" t="s">
        <v>1216</v>
      </c>
      <c r="F655" s="9" t="s">
        <v>1190</v>
      </c>
      <c r="G655" s="9" t="n">
        <v>3</v>
      </c>
    </row>
    <row r="656" customFormat="false" ht="15" hidden="false" customHeight="true" outlineLevel="0" collapsed="false">
      <c r="A656" s="9" t="s">
        <v>1907</v>
      </c>
      <c r="B656" s="9"/>
      <c r="C656" s="9" t="s">
        <v>1908</v>
      </c>
      <c r="D656" s="9" t="s">
        <v>1910</v>
      </c>
      <c r="E656" s="9" t="s">
        <v>1177</v>
      </c>
      <c r="F656" s="9" t="s">
        <v>1187</v>
      </c>
      <c r="G656" s="9" t="n">
        <v>3</v>
      </c>
    </row>
    <row r="657" customFormat="false" ht="15" hidden="false" customHeight="true" outlineLevel="0" collapsed="false">
      <c r="A657" s="9" t="s">
        <v>1911</v>
      </c>
      <c r="B657" s="9"/>
      <c r="C657" s="9" t="s">
        <v>1912</v>
      </c>
      <c r="D657" s="9" t="s">
        <v>1913</v>
      </c>
      <c r="E657" s="9" t="s">
        <v>1180</v>
      </c>
      <c r="F657" s="9" t="s">
        <v>1178</v>
      </c>
      <c r="G657" s="9" t="n">
        <v>2</v>
      </c>
    </row>
    <row r="658" customFormat="false" ht="15" hidden="false" customHeight="true" outlineLevel="0" collapsed="false">
      <c r="A658" s="9" t="s">
        <v>1911</v>
      </c>
      <c r="B658" s="9"/>
      <c r="C658" s="9" t="s">
        <v>1912</v>
      </c>
      <c r="D658" s="9" t="s">
        <v>1914</v>
      </c>
      <c r="E658" s="9" t="s">
        <v>1177</v>
      </c>
      <c r="F658" s="9" t="s">
        <v>1178</v>
      </c>
      <c r="G658" s="9" t="n">
        <v>2</v>
      </c>
    </row>
    <row r="659" customFormat="false" ht="15" hidden="false" customHeight="true" outlineLevel="0" collapsed="false">
      <c r="A659" s="9" t="s">
        <v>1911</v>
      </c>
      <c r="B659" s="9"/>
      <c r="C659" s="9" t="s">
        <v>1912</v>
      </c>
      <c r="D659" s="9" t="s">
        <v>1826</v>
      </c>
      <c r="E659" s="9" t="s">
        <v>1189</v>
      </c>
      <c r="F659" s="9" t="s">
        <v>1182</v>
      </c>
      <c r="G659" s="9" t="n">
        <v>3</v>
      </c>
    </row>
    <row r="660" customFormat="false" ht="15" hidden="false" customHeight="true" outlineLevel="0" collapsed="false">
      <c r="A660" s="9" t="s">
        <v>1911</v>
      </c>
      <c r="B660" s="9"/>
      <c r="C660" s="9" t="s">
        <v>1912</v>
      </c>
      <c r="D660" s="9" t="s">
        <v>1376</v>
      </c>
      <c r="E660" s="9" t="s">
        <v>1827</v>
      </c>
      <c r="F660" s="9" t="s">
        <v>1190</v>
      </c>
      <c r="G660" s="9" t="n">
        <v>2</v>
      </c>
    </row>
    <row r="661" customFormat="false" ht="15" hidden="false" customHeight="true" outlineLevel="0" collapsed="false">
      <c r="A661" s="9" t="s">
        <v>1911</v>
      </c>
      <c r="B661" s="9"/>
      <c r="C661" s="9" t="s">
        <v>1912</v>
      </c>
      <c r="D661" s="9" t="s">
        <v>1221</v>
      </c>
      <c r="E661" s="9" t="s">
        <v>1204</v>
      </c>
      <c r="F661" s="9" t="s">
        <v>1178</v>
      </c>
      <c r="G661" s="9" t="n">
        <v>2</v>
      </c>
    </row>
    <row r="662" customFormat="false" ht="15" hidden="false" customHeight="true" outlineLevel="0" collapsed="false">
      <c r="A662" s="9" t="s">
        <v>1915</v>
      </c>
      <c r="B662" s="9"/>
      <c r="C662" s="9" t="s">
        <v>1916</v>
      </c>
      <c r="D662" s="9" t="s">
        <v>1368</v>
      </c>
      <c r="E662" s="9" t="s">
        <v>1192</v>
      </c>
      <c r="F662" s="9" t="s">
        <v>1190</v>
      </c>
      <c r="G662" s="9" t="n">
        <v>3</v>
      </c>
    </row>
    <row r="663" customFormat="false" ht="15" hidden="false" customHeight="true" outlineLevel="0" collapsed="false">
      <c r="A663" s="9" t="s">
        <v>1915</v>
      </c>
      <c r="B663" s="9"/>
      <c r="C663" s="9" t="s">
        <v>1916</v>
      </c>
      <c r="D663" s="9" t="s">
        <v>1523</v>
      </c>
      <c r="E663" s="9" t="s">
        <v>1192</v>
      </c>
      <c r="F663" s="9" t="s">
        <v>1187</v>
      </c>
      <c r="G663" s="9" t="n">
        <v>3</v>
      </c>
    </row>
    <row r="664" customFormat="false" ht="15" hidden="false" customHeight="true" outlineLevel="0" collapsed="false">
      <c r="A664" s="9" t="s">
        <v>1917</v>
      </c>
      <c r="B664" s="9"/>
      <c r="C664" s="9" t="s">
        <v>1918</v>
      </c>
      <c r="D664" s="9" t="s">
        <v>1667</v>
      </c>
      <c r="E664" s="9" t="s">
        <v>1198</v>
      </c>
      <c r="F664" s="9" t="s">
        <v>1190</v>
      </c>
      <c r="G664" s="9" t="n">
        <v>2</v>
      </c>
    </row>
    <row r="665" customFormat="false" ht="15" hidden="false" customHeight="true" outlineLevel="0" collapsed="false">
      <c r="A665" s="9" t="s">
        <v>1917</v>
      </c>
      <c r="B665" s="9"/>
      <c r="C665" s="9" t="s">
        <v>1918</v>
      </c>
      <c r="D665" s="9" t="s">
        <v>1919</v>
      </c>
      <c r="E665" s="9" t="s">
        <v>1180</v>
      </c>
      <c r="F665" s="9" t="s">
        <v>1182</v>
      </c>
      <c r="G665" s="9" t="n">
        <v>3</v>
      </c>
    </row>
    <row r="666" customFormat="false" ht="15" hidden="false" customHeight="true" outlineLevel="0" collapsed="false">
      <c r="A666" s="9" t="s">
        <v>1917</v>
      </c>
      <c r="B666" s="9"/>
      <c r="C666" s="9" t="s">
        <v>1918</v>
      </c>
      <c r="D666" s="9" t="s">
        <v>1566</v>
      </c>
      <c r="E666" s="9" t="s">
        <v>1189</v>
      </c>
      <c r="F666" s="9" t="s">
        <v>1182</v>
      </c>
      <c r="G666" s="9" t="n">
        <v>6</v>
      </c>
    </row>
    <row r="667" customFormat="false" ht="15" hidden="false" customHeight="true" outlineLevel="0" collapsed="false">
      <c r="A667" s="9" t="s">
        <v>1917</v>
      </c>
      <c r="B667" s="9"/>
      <c r="C667" s="9" t="s">
        <v>1918</v>
      </c>
      <c r="D667" s="9" t="s">
        <v>1920</v>
      </c>
      <c r="E667" s="9" t="s">
        <v>1180</v>
      </c>
      <c r="F667" s="9" t="s">
        <v>1187</v>
      </c>
      <c r="G667" s="9" t="n">
        <v>3</v>
      </c>
    </row>
    <row r="668" customFormat="false" ht="15" hidden="false" customHeight="true" outlineLevel="0" collapsed="false">
      <c r="A668" s="9" t="s">
        <v>1917</v>
      </c>
      <c r="B668" s="9"/>
      <c r="C668" s="9" t="s">
        <v>1918</v>
      </c>
      <c r="D668" s="9" t="s">
        <v>1921</v>
      </c>
      <c r="E668" s="9" t="s">
        <v>1177</v>
      </c>
      <c r="F668" s="9" t="s">
        <v>1182</v>
      </c>
      <c r="G668" s="9" t="n">
        <v>6</v>
      </c>
    </row>
    <row r="669" customFormat="false" ht="15" hidden="false" customHeight="true" outlineLevel="0" collapsed="false">
      <c r="A669" s="9" t="s">
        <v>1922</v>
      </c>
      <c r="B669" s="9"/>
      <c r="C669" s="9" t="s">
        <v>1923</v>
      </c>
      <c r="D669" s="9" t="s">
        <v>1461</v>
      </c>
      <c r="E669" s="9" t="s">
        <v>1216</v>
      </c>
      <c r="F669" s="9" t="s">
        <v>1187</v>
      </c>
      <c r="G669" s="9" t="n">
        <v>3</v>
      </c>
    </row>
    <row r="670" customFormat="false" ht="15" hidden="false" customHeight="true" outlineLevel="0" collapsed="false">
      <c r="A670" s="9" t="s">
        <v>1922</v>
      </c>
      <c r="B670" s="9"/>
      <c r="C670" s="9" t="s">
        <v>1923</v>
      </c>
      <c r="D670" s="9" t="s">
        <v>1195</v>
      </c>
      <c r="E670" s="9" t="s">
        <v>1216</v>
      </c>
      <c r="F670" s="9" t="s">
        <v>1190</v>
      </c>
      <c r="G670" s="9" t="n">
        <v>2</v>
      </c>
    </row>
    <row r="671" customFormat="false" ht="15" hidden="false" customHeight="true" outlineLevel="0" collapsed="false">
      <c r="A671" s="9" t="s">
        <v>1922</v>
      </c>
      <c r="B671" s="9"/>
      <c r="C671" s="9" t="s">
        <v>1923</v>
      </c>
      <c r="D671" s="9" t="s">
        <v>1688</v>
      </c>
      <c r="E671" s="9" t="s">
        <v>1177</v>
      </c>
      <c r="F671" s="9" t="s">
        <v>1187</v>
      </c>
      <c r="G671" s="9" t="n">
        <v>3</v>
      </c>
    </row>
    <row r="672" customFormat="false" ht="15" hidden="false" customHeight="true" outlineLevel="0" collapsed="false">
      <c r="A672" s="9" t="s">
        <v>1924</v>
      </c>
      <c r="B672" s="9"/>
      <c r="C672" s="9" t="s">
        <v>1925</v>
      </c>
      <c r="D672" s="9" t="s">
        <v>1728</v>
      </c>
      <c r="E672" s="9" t="s">
        <v>1180</v>
      </c>
      <c r="F672" s="9" t="s">
        <v>1196</v>
      </c>
      <c r="G672" s="9" t="n">
        <v>2</v>
      </c>
    </row>
    <row r="673" customFormat="false" ht="15" hidden="false" customHeight="true" outlineLevel="0" collapsed="false">
      <c r="A673" s="9" t="s">
        <v>1924</v>
      </c>
      <c r="B673" s="9"/>
      <c r="C673" s="9" t="s">
        <v>1925</v>
      </c>
      <c r="D673" s="9" t="s">
        <v>1926</v>
      </c>
      <c r="E673" s="9" t="s">
        <v>1216</v>
      </c>
      <c r="F673" s="9" t="s">
        <v>1178</v>
      </c>
      <c r="G673" s="9" t="n">
        <v>3</v>
      </c>
    </row>
    <row r="674" customFormat="false" ht="15" hidden="false" customHeight="true" outlineLevel="0" collapsed="false">
      <c r="A674" s="9" t="s">
        <v>1924</v>
      </c>
      <c r="B674" s="9"/>
      <c r="C674" s="9" t="s">
        <v>1925</v>
      </c>
      <c r="D674" s="9" t="s">
        <v>1927</v>
      </c>
      <c r="E674" s="9" t="s">
        <v>1204</v>
      </c>
      <c r="F674" s="9" t="s">
        <v>1196</v>
      </c>
      <c r="G674" s="9" t="n">
        <v>2</v>
      </c>
    </row>
    <row r="675" customFormat="false" ht="15" hidden="false" customHeight="true" outlineLevel="0" collapsed="false">
      <c r="A675" s="9" t="s">
        <v>1924</v>
      </c>
      <c r="B675" s="9"/>
      <c r="C675" s="9" t="s">
        <v>1925</v>
      </c>
      <c r="D675" s="9" t="s">
        <v>1928</v>
      </c>
      <c r="E675" s="9" t="s">
        <v>1198</v>
      </c>
      <c r="F675" s="9" t="s">
        <v>1196</v>
      </c>
      <c r="G675" s="9" t="n">
        <v>3</v>
      </c>
    </row>
    <row r="676" customFormat="false" ht="15" hidden="false" customHeight="true" outlineLevel="0" collapsed="false">
      <c r="A676" s="9" t="s">
        <v>1924</v>
      </c>
      <c r="B676" s="9"/>
      <c r="C676" s="9" t="s">
        <v>1925</v>
      </c>
      <c r="D676" s="9" t="s">
        <v>1343</v>
      </c>
      <c r="E676" s="9" t="s">
        <v>1204</v>
      </c>
      <c r="F676" s="9" t="s">
        <v>1187</v>
      </c>
      <c r="G676" s="9" t="n">
        <v>3</v>
      </c>
    </row>
    <row r="677" customFormat="false" ht="15" hidden="false" customHeight="true" outlineLevel="0" collapsed="false">
      <c r="A677" s="9" t="s">
        <v>1924</v>
      </c>
      <c r="B677" s="9"/>
      <c r="C677" s="9" t="s">
        <v>1925</v>
      </c>
      <c r="D677" s="9" t="s">
        <v>1902</v>
      </c>
      <c r="E677" s="9" t="s">
        <v>1180</v>
      </c>
      <c r="F677" s="9" t="s">
        <v>1196</v>
      </c>
      <c r="G677" s="9" t="n">
        <v>3</v>
      </c>
    </row>
    <row r="678" customFormat="false" ht="15" hidden="false" customHeight="true" outlineLevel="0" collapsed="false">
      <c r="A678" s="9" t="s">
        <v>1929</v>
      </c>
      <c r="B678" s="9"/>
      <c r="C678" s="9" t="s">
        <v>1347</v>
      </c>
      <c r="D678" s="9" t="s">
        <v>1930</v>
      </c>
      <c r="E678" s="9" t="s">
        <v>1216</v>
      </c>
      <c r="F678" s="9" t="s">
        <v>1178</v>
      </c>
      <c r="G678" s="9" t="n">
        <v>2</v>
      </c>
    </row>
    <row r="679" customFormat="false" ht="15" hidden="false" customHeight="true" outlineLevel="0" collapsed="false">
      <c r="A679" s="9" t="s">
        <v>1929</v>
      </c>
      <c r="B679" s="9"/>
      <c r="C679" s="9" t="s">
        <v>1347</v>
      </c>
      <c r="D679" s="9" t="s">
        <v>1368</v>
      </c>
      <c r="E679" s="9" t="s">
        <v>1204</v>
      </c>
      <c r="F679" s="9" t="s">
        <v>1187</v>
      </c>
      <c r="G679" s="9" t="n">
        <v>2</v>
      </c>
    </row>
    <row r="680" customFormat="false" ht="15" hidden="false" customHeight="true" outlineLevel="0" collapsed="false">
      <c r="A680" s="9" t="s">
        <v>1931</v>
      </c>
      <c r="B680" s="9"/>
      <c r="C680" s="9" t="s">
        <v>1932</v>
      </c>
      <c r="D680" s="9" t="s">
        <v>1933</v>
      </c>
      <c r="E680" s="9" t="s">
        <v>1180</v>
      </c>
      <c r="F680" s="9" t="s">
        <v>1190</v>
      </c>
      <c r="G680" s="9" t="n">
        <v>2</v>
      </c>
    </row>
    <row r="681" customFormat="false" ht="15" hidden="false" customHeight="true" outlineLevel="0" collapsed="false">
      <c r="A681" s="9" t="s">
        <v>1931</v>
      </c>
      <c r="B681" s="9"/>
      <c r="C681" s="9" t="s">
        <v>1932</v>
      </c>
      <c r="D681" s="9" t="s">
        <v>1934</v>
      </c>
      <c r="E681" s="9" t="s">
        <v>1198</v>
      </c>
      <c r="F681" s="9" t="s">
        <v>1196</v>
      </c>
      <c r="G681" s="9" t="n">
        <v>2</v>
      </c>
    </row>
    <row r="682" customFormat="false" ht="15" hidden="false" customHeight="true" outlineLevel="0" collapsed="false">
      <c r="A682" s="9" t="s">
        <v>1935</v>
      </c>
      <c r="B682" s="9"/>
      <c r="C682" s="9" t="s">
        <v>1936</v>
      </c>
      <c r="D682" s="9" t="s">
        <v>1937</v>
      </c>
      <c r="E682" s="9" t="s">
        <v>1204</v>
      </c>
      <c r="F682" s="9" t="s">
        <v>1187</v>
      </c>
      <c r="G682" s="9" t="n">
        <v>3</v>
      </c>
    </row>
    <row r="683" customFormat="false" ht="15" hidden="false" customHeight="true" outlineLevel="0" collapsed="false">
      <c r="A683" s="9" t="s">
        <v>1935</v>
      </c>
      <c r="B683" s="9"/>
      <c r="C683" s="9" t="s">
        <v>1936</v>
      </c>
      <c r="D683" s="9" t="s">
        <v>1938</v>
      </c>
      <c r="E683" s="9" t="s">
        <v>1177</v>
      </c>
      <c r="F683" s="9" t="s">
        <v>1196</v>
      </c>
      <c r="G683" s="9" t="n">
        <v>2</v>
      </c>
    </row>
    <row r="684" customFormat="false" ht="15" hidden="false" customHeight="true" outlineLevel="0" collapsed="false">
      <c r="A684" s="9" t="s">
        <v>1939</v>
      </c>
      <c r="B684" s="9"/>
      <c r="C684" s="9" t="s">
        <v>1940</v>
      </c>
      <c r="D684" s="9" t="s">
        <v>1845</v>
      </c>
      <c r="E684" s="9" t="s">
        <v>1189</v>
      </c>
      <c r="F684" s="9" t="s">
        <v>1187</v>
      </c>
      <c r="G684" s="9" t="n">
        <v>5</v>
      </c>
    </row>
    <row r="685" customFormat="false" ht="15" hidden="false" customHeight="true" outlineLevel="0" collapsed="false">
      <c r="A685" s="9" t="s">
        <v>1939</v>
      </c>
      <c r="B685" s="9"/>
      <c r="C685" s="9" t="s">
        <v>1940</v>
      </c>
      <c r="D685" s="9" t="s">
        <v>1941</v>
      </c>
      <c r="E685" s="9" t="s">
        <v>1186</v>
      </c>
      <c r="F685" s="9" t="s">
        <v>1182</v>
      </c>
      <c r="G685" s="9" t="n">
        <v>2</v>
      </c>
    </row>
    <row r="686" customFormat="false" ht="15" hidden="false" customHeight="true" outlineLevel="0" collapsed="false">
      <c r="A686" s="9" t="s">
        <v>1942</v>
      </c>
      <c r="B686" s="9"/>
      <c r="C686" s="9" t="s">
        <v>1943</v>
      </c>
      <c r="D686" s="9" t="s">
        <v>1944</v>
      </c>
      <c r="E686" s="9" t="s">
        <v>1177</v>
      </c>
      <c r="F686" s="9" t="s">
        <v>1178</v>
      </c>
      <c r="G686" s="9" t="n">
        <v>2</v>
      </c>
    </row>
    <row r="687" customFormat="false" ht="15" hidden="false" customHeight="true" outlineLevel="0" collapsed="false">
      <c r="A687" s="9" t="s">
        <v>1942</v>
      </c>
      <c r="B687" s="9"/>
      <c r="C687" s="9" t="s">
        <v>1943</v>
      </c>
      <c r="D687" s="9" t="s">
        <v>1945</v>
      </c>
      <c r="E687" s="9" t="s">
        <v>1216</v>
      </c>
      <c r="F687" s="9" t="s">
        <v>1190</v>
      </c>
      <c r="G687" s="9" t="n">
        <v>2</v>
      </c>
    </row>
    <row r="688" customFormat="false" ht="15" hidden="false" customHeight="true" outlineLevel="0" collapsed="false">
      <c r="A688" s="9" t="s">
        <v>1942</v>
      </c>
      <c r="B688" s="9"/>
      <c r="C688" s="9" t="s">
        <v>1943</v>
      </c>
      <c r="D688" s="9" t="s">
        <v>1596</v>
      </c>
      <c r="E688" s="9" t="s">
        <v>1198</v>
      </c>
      <c r="F688" s="9" t="s">
        <v>1190</v>
      </c>
      <c r="G688" s="9" t="n">
        <v>2</v>
      </c>
    </row>
    <row r="689" customFormat="false" ht="15" hidden="false" customHeight="true" outlineLevel="0" collapsed="false">
      <c r="A689" s="9" t="s">
        <v>1946</v>
      </c>
      <c r="B689" s="9"/>
      <c r="C689" s="9" t="s">
        <v>1947</v>
      </c>
      <c r="D689" s="9" t="s">
        <v>1798</v>
      </c>
      <c r="E689" s="9" t="s">
        <v>1180</v>
      </c>
      <c r="F689" s="9" t="s">
        <v>1178</v>
      </c>
      <c r="G689" s="9" t="n">
        <v>2</v>
      </c>
    </row>
    <row r="690" customFormat="false" ht="15" hidden="false" customHeight="true" outlineLevel="0" collapsed="false">
      <c r="A690" s="9" t="s">
        <v>1946</v>
      </c>
      <c r="B690" s="9"/>
      <c r="C690" s="9" t="s">
        <v>1947</v>
      </c>
      <c r="D690" s="9" t="s">
        <v>1948</v>
      </c>
      <c r="E690" s="9" t="s">
        <v>1186</v>
      </c>
      <c r="F690" s="9" t="s">
        <v>1182</v>
      </c>
      <c r="G690" s="9" t="n">
        <v>3</v>
      </c>
    </row>
    <row r="691" customFormat="false" ht="15" hidden="false" customHeight="true" outlineLevel="0" collapsed="false">
      <c r="A691" s="9" t="s">
        <v>1946</v>
      </c>
      <c r="B691" s="9"/>
      <c r="C691" s="9" t="s">
        <v>1947</v>
      </c>
      <c r="D691" s="9" t="s">
        <v>1949</v>
      </c>
      <c r="E691" s="9" t="s">
        <v>1186</v>
      </c>
      <c r="F691" s="9" t="s">
        <v>1178</v>
      </c>
      <c r="G691" s="9" t="n">
        <v>3</v>
      </c>
    </row>
    <row r="692" customFormat="false" ht="15" hidden="false" customHeight="true" outlineLevel="0" collapsed="false">
      <c r="A692" s="9" t="s">
        <v>1946</v>
      </c>
      <c r="B692" s="9"/>
      <c r="C692" s="9" t="s">
        <v>1947</v>
      </c>
      <c r="D692" s="9" t="s">
        <v>1458</v>
      </c>
      <c r="E692" s="9" t="s">
        <v>1216</v>
      </c>
      <c r="F692" s="9" t="s">
        <v>1182</v>
      </c>
      <c r="G692" s="9" t="n">
        <v>3</v>
      </c>
    </row>
    <row r="693" customFormat="false" ht="15" hidden="false" customHeight="true" outlineLevel="0" collapsed="false">
      <c r="A693" s="9" t="s">
        <v>1946</v>
      </c>
      <c r="B693" s="9"/>
      <c r="C693" s="9" t="s">
        <v>1947</v>
      </c>
      <c r="D693" s="9" t="s">
        <v>1571</v>
      </c>
      <c r="E693" s="9" t="s">
        <v>1216</v>
      </c>
      <c r="F693" s="9" t="s">
        <v>1178</v>
      </c>
      <c r="G693" s="9" t="n">
        <v>2</v>
      </c>
    </row>
    <row r="694" customFormat="false" ht="15" hidden="false" customHeight="true" outlineLevel="0" collapsed="false">
      <c r="A694" s="9" t="s">
        <v>1950</v>
      </c>
      <c r="B694" s="9"/>
      <c r="C694" s="9" t="s">
        <v>1951</v>
      </c>
      <c r="D694" s="9" t="s">
        <v>1817</v>
      </c>
      <c r="E694" s="9" t="s">
        <v>1189</v>
      </c>
      <c r="F694" s="9" t="s">
        <v>1178</v>
      </c>
      <c r="G694" s="9"/>
    </row>
    <row r="695" customFormat="false" ht="15" hidden="false" customHeight="true" outlineLevel="0" collapsed="false">
      <c r="A695" s="9" t="s">
        <v>1952</v>
      </c>
      <c r="B695" s="9"/>
      <c r="C695" s="9" t="s">
        <v>1953</v>
      </c>
      <c r="D695" s="9" t="s">
        <v>1954</v>
      </c>
      <c r="E695" s="9" t="s">
        <v>1204</v>
      </c>
      <c r="F695" s="9" t="s">
        <v>1196</v>
      </c>
      <c r="G695" s="9" t="n">
        <v>2</v>
      </c>
    </row>
    <row r="696" customFormat="false" ht="15" hidden="false" customHeight="true" outlineLevel="0" collapsed="false">
      <c r="A696" s="9" t="s">
        <v>1952</v>
      </c>
      <c r="B696" s="9"/>
      <c r="C696" s="9" t="s">
        <v>1953</v>
      </c>
      <c r="D696" s="9" t="s">
        <v>1649</v>
      </c>
      <c r="E696" s="9" t="s">
        <v>1177</v>
      </c>
      <c r="F696" s="9" t="s">
        <v>1187</v>
      </c>
      <c r="G696" s="9" t="n">
        <v>2</v>
      </c>
    </row>
    <row r="697" customFormat="false" ht="15" hidden="false" customHeight="true" outlineLevel="0" collapsed="false">
      <c r="A697" s="9" t="s">
        <v>1952</v>
      </c>
      <c r="B697" s="9"/>
      <c r="C697" s="9" t="s">
        <v>1953</v>
      </c>
      <c r="D697" s="9" t="s">
        <v>1719</v>
      </c>
      <c r="E697" s="9" t="s">
        <v>1204</v>
      </c>
      <c r="F697" s="9" t="s">
        <v>1182</v>
      </c>
      <c r="G697" s="9" t="n">
        <v>4</v>
      </c>
    </row>
    <row r="698" customFormat="false" ht="15" hidden="false" customHeight="true" outlineLevel="0" collapsed="false">
      <c r="A698" s="9" t="s">
        <v>1955</v>
      </c>
      <c r="B698" s="9"/>
      <c r="C698" s="9" t="s">
        <v>1956</v>
      </c>
      <c r="D698" s="9" t="s">
        <v>1957</v>
      </c>
      <c r="E698" s="9" t="s">
        <v>1395</v>
      </c>
      <c r="F698" s="9" t="s">
        <v>1196</v>
      </c>
      <c r="G698" s="9" t="n">
        <v>2</v>
      </c>
    </row>
    <row r="699" customFormat="false" ht="15" hidden="false" customHeight="true" outlineLevel="0" collapsed="false">
      <c r="A699" s="9" t="s">
        <v>1955</v>
      </c>
      <c r="B699" s="9"/>
      <c r="C699" s="9" t="s">
        <v>1956</v>
      </c>
      <c r="D699" s="9" t="s">
        <v>1387</v>
      </c>
      <c r="E699" s="9" t="s">
        <v>1186</v>
      </c>
      <c r="F699" s="9" t="s">
        <v>1178</v>
      </c>
      <c r="G699" s="9" t="n">
        <v>2</v>
      </c>
    </row>
    <row r="700" customFormat="false" ht="15" hidden="false" customHeight="true" outlineLevel="0" collapsed="false">
      <c r="A700" s="9" t="s">
        <v>1955</v>
      </c>
      <c r="B700" s="9"/>
      <c r="C700" s="9" t="s">
        <v>1956</v>
      </c>
      <c r="D700" s="9" t="s">
        <v>1332</v>
      </c>
      <c r="E700" s="9" t="s">
        <v>1186</v>
      </c>
      <c r="F700" s="9" t="s">
        <v>1182</v>
      </c>
      <c r="G700" s="9" t="n">
        <v>2</v>
      </c>
    </row>
    <row r="701" customFormat="false" ht="15" hidden="false" customHeight="true" outlineLevel="0" collapsed="false">
      <c r="A701" s="9" t="s">
        <v>1955</v>
      </c>
      <c r="B701" s="9"/>
      <c r="C701" s="9" t="s">
        <v>1956</v>
      </c>
      <c r="D701" s="9" t="s">
        <v>1321</v>
      </c>
      <c r="E701" s="9" t="s">
        <v>1198</v>
      </c>
      <c r="F701" s="9" t="s">
        <v>1196</v>
      </c>
      <c r="G701" s="9" t="n">
        <v>2</v>
      </c>
    </row>
    <row r="702" customFormat="false" ht="15" hidden="false" customHeight="true" outlineLevel="0" collapsed="false">
      <c r="A702" s="9" t="s">
        <v>1955</v>
      </c>
      <c r="B702" s="9"/>
      <c r="C702" s="9" t="s">
        <v>1956</v>
      </c>
      <c r="D702" s="9" t="s">
        <v>1555</v>
      </c>
      <c r="E702" s="9" t="s">
        <v>1198</v>
      </c>
      <c r="F702" s="9" t="s">
        <v>1190</v>
      </c>
      <c r="G702" s="9" t="n">
        <v>2</v>
      </c>
    </row>
    <row r="703" customFormat="false" ht="15" hidden="false" customHeight="true" outlineLevel="0" collapsed="false">
      <c r="A703" s="9" t="s">
        <v>1955</v>
      </c>
      <c r="B703" s="9"/>
      <c r="C703" s="9" t="s">
        <v>1956</v>
      </c>
      <c r="D703" s="9" t="s">
        <v>1797</v>
      </c>
      <c r="E703" s="9" t="s">
        <v>1395</v>
      </c>
      <c r="F703" s="9" t="s">
        <v>1178</v>
      </c>
      <c r="G703" s="9" t="n">
        <v>2</v>
      </c>
    </row>
    <row r="704" customFormat="false" ht="15" hidden="false" customHeight="true" outlineLevel="0" collapsed="false">
      <c r="A704" s="9" t="s">
        <v>1958</v>
      </c>
      <c r="B704" s="9"/>
      <c r="C704" s="9" t="s">
        <v>1959</v>
      </c>
      <c r="D704" s="9" t="s">
        <v>1960</v>
      </c>
      <c r="E704" s="9" t="s">
        <v>1198</v>
      </c>
      <c r="F704" s="9" t="s">
        <v>1190</v>
      </c>
      <c r="G704" s="9" t="n">
        <v>4</v>
      </c>
    </row>
    <row r="705" customFormat="false" ht="15" hidden="false" customHeight="true" outlineLevel="0" collapsed="false">
      <c r="A705" s="9" t="s">
        <v>1961</v>
      </c>
      <c r="B705" s="9"/>
      <c r="C705" s="9" t="s">
        <v>1962</v>
      </c>
      <c r="D705" s="9" t="s">
        <v>1963</v>
      </c>
      <c r="E705" s="9" t="s">
        <v>1204</v>
      </c>
      <c r="F705" s="9" t="s">
        <v>1178</v>
      </c>
      <c r="G705" s="9" t="n">
        <v>3</v>
      </c>
    </row>
    <row r="706" customFormat="false" ht="15" hidden="false" customHeight="true" outlineLevel="0" collapsed="false">
      <c r="A706" s="9" t="s">
        <v>1961</v>
      </c>
      <c r="B706" s="9"/>
      <c r="C706" s="9" t="s">
        <v>1962</v>
      </c>
      <c r="D706" s="9" t="s">
        <v>1964</v>
      </c>
      <c r="E706" s="9" t="s">
        <v>1204</v>
      </c>
      <c r="F706" s="9" t="s">
        <v>1196</v>
      </c>
      <c r="G706" s="9" t="n">
        <v>2</v>
      </c>
    </row>
    <row r="707" customFormat="false" ht="15" hidden="false" customHeight="true" outlineLevel="0" collapsed="false">
      <c r="A707" s="9" t="s">
        <v>1961</v>
      </c>
      <c r="B707" s="9"/>
      <c r="C707" s="9" t="s">
        <v>1962</v>
      </c>
      <c r="D707" s="9" t="s">
        <v>1317</v>
      </c>
      <c r="E707" s="9" t="s">
        <v>1186</v>
      </c>
      <c r="F707" s="9" t="s">
        <v>1178</v>
      </c>
      <c r="G707" s="9" t="n">
        <v>3</v>
      </c>
    </row>
    <row r="708" customFormat="false" ht="15" hidden="false" customHeight="true" outlineLevel="0" collapsed="false">
      <c r="A708" s="9" t="s">
        <v>1961</v>
      </c>
      <c r="B708" s="9"/>
      <c r="C708" s="9" t="s">
        <v>1962</v>
      </c>
      <c r="D708" s="9" t="s">
        <v>1389</v>
      </c>
      <c r="E708" s="9" t="s">
        <v>1180</v>
      </c>
      <c r="F708" s="9" t="s">
        <v>1190</v>
      </c>
      <c r="G708" s="9" t="n">
        <v>3</v>
      </c>
    </row>
    <row r="709" customFormat="false" ht="15" hidden="false" customHeight="true" outlineLevel="0" collapsed="false">
      <c r="A709" s="9" t="s">
        <v>1961</v>
      </c>
      <c r="B709" s="9"/>
      <c r="C709" s="9" t="s">
        <v>1962</v>
      </c>
      <c r="D709" s="9" t="s">
        <v>1895</v>
      </c>
      <c r="E709" s="9" t="s">
        <v>1189</v>
      </c>
      <c r="F709" s="9" t="s">
        <v>1178</v>
      </c>
      <c r="G709" s="9" t="n">
        <v>2</v>
      </c>
    </row>
    <row r="710" customFormat="false" ht="15" hidden="false" customHeight="true" outlineLevel="0" collapsed="false">
      <c r="A710" s="9" t="s">
        <v>1961</v>
      </c>
      <c r="B710" s="9"/>
      <c r="C710" s="9" t="s">
        <v>1962</v>
      </c>
      <c r="D710" s="9" t="s">
        <v>1965</v>
      </c>
      <c r="E710" s="9" t="s">
        <v>1177</v>
      </c>
      <c r="F710" s="9" t="s">
        <v>1182</v>
      </c>
      <c r="G710" s="9" t="n">
        <v>6</v>
      </c>
    </row>
    <row r="711" customFormat="false" ht="15" hidden="false" customHeight="true" outlineLevel="0" collapsed="false">
      <c r="A711" s="9" t="s">
        <v>1966</v>
      </c>
      <c r="B711" s="9"/>
      <c r="C711" s="9" t="s">
        <v>1967</v>
      </c>
      <c r="D711" s="9" t="s">
        <v>1968</v>
      </c>
      <c r="E711" s="9" t="s">
        <v>1186</v>
      </c>
      <c r="F711" s="9" t="s">
        <v>1182</v>
      </c>
      <c r="G711" s="9" t="n">
        <v>3</v>
      </c>
    </row>
    <row r="712" customFormat="false" ht="15" hidden="false" customHeight="true" outlineLevel="0" collapsed="false">
      <c r="A712" s="9" t="s">
        <v>1966</v>
      </c>
      <c r="B712" s="9"/>
      <c r="C712" s="9" t="s">
        <v>1967</v>
      </c>
      <c r="D712" s="9" t="s">
        <v>1969</v>
      </c>
      <c r="E712" s="9" t="s">
        <v>1189</v>
      </c>
      <c r="F712" s="9" t="s">
        <v>1196</v>
      </c>
      <c r="G712" s="9"/>
    </row>
    <row r="713" customFormat="false" ht="15" hidden="false" customHeight="true" outlineLevel="0" collapsed="false">
      <c r="A713" s="9" t="s">
        <v>1966</v>
      </c>
      <c r="B713" s="9"/>
      <c r="C713" s="9" t="s">
        <v>1967</v>
      </c>
      <c r="D713" s="9" t="s">
        <v>1471</v>
      </c>
      <c r="E713" s="9" t="s">
        <v>1192</v>
      </c>
      <c r="F713" s="9" t="s">
        <v>1178</v>
      </c>
      <c r="G713" s="9" t="n">
        <v>3</v>
      </c>
    </row>
    <row r="714" customFormat="false" ht="15" hidden="false" customHeight="true" outlineLevel="0" collapsed="false">
      <c r="A714" s="9" t="s">
        <v>1966</v>
      </c>
      <c r="B714" s="9"/>
      <c r="C714" s="9" t="s">
        <v>1967</v>
      </c>
      <c r="D714" s="9" t="s">
        <v>1970</v>
      </c>
      <c r="E714" s="9" t="s">
        <v>1186</v>
      </c>
      <c r="F714" s="9" t="s">
        <v>1187</v>
      </c>
      <c r="G714" s="9" t="n">
        <v>2</v>
      </c>
    </row>
    <row r="715" customFormat="false" ht="15" hidden="false" customHeight="true" outlineLevel="0" collapsed="false">
      <c r="A715" s="9" t="s">
        <v>1971</v>
      </c>
      <c r="B715" s="9"/>
      <c r="C715" s="9" t="s">
        <v>1972</v>
      </c>
      <c r="D715" s="9" t="s">
        <v>1755</v>
      </c>
      <c r="E715" s="9" t="s">
        <v>1180</v>
      </c>
      <c r="F715" s="9" t="s">
        <v>1196</v>
      </c>
      <c r="G715" s="9" t="n">
        <v>3</v>
      </c>
    </row>
    <row r="716" customFormat="false" ht="15" hidden="false" customHeight="true" outlineLevel="0" collapsed="false">
      <c r="A716" s="9" t="s">
        <v>1973</v>
      </c>
      <c r="B716" s="9"/>
      <c r="C716" s="9" t="s">
        <v>1974</v>
      </c>
      <c r="D716" s="9" t="s">
        <v>1975</v>
      </c>
      <c r="E716" s="9" t="s">
        <v>1198</v>
      </c>
      <c r="F716" s="9" t="s">
        <v>1187</v>
      </c>
      <c r="G716" s="9" t="n">
        <v>3</v>
      </c>
    </row>
    <row r="717" customFormat="false" ht="15" hidden="false" customHeight="true" outlineLevel="0" collapsed="false">
      <c r="A717" s="9" t="s">
        <v>1973</v>
      </c>
      <c r="B717" s="9"/>
      <c r="C717" s="9" t="s">
        <v>1974</v>
      </c>
      <c r="D717" s="9" t="s">
        <v>1976</v>
      </c>
      <c r="E717" s="9" t="s">
        <v>1177</v>
      </c>
      <c r="F717" s="9" t="s">
        <v>1178</v>
      </c>
      <c r="G717" s="9" t="n">
        <v>2</v>
      </c>
    </row>
    <row r="718" customFormat="false" ht="15" hidden="false" customHeight="true" outlineLevel="0" collapsed="false">
      <c r="A718" s="9" t="s">
        <v>1973</v>
      </c>
      <c r="B718" s="9"/>
      <c r="C718" s="9" t="s">
        <v>1974</v>
      </c>
      <c r="D718" s="9" t="s">
        <v>1977</v>
      </c>
      <c r="E718" s="9" t="s">
        <v>1189</v>
      </c>
      <c r="F718" s="9" t="s">
        <v>1190</v>
      </c>
      <c r="G718" s="9" t="n">
        <v>2</v>
      </c>
    </row>
    <row r="719" customFormat="false" ht="15" hidden="false" customHeight="true" outlineLevel="0" collapsed="false">
      <c r="A719" s="9" t="s">
        <v>1973</v>
      </c>
      <c r="B719" s="9"/>
      <c r="C719" s="9" t="s">
        <v>1974</v>
      </c>
      <c r="D719" s="9" t="s">
        <v>1978</v>
      </c>
      <c r="E719" s="9" t="s">
        <v>1186</v>
      </c>
      <c r="F719" s="9" t="s">
        <v>1187</v>
      </c>
      <c r="G719" s="9" t="n">
        <v>2</v>
      </c>
    </row>
    <row r="720" customFormat="false" ht="15" hidden="false" customHeight="true" outlineLevel="0" collapsed="false">
      <c r="A720" s="9" t="s">
        <v>1979</v>
      </c>
      <c r="B720" s="9"/>
      <c r="C720" s="9" t="s">
        <v>1980</v>
      </c>
      <c r="D720" s="9" t="s">
        <v>1598</v>
      </c>
      <c r="E720" s="9" t="s">
        <v>1192</v>
      </c>
      <c r="F720" s="9" t="s">
        <v>1190</v>
      </c>
      <c r="G720" s="9" t="n">
        <v>3</v>
      </c>
    </row>
    <row r="721" customFormat="false" ht="15" hidden="false" customHeight="true" outlineLevel="0" collapsed="false">
      <c r="A721" s="9" t="s">
        <v>1981</v>
      </c>
      <c r="B721" s="9"/>
      <c r="C721" s="9" t="s">
        <v>1982</v>
      </c>
      <c r="D721" s="9" t="s">
        <v>1983</v>
      </c>
      <c r="E721" s="9" t="s">
        <v>1192</v>
      </c>
      <c r="F721" s="9" t="s">
        <v>1196</v>
      </c>
      <c r="G721" s="9" t="n">
        <v>2</v>
      </c>
    </row>
    <row r="722" customFormat="false" ht="15" hidden="false" customHeight="true" outlineLevel="0" collapsed="false">
      <c r="A722" s="9" t="s">
        <v>1981</v>
      </c>
      <c r="B722" s="9"/>
      <c r="C722" s="9" t="s">
        <v>1982</v>
      </c>
      <c r="D722" s="9" t="s">
        <v>1984</v>
      </c>
      <c r="E722" s="9" t="s">
        <v>1189</v>
      </c>
      <c r="F722" s="9" t="s">
        <v>1190</v>
      </c>
      <c r="G722" s="9" t="n">
        <v>3</v>
      </c>
    </row>
    <row r="723" customFormat="false" ht="15" hidden="false" customHeight="true" outlineLevel="0" collapsed="false">
      <c r="A723" s="9" t="s">
        <v>1981</v>
      </c>
      <c r="B723" s="9"/>
      <c r="C723" s="9" t="s">
        <v>1982</v>
      </c>
      <c r="D723" s="9" t="s">
        <v>1195</v>
      </c>
      <c r="E723" s="9" t="s">
        <v>1216</v>
      </c>
      <c r="F723" s="9" t="s">
        <v>1178</v>
      </c>
      <c r="G723" s="9" t="n">
        <v>3</v>
      </c>
    </row>
    <row r="724" customFormat="false" ht="15" hidden="false" customHeight="true" outlineLevel="0" collapsed="false">
      <c r="A724" s="9" t="s">
        <v>1981</v>
      </c>
      <c r="B724" s="9"/>
      <c r="C724" s="9" t="s">
        <v>1982</v>
      </c>
      <c r="D724" s="9" t="s">
        <v>1798</v>
      </c>
      <c r="E724" s="9" t="s">
        <v>1177</v>
      </c>
      <c r="F724" s="9" t="s">
        <v>1190</v>
      </c>
      <c r="G724" s="9" t="n">
        <v>3</v>
      </c>
    </row>
    <row r="725" customFormat="false" ht="15" hidden="false" customHeight="true" outlineLevel="0" collapsed="false">
      <c r="A725" s="9" t="s">
        <v>1981</v>
      </c>
      <c r="B725" s="9"/>
      <c r="C725" s="9" t="s">
        <v>1982</v>
      </c>
      <c r="D725" s="9" t="s">
        <v>1985</v>
      </c>
      <c r="E725" s="9" t="s">
        <v>1198</v>
      </c>
      <c r="F725" s="9" t="s">
        <v>1187</v>
      </c>
      <c r="G725" s="9" t="n">
        <v>3</v>
      </c>
    </row>
    <row r="726" customFormat="false" ht="15" hidden="false" customHeight="true" outlineLevel="0" collapsed="false">
      <c r="A726" s="9" t="s">
        <v>1981</v>
      </c>
      <c r="B726" s="9"/>
      <c r="C726" s="9" t="s">
        <v>1982</v>
      </c>
      <c r="D726" s="9" t="s">
        <v>1421</v>
      </c>
      <c r="E726" s="9" t="s">
        <v>1198</v>
      </c>
      <c r="F726" s="9" t="s">
        <v>1187</v>
      </c>
      <c r="G726" s="9" t="n">
        <v>2</v>
      </c>
    </row>
    <row r="727" customFormat="false" ht="15" hidden="false" customHeight="true" outlineLevel="0" collapsed="false">
      <c r="A727" s="9" t="s">
        <v>1986</v>
      </c>
      <c r="B727" s="9"/>
      <c r="C727" s="9" t="s">
        <v>1987</v>
      </c>
      <c r="D727" s="9" t="s">
        <v>1824</v>
      </c>
      <c r="E727" s="9" t="s">
        <v>1177</v>
      </c>
      <c r="F727" s="9" t="s">
        <v>1190</v>
      </c>
      <c r="G727" s="9" t="n">
        <v>3</v>
      </c>
    </row>
    <row r="728" customFormat="false" ht="15" hidden="false" customHeight="true" outlineLevel="0" collapsed="false">
      <c r="A728" s="9" t="s">
        <v>1988</v>
      </c>
      <c r="B728" s="9"/>
      <c r="C728" s="9" t="s">
        <v>1989</v>
      </c>
      <c r="D728" s="9" t="s">
        <v>1215</v>
      </c>
      <c r="E728" s="9" t="s">
        <v>1198</v>
      </c>
      <c r="F728" s="9" t="s">
        <v>1182</v>
      </c>
      <c r="G728" s="9" t="n">
        <v>3</v>
      </c>
    </row>
    <row r="729" customFormat="false" ht="15" hidden="false" customHeight="true" outlineLevel="0" collapsed="false">
      <c r="A729" s="9" t="s">
        <v>1988</v>
      </c>
      <c r="B729" s="9"/>
      <c r="C729" s="9" t="s">
        <v>1989</v>
      </c>
      <c r="D729" s="9" t="s">
        <v>1354</v>
      </c>
      <c r="E729" s="9" t="s">
        <v>1198</v>
      </c>
      <c r="F729" s="9" t="s">
        <v>1187</v>
      </c>
      <c r="G729" s="9" t="n">
        <v>6</v>
      </c>
    </row>
    <row r="730" customFormat="false" ht="15" hidden="false" customHeight="true" outlineLevel="0" collapsed="false">
      <c r="A730" s="9" t="s">
        <v>1988</v>
      </c>
      <c r="B730" s="9"/>
      <c r="C730" s="9" t="s">
        <v>1989</v>
      </c>
      <c r="D730" s="9" t="s">
        <v>1990</v>
      </c>
      <c r="E730" s="9" t="s">
        <v>1216</v>
      </c>
      <c r="F730" s="9" t="s">
        <v>1182</v>
      </c>
      <c r="G730" s="9" t="n">
        <v>3</v>
      </c>
    </row>
    <row r="731" customFormat="false" ht="15" hidden="false" customHeight="true" outlineLevel="0" collapsed="false">
      <c r="A731" s="9" t="s">
        <v>1988</v>
      </c>
      <c r="B731" s="9"/>
      <c r="C731" s="9" t="s">
        <v>1989</v>
      </c>
      <c r="D731" s="9" t="s">
        <v>1991</v>
      </c>
      <c r="E731" s="9" t="s">
        <v>1192</v>
      </c>
      <c r="F731" s="9" t="s">
        <v>1187</v>
      </c>
      <c r="G731" s="9" t="n">
        <v>3</v>
      </c>
    </row>
    <row r="732" customFormat="false" ht="15" hidden="false" customHeight="true" outlineLevel="0" collapsed="false">
      <c r="A732" s="9" t="s">
        <v>1988</v>
      </c>
      <c r="B732" s="9"/>
      <c r="C732" s="9" t="s">
        <v>1989</v>
      </c>
      <c r="D732" s="9" t="s">
        <v>1992</v>
      </c>
      <c r="E732" s="9" t="s">
        <v>1186</v>
      </c>
      <c r="F732" s="9" t="s">
        <v>1190</v>
      </c>
      <c r="G732" s="9" t="n">
        <v>3</v>
      </c>
    </row>
    <row r="733" customFormat="false" ht="15" hidden="false" customHeight="true" outlineLevel="0" collapsed="false">
      <c r="A733" s="9" t="s">
        <v>1988</v>
      </c>
      <c r="B733" s="9"/>
      <c r="C733" s="9" t="s">
        <v>1989</v>
      </c>
      <c r="D733" s="9" t="s">
        <v>1601</v>
      </c>
      <c r="E733" s="9" t="s">
        <v>1192</v>
      </c>
      <c r="F733" s="9" t="s">
        <v>1182</v>
      </c>
      <c r="G733" s="9" t="n">
        <v>4</v>
      </c>
    </row>
    <row r="734" customFormat="false" ht="15" hidden="false" customHeight="true" outlineLevel="0" collapsed="false">
      <c r="A734" s="9" t="s">
        <v>1988</v>
      </c>
      <c r="B734" s="9"/>
      <c r="C734" s="9" t="s">
        <v>1989</v>
      </c>
      <c r="D734" s="9" t="s">
        <v>1993</v>
      </c>
      <c r="E734" s="9" t="s">
        <v>1180</v>
      </c>
      <c r="F734" s="9" t="s">
        <v>1182</v>
      </c>
      <c r="G734" s="9" t="n">
        <v>2</v>
      </c>
    </row>
    <row r="735" customFormat="false" ht="15" hidden="false" customHeight="true" outlineLevel="0" collapsed="false">
      <c r="A735" s="9" t="s">
        <v>1988</v>
      </c>
      <c r="B735" s="9"/>
      <c r="C735" s="9" t="s">
        <v>1989</v>
      </c>
      <c r="D735" s="9" t="s">
        <v>1994</v>
      </c>
      <c r="E735" s="9" t="s">
        <v>1180</v>
      </c>
      <c r="F735" s="9" t="s">
        <v>1196</v>
      </c>
      <c r="G735" s="9" t="n">
        <v>2</v>
      </c>
    </row>
    <row r="736" customFormat="false" ht="15" hidden="false" customHeight="true" outlineLevel="0" collapsed="false">
      <c r="A736" s="9" t="s">
        <v>1995</v>
      </c>
      <c r="B736" s="9"/>
      <c r="C736" s="9" t="s">
        <v>1996</v>
      </c>
      <c r="D736" s="9" t="s">
        <v>1997</v>
      </c>
      <c r="E736" s="9" t="s">
        <v>1189</v>
      </c>
      <c r="F736" s="9" t="s">
        <v>1187</v>
      </c>
      <c r="G736" s="9" t="n">
        <v>2</v>
      </c>
    </row>
    <row r="737" customFormat="false" ht="15" hidden="false" customHeight="true" outlineLevel="0" collapsed="false">
      <c r="A737" s="9" t="s">
        <v>1995</v>
      </c>
      <c r="B737" s="9"/>
      <c r="C737" s="9" t="s">
        <v>1996</v>
      </c>
      <c r="D737" s="9" t="s">
        <v>1896</v>
      </c>
      <c r="E737" s="9" t="s">
        <v>1216</v>
      </c>
      <c r="F737" s="9" t="s">
        <v>1187</v>
      </c>
      <c r="G737" s="9" t="n">
        <v>2</v>
      </c>
    </row>
    <row r="738" customFormat="false" ht="15" hidden="false" customHeight="true" outlineLevel="0" collapsed="false">
      <c r="A738" s="9" t="s">
        <v>1995</v>
      </c>
      <c r="B738" s="9"/>
      <c r="C738" s="9" t="s">
        <v>1996</v>
      </c>
      <c r="D738" s="9" t="s">
        <v>1998</v>
      </c>
      <c r="E738" s="9" t="s">
        <v>1177</v>
      </c>
      <c r="F738" s="9" t="s">
        <v>1178</v>
      </c>
      <c r="G738" s="9" t="n">
        <v>3</v>
      </c>
    </row>
    <row r="739" customFormat="false" ht="15" hidden="false" customHeight="true" outlineLevel="0" collapsed="false">
      <c r="A739" s="9" t="s">
        <v>1995</v>
      </c>
      <c r="B739" s="9"/>
      <c r="C739" s="9" t="s">
        <v>1996</v>
      </c>
      <c r="D739" s="9" t="s">
        <v>1999</v>
      </c>
      <c r="E739" s="9" t="s">
        <v>1177</v>
      </c>
      <c r="F739" s="9" t="s">
        <v>1187</v>
      </c>
      <c r="G739" s="9" t="n">
        <v>3</v>
      </c>
    </row>
    <row r="740" customFormat="false" ht="15" hidden="false" customHeight="true" outlineLevel="0" collapsed="false">
      <c r="A740" s="9" t="s">
        <v>1995</v>
      </c>
      <c r="B740" s="9"/>
      <c r="C740" s="9" t="s">
        <v>1996</v>
      </c>
      <c r="D740" s="9" t="s">
        <v>1978</v>
      </c>
      <c r="E740" s="9" t="s">
        <v>1204</v>
      </c>
      <c r="F740" s="9" t="s">
        <v>1182</v>
      </c>
      <c r="G740" s="9" t="n">
        <v>2</v>
      </c>
    </row>
    <row r="741" customFormat="false" ht="15" hidden="false" customHeight="true" outlineLevel="0" collapsed="false">
      <c r="A741" s="9" t="s">
        <v>1995</v>
      </c>
      <c r="B741" s="9"/>
      <c r="C741" s="9" t="s">
        <v>1996</v>
      </c>
      <c r="D741" s="9" t="s">
        <v>1225</v>
      </c>
      <c r="E741" s="9" t="s">
        <v>1177</v>
      </c>
      <c r="F741" s="9" t="s">
        <v>1187</v>
      </c>
      <c r="G741" s="9" t="n">
        <v>5</v>
      </c>
    </row>
    <row r="742" customFormat="false" ht="15" hidden="false" customHeight="true" outlineLevel="0" collapsed="false">
      <c r="A742" s="9" t="s">
        <v>2000</v>
      </c>
      <c r="B742" s="9"/>
      <c r="C742" s="9" t="s">
        <v>2001</v>
      </c>
      <c r="D742" s="9" t="s">
        <v>2002</v>
      </c>
      <c r="E742" s="9" t="s">
        <v>1204</v>
      </c>
      <c r="F742" s="9" t="s">
        <v>1178</v>
      </c>
      <c r="G742" s="9" t="n">
        <v>2</v>
      </c>
    </row>
    <row r="743" customFormat="false" ht="15" hidden="false" customHeight="true" outlineLevel="0" collapsed="false">
      <c r="A743" s="9" t="s">
        <v>2000</v>
      </c>
      <c r="B743" s="9"/>
      <c r="C743" s="9" t="s">
        <v>2001</v>
      </c>
      <c r="D743" s="9" t="s">
        <v>2003</v>
      </c>
      <c r="E743" s="9" t="s">
        <v>1216</v>
      </c>
      <c r="F743" s="9" t="s">
        <v>1190</v>
      </c>
      <c r="G743" s="9" t="n">
        <v>5</v>
      </c>
    </row>
    <row r="744" customFormat="false" ht="15" hidden="false" customHeight="true" outlineLevel="0" collapsed="false">
      <c r="A744" s="9" t="s">
        <v>2000</v>
      </c>
      <c r="B744" s="9"/>
      <c r="C744" s="9" t="s">
        <v>2001</v>
      </c>
      <c r="D744" s="9" t="s">
        <v>2004</v>
      </c>
      <c r="E744" s="9" t="s">
        <v>1186</v>
      </c>
      <c r="F744" s="9" t="s">
        <v>1178</v>
      </c>
      <c r="G744" s="9" t="n">
        <v>2</v>
      </c>
    </row>
    <row r="745" customFormat="false" ht="15" hidden="false" customHeight="true" outlineLevel="0" collapsed="false">
      <c r="A745" s="9" t="s">
        <v>2005</v>
      </c>
      <c r="B745" s="9"/>
      <c r="C745" s="9" t="s">
        <v>2006</v>
      </c>
      <c r="D745" s="9" t="s">
        <v>1210</v>
      </c>
      <c r="E745" s="9" t="s">
        <v>1177</v>
      </c>
      <c r="F745" s="9" t="s">
        <v>1187</v>
      </c>
      <c r="G745" s="9" t="n">
        <v>3</v>
      </c>
    </row>
    <row r="746" customFormat="false" ht="15" hidden="false" customHeight="true" outlineLevel="0" collapsed="false">
      <c r="A746" s="9" t="s">
        <v>2005</v>
      </c>
      <c r="B746" s="9"/>
      <c r="C746" s="9" t="s">
        <v>2006</v>
      </c>
      <c r="D746" s="9" t="s">
        <v>2007</v>
      </c>
      <c r="E746" s="9" t="s">
        <v>1198</v>
      </c>
      <c r="F746" s="9" t="s">
        <v>1178</v>
      </c>
      <c r="G746" s="9" t="n">
        <v>2</v>
      </c>
    </row>
    <row r="747" customFormat="false" ht="15" hidden="false" customHeight="true" outlineLevel="0" collapsed="false">
      <c r="A747" s="9" t="s">
        <v>2005</v>
      </c>
      <c r="B747" s="9"/>
      <c r="C747" s="9" t="s">
        <v>2006</v>
      </c>
      <c r="D747" s="9" t="s">
        <v>2008</v>
      </c>
      <c r="E747" s="9" t="s">
        <v>1180</v>
      </c>
      <c r="F747" s="9" t="s">
        <v>1182</v>
      </c>
      <c r="G747" s="9" t="n">
        <v>2</v>
      </c>
    </row>
    <row r="748" customFormat="false" ht="15" hidden="false" customHeight="true" outlineLevel="0" collapsed="false">
      <c r="A748" s="9" t="s">
        <v>2005</v>
      </c>
      <c r="B748" s="9"/>
      <c r="C748" s="9" t="s">
        <v>2006</v>
      </c>
      <c r="D748" s="9" t="s">
        <v>1176</v>
      </c>
      <c r="E748" s="9" t="s">
        <v>1189</v>
      </c>
      <c r="F748" s="9" t="s">
        <v>1196</v>
      </c>
      <c r="G748" s="9" t="n">
        <v>3</v>
      </c>
    </row>
    <row r="749" customFormat="false" ht="15" hidden="false" customHeight="true" outlineLevel="0" collapsed="false">
      <c r="A749" s="9" t="s">
        <v>2005</v>
      </c>
      <c r="B749" s="9"/>
      <c r="C749" s="9" t="s">
        <v>2006</v>
      </c>
      <c r="D749" s="9" t="s">
        <v>1671</v>
      </c>
      <c r="E749" s="9" t="s">
        <v>1186</v>
      </c>
      <c r="F749" s="9" t="s">
        <v>1178</v>
      </c>
      <c r="G749" s="9" t="n">
        <v>6</v>
      </c>
    </row>
    <row r="750" customFormat="false" ht="15" hidden="false" customHeight="true" outlineLevel="0" collapsed="false">
      <c r="A750" s="9" t="s">
        <v>2009</v>
      </c>
      <c r="B750" s="9"/>
      <c r="C750" s="9" t="s">
        <v>2010</v>
      </c>
      <c r="D750" s="9" t="s">
        <v>1697</v>
      </c>
      <c r="E750" s="9" t="s">
        <v>1204</v>
      </c>
      <c r="F750" s="9" t="s">
        <v>1190</v>
      </c>
      <c r="G750" s="9" t="n">
        <v>2</v>
      </c>
    </row>
    <row r="751" customFormat="false" ht="15" hidden="false" customHeight="true" outlineLevel="0" collapsed="false">
      <c r="A751" s="9" t="s">
        <v>2009</v>
      </c>
      <c r="B751" s="9"/>
      <c r="C751" s="9" t="s">
        <v>2010</v>
      </c>
      <c r="D751" s="9" t="s">
        <v>1256</v>
      </c>
      <c r="E751" s="9" t="s">
        <v>1177</v>
      </c>
      <c r="F751" s="9" t="s">
        <v>1182</v>
      </c>
      <c r="G751" s="9" t="n">
        <v>5</v>
      </c>
    </row>
    <row r="752" customFormat="false" ht="15" hidden="false" customHeight="true" outlineLevel="0" collapsed="false">
      <c r="A752" s="9" t="s">
        <v>2009</v>
      </c>
      <c r="B752" s="9"/>
      <c r="C752" s="9" t="s">
        <v>2010</v>
      </c>
      <c r="D752" s="9" t="s">
        <v>2011</v>
      </c>
      <c r="E752" s="9" t="s">
        <v>1198</v>
      </c>
      <c r="F752" s="9" t="s">
        <v>1187</v>
      </c>
      <c r="G752" s="9" t="n">
        <v>2</v>
      </c>
    </row>
    <row r="753" customFormat="false" ht="15" hidden="false" customHeight="true" outlineLevel="0" collapsed="false">
      <c r="A753" s="9" t="s">
        <v>2009</v>
      </c>
      <c r="B753" s="9"/>
      <c r="C753" s="9" t="s">
        <v>2010</v>
      </c>
      <c r="D753" s="9" t="s">
        <v>1661</v>
      </c>
      <c r="E753" s="9" t="s">
        <v>1189</v>
      </c>
      <c r="F753" s="9" t="s">
        <v>1187</v>
      </c>
      <c r="G753" s="9" t="n">
        <v>6</v>
      </c>
    </row>
    <row r="754" customFormat="false" ht="15" hidden="false" customHeight="true" outlineLevel="0" collapsed="false">
      <c r="A754" s="9" t="s">
        <v>2012</v>
      </c>
      <c r="B754" s="9"/>
      <c r="C754" s="9" t="s">
        <v>2013</v>
      </c>
      <c r="D754" s="9" t="s">
        <v>1211</v>
      </c>
      <c r="E754" s="9" t="s">
        <v>1186</v>
      </c>
      <c r="F754" s="9" t="s">
        <v>1182</v>
      </c>
      <c r="G754" s="9" t="n">
        <v>2</v>
      </c>
    </row>
    <row r="755" customFormat="false" ht="15" hidden="false" customHeight="true" outlineLevel="0" collapsed="false">
      <c r="A755" s="9" t="s">
        <v>2014</v>
      </c>
      <c r="B755" s="9"/>
      <c r="C755" s="9" t="s">
        <v>1932</v>
      </c>
      <c r="D755" s="9" t="s">
        <v>2015</v>
      </c>
      <c r="E755" s="9" t="s">
        <v>1189</v>
      </c>
      <c r="F755" s="9" t="s">
        <v>1182</v>
      </c>
      <c r="G755" s="9" t="n">
        <v>3</v>
      </c>
    </row>
    <row r="756" customFormat="false" ht="15" hidden="false" customHeight="true" outlineLevel="0" collapsed="false">
      <c r="A756" s="9" t="s">
        <v>2016</v>
      </c>
      <c r="B756" s="9"/>
      <c r="C756" s="9" t="s">
        <v>2017</v>
      </c>
      <c r="D756" s="9" t="s">
        <v>1616</v>
      </c>
      <c r="E756" s="9" t="s">
        <v>1395</v>
      </c>
      <c r="F756" s="9" t="s">
        <v>1187</v>
      </c>
      <c r="G756" s="9" t="n">
        <v>2</v>
      </c>
    </row>
    <row r="757" customFormat="false" ht="15" hidden="false" customHeight="true" outlineLevel="0" collapsed="false">
      <c r="A757" s="9" t="s">
        <v>2016</v>
      </c>
      <c r="B757" s="9"/>
      <c r="C757" s="9" t="s">
        <v>2017</v>
      </c>
      <c r="D757" s="9" t="s">
        <v>1600</v>
      </c>
      <c r="E757" s="9" t="s">
        <v>1198</v>
      </c>
      <c r="F757" s="9" t="s">
        <v>1190</v>
      </c>
      <c r="G757" s="9" t="n">
        <v>2</v>
      </c>
    </row>
    <row r="758" customFormat="false" ht="15" hidden="false" customHeight="true" outlineLevel="0" collapsed="false">
      <c r="A758" s="9" t="s">
        <v>2016</v>
      </c>
      <c r="B758" s="9"/>
      <c r="C758" s="9" t="s">
        <v>2017</v>
      </c>
      <c r="D758" s="9" t="s">
        <v>1896</v>
      </c>
      <c r="E758" s="9" t="s">
        <v>1192</v>
      </c>
      <c r="F758" s="9" t="s">
        <v>1190</v>
      </c>
      <c r="G758" s="9" t="n">
        <v>2</v>
      </c>
    </row>
    <row r="759" customFormat="false" ht="15" hidden="false" customHeight="true" outlineLevel="0" collapsed="false">
      <c r="A759" s="9" t="s">
        <v>2018</v>
      </c>
      <c r="B759" s="9"/>
      <c r="C759" s="9" t="s">
        <v>2019</v>
      </c>
      <c r="D759" s="9" t="s">
        <v>2020</v>
      </c>
      <c r="E759" s="9" t="s">
        <v>1192</v>
      </c>
      <c r="F759" s="9" t="s">
        <v>1182</v>
      </c>
      <c r="G759" s="9" t="n">
        <v>3</v>
      </c>
    </row>
    <row r="760" customFormat="false" ht="15" hidden="false" customHeight="true" outlineLevel="0" collapsed="false">
      <c r="A760" s="9" t="s">
        <v>2018</v>
      </c>
      <c r="B760" s="9"/>
      <c r="C760" s="9" t="s">
        <v>2019</v>
      </c>
      <c r="D760" s="9" t="s">
        <v>1340</v>
      </c>
      <c r="E760" s="9" t="s">
        <v>1204</v>
      </c>
      <c r="F760" s="9" t="s">
        <v>1187</v>
      </c>
      <c r="G760" s="9" t="n">
        <v>4</v>
      </c>
    </row>
    <row r="761" customFormat="false" ht="15" hidden="false" customHeight="true" outlineLevel="0" collapsed="false">
      <c r="A761" s="9" t="s">
        <v>2018</v>
      </c>
      <c r="B761" s="9"/>
      <c r="C761" s="9" t="s">
        <v>2019</v>
      </c>
      <c r="D761" s="9" t="s">
        <v>2021</v>
      </c>
      <c r="E761" s="9" t="s">
        <v>1216</v>
      </c>
      <c r="F761" s="9" t="s">
        <v>1182</v>
      </c>
      <c r="G761" s="9" t="n">
        <v>3</v>
      </c>
    </row>
    <row r="762" customFormat="false" ht="15" hidden="false" customHeight="true" outlineLevel="0" collapsed="false">
      <c r="A762" s="9" t="s">
        <v>2022</v>
      </c>
      <c r="B762" s="9"/>
      <c r="C762" s="9" t="s">
        <v>2023</v>
      </c>
      <c r="D762" s="9" t="s">
        <v>1433</v>
      </c>
      <c r="E762" s="9" t="s">
        <v>1177</v>
      </c>
      <c r="F762" s="9" t="s">
        <v>1196</v>
      </c>
      <c r="G762" s="9" t="n">
        <v>3</v>
      </c>
    </row>
    <row r="763" customFormat="false" ht="15" hidden="false" customHeight="true" outlineLevel="0" collapsed="false">
      <c r="A763" s="9" t="s">
        <v>2022</v>
      </c>
      <c r="B763" s="9"/>
      <c r="C763" s="9" t="s">
        <v>2023</v>
      </c>
      <c r="D763" s="9" t="s">
        <v>2024</v>
      </c>
      <c r="E763" s="9" t="s">
        <v>1192</v>
      </c>
      <c r="F763" s="9" t="s">
        <v>1187</v>
      </c>
      <c r="G763" s="9" t="n">
        <v>2</v>
      </c>
    </row>
    <row r="764" customFormat="false" ht="15" hidden="false" customHeight="true" outlineLevel="0" collapsed="false">
      <c r="A764" s="9" t="s">
        <v>2025</v>
      </c>
      <c r="B764" s="9"/>
      <c r="C764" s="9" t="s">
        <v>2026</v>
      </c>
      <c r="D764" s="9" t="s">
        <v>1832</v>
      </c>
      <c r="E764" s="9" t="s">
        <v>1180</v>
      </c>
      <c r="F764" s="9" t="s">
        <v>1178</v>
      </c>
      <c r="G764" s="9" t="n">
        <v>2</v>
      </c>
    </row>
    <row r="765" customFormat="false" ht="15" hidden="false" customHeight="true" outlineLevel="0" collapsed="false">
      <c r="A765" s="9" t="s">
        <v>2025</v>
      </c>
      <c r="B765" s="9"/>
      <c r="C765" s="9" t="s">
        <v>2026</v>
      </c>
      <c r="D765" s="9" t="s">
        <v>1881</v>
      </c>
      <c r="E765" s="9" t="s">
        <v>1192</v>
      </c>
      <c r="F765" s="9" t="s">
        <v>1187</v>
      </c>
      <c r="G765" s="9" t="n">
        <v>3</v>
      </c>
    </row>
    <row r="766" customFormat="false" ht="15" hidden="false" customHeight="true" outlineLevel="0" collapsed="false">
      <c r="A766" s="9" t="s">
        <v>2025</v>
      </c>
      <c r="B766" s="9"/>
      <c r="C766" s="9" t="s">
        <v>2026</v>
      </c>
      <c r="D766" s="9" t="s">
        <v>1698</v>
      </c>
      <c r="E766" s="9" t="s">
        <v>1186</v>
      </c>
      <c r="F766" s="9" t="s">
        <v>1178</v>
      </c>
      <c r="G766" s="9" t="n">
        <v>4</v>
      </c>
    </row>
    <row r="767" customFormat="false" ht="15" hidden="false" customHeight="true" outlineLevel="0" collapsed="false">
      <c r="A767" s="9" t="s">
        <v>2025</v>
      </c>
      <c r="B767" s="9"/>
      <c r="C767" s="9" t="s">
        <v>2026</v>
      </c>
      <c r="D767" s="9" t="s">
        <v>1627</v>
      </c>
      <c r="E767" s="9" t="s">
        <v>1180</v>
      </c>
      <c r="F767" s="9" t="s">
        <v>1178</v>
      </c>
      <c r="G767" s="9" t="n">
        <v>3</v>
      </c>
    </row>
    <row r="768" customFormat="false" ht="15" hidden="false" customHeight="true" outlineLevel="0" collapsed="false">
      <c r="A768" s="9" t="s">
        <v>2025</v>
      </c>
      <c r="B768" s="9"/>
      <c r="C768" s="9" t="s">
        <v>2026</v>
      </c>
      <c r="D768" s="9" t="s">
        <v>1514</v>
      </c>
      <c r="E768" s="9" t="s">
        <v>1479</v>
      </c>
      <c r="F768" s="9" t="s">
        <v>1182</v>
      </c>
      <c r="G768" s="9" t="n">
        <v>5</v>
      </c>
    </row>
    <row r="769" customFormat="false" ht="15" hidden="false" customHeight="true" outlineLevel="0" collapsed="false">
      <c r="A769" s="9" t="s">
        <v>2027</v>
      </c>
      <c r="B769" s="9"/>
      <c r="C769" s="9" t="s">
        <v>2028</v>
      </c>
      <c r="D769" s="9" t="s">
        <v>2029</v>
      </c>
      <c r="E769" s="9" t="s">
        <v>1189</v>
      </c>
      <c r="F769" s="9" t="s">
        <v>1196</v>
      </c>
      <c r="G769" s="9" t="n">
        <v>3</v>
      </c>
    </row>
    <row r="770" customFormat="false" ht="15" hidden="false" customHeight="true" outlineLevel="0" collapsed="false">
      <c r="A770" s="9" t="s">
        <v>2027</v>
      </c>
      <c r="B770" s="9"/>
      <c r="C770" s="9" t="s">
        <v>2028</v>
      </c>
      <c r="D770" s="9" t="s">
        <v>2030</v>
      </c>
      <c r="E770" s="9" t="s">
        <v>1177</v>
      </c>
      <c r="F770" s="9" t="s">
        <v>1178</v>
      </c>
      <c r="G770" s="9" t="n">
        <v>4</v>
      </c>
    </row>
    <row r="771" customFormat="false" ht="15" hidden="false" customHeight="true" outlineLevel="0" collapsed="false">
      <c r="A771" s="9" t="s">
        <v>2027</v>
      </c>
      <c r="B771" s="9"/>
      <c r="C771" s="9" t="s">
        <v>2028</v>
      </c>
      <c r="D771" s="9" t="s">
        <v>1220</v>
      </c>
      <c r="E771" s="9" t="s">
        <v>1177</v>
      </c>
      <c r="F771" s="9" t="s">
        <v>1190</v>
      </c>
      <c r="G771" s="9" t="n">
        <v>2</v>
      </c>
    </row>
    <row r="772" customFormat="false" ht="15" hidden="false" customHeight="true" outlineLevel="0" collapsed="false">
      <c r="A772" s="9" t="s">
        <v>2031</v>
      </c>
      <c r="B772" s="9"/>
      <c r="C772" s="9" t="s">
        <v>2032</v>
      </c>
      <c r="D772" s="9" t="s">
        <v>2033</v>
      </c>
      <c r="E772" s="9" t="s">
        <v>1204</v>
      </c>
      <c r="F772" s="9" t="s">
        <v>1182</v>
      </c>
      <c r="G772" s="9" t="n">
        <v>2</v>
      </c>
    </row>
    <row r="773" customFormat="false" ht="15" hidden="false" customHeight="true" outlineLevel="0" collapsed="false">
      <c r="A773" s="9" t="s">
        <v>2034</v>
      </c>
      <c r="B773" s="9"/>
      <c r="C773" s="9" t="s">
        <v>2035</v>
      </c>
      <c r="D773" s="9" t="s">
        <v>1750</v>
      </c>
      <c r="E773" s="9" t="s">
        <v>1192</v>
      </c>
      <c r="F773" s="9" t="s">
        <v>1196</v>
      </c>
      <c r="G773" s="9" t="n">
        <v>3</v>
      </c>
    </row>
    <row r="774" customFormat="false" ht="15" hidden="false" customHeight="true" outlineLevel="0" collapsed="false">
      <c r="A774" s="9" t="s">
        <v>2034</v>
      </c>
      <c r="B774" s="9"/>
      <c r="C774" s="9" t="s">
        <v>2035</v>
      </c>
      <c r="D774" s="9" t="s">
        <v>1315</v>
      </c>
      <c r="E774" s="9" t="s">
        <v>1216</v>
      </c>
      <c r="F774" s="9" t="s">
        <v>1182</v>
      </c>
      <c r="G774" s="9" t="n">
        <v>3</v>
      </c>
    </row>
    <row r="775" customFormat="false" ht="15" hidden="false" customHeight="true" outlineLevel="0" collapsed="false">
      <c r="A775" s="9" t="s">
        <v>2034</v>
      </c>
      <c r="B775" s="9"/>
      <c r="C775" s="9" t="s">
        <v>2035</v>
      </c>
      <c r="D775" s="9" t="s">
        <v>2003</v>
      </c>
      <c r="E775" s="9" t="s">
        <v>1180</v>
      </c>
      <c r="F775" s="9" t="s">
        <v>1190</v>
      </c>
      <c r="G775" s="9" t="n">
        <v>4</v>
      </c>
    </row>
    <row r="776" customFormat="false" ht="15" hidden="false" customHeight="true" outlineLevel="0" collapsed="false">
      <c r="A776" s="9" t="s">
        <v>2034</v>
      </c>
      <c r="B776" s="9"/>
      <c r="C776" s="9" t="s">
        <v>2035</v>
      </c>
      <c r="D776" s="9" t="s">
        <v>1564</v>
      </c>
      <c r="E776" s="9" t="s">
        <v>1180</v>
      </c>
      <c r="F776" s="9" t="s">
        <v>1187</v>
      </c>
      <c r="G776" s="9" t="n">
        <v>2</v>
      </c>
    </row>
    <row r="777" customFormat="false" ht="15" hidden="false" customHeight="true" outlineLevel="0" collapsed="false">
      <c r="A777" s="9" t="s">
        <v>2034</v>
      </c>
      <c r="B777" s="9"/>
      <c r="C777" s="9" t="s">
        <v>2035</v>
      </c>
      <c r="D777" s="9" t="s">
        <v>1484</v>
      </c>
      <c r="E777" s="9" t="s">
        <v>1204</v>
      </c>
      <c r="F777" s="9" t="s">
        <v>1187</v>
      </c>
      <c r="G777" s="9" t="n">
        <v>3</v>
      </c>
    </row>
    <row r="778" customFormat="false" ht="15" hidden="false" customHeight="true" outlineLevel="0" collapsed="false">
      <c r="A778" s="9" t="s">
        <v>2034</v>
      </c>
      <c r="B778" s="9"/>
      <c r="C778" s="9" t="s">
        <v>2035</v>
      </c>
      <c r="D778" s="9" t="s">
        <v>1730</v>
      </c>
      <c r="E778" s="9" t="s">
        <v>1192</v>
      </c>
      <c r="F778" s="9" t="s">
        <v>1196</v>
      </c>
      <c r="G778" s="9" t="n">
        <v>4</v>
      </c>
    </row>
    <row r="779" customFormat="false" ht="15" hidden="false" customHeight="true" outlineLevel="0" collapsed="false">
      <c r="A779" s="9" t="s">
        <v>2036</v>
      </c>
      <c r="B779" s="9"/>
      <c r="C779" s="9" t="s">
        <v>1529</v>
      </c>
      <c r="D779" s="9" t="s">
        <v>2037</v>
      </c>
      <c r="E779" s="9" t="s">
        <v>1216</v>
      </c>
      <c r="F779" s="9" t="s">
        <v>1182</v>
      </c>
      <c r="G779" s="9" t="n">
        <v>2</v>
      </c>
    </row>
    <row r="780" customFormat="false" ht="15" hidden="false" customHeight="true" outlineLevel="0" collapsed="false">
      <c r="A780" s="9" t="s">
        <v>2036</v>
      </c>
      <c r="B780" s="9"/>
      <c r="C780" s="9" t="s">
        <v>1529</v>
      </c>
      <c r="D780" s="9" t="s">
        <v>1181</v>
      </c>
      <c r="E780" s="9" t="s">
        <v>1189</v>
      </c>
      <c r="F780" s="9" t="s">
        <v>1182</v>
      </c>
      <c r="G780" s="9" t="n">
        <v>2</v>
      </c>
    </row>
    <row r="781" customFormat="false" ht="15" hidden="false" customHeight="true" outlineLevel="0" collapsed="false">
      <c r="A781" s="9" t="s">
        <v>2036</v>
      </c>
      <c r="B781" s="9"/>
      <c r="C781" s="9" t="s">
        <v>1529</v>
      </c>
      <c r="D781" s="9" t="s">
        <v>1254</v>
      </c>
      <c r="E781" s="9" t="s">
        <v>1192</v>
      </c>
      <c r="F781" s="9" t="s">
        <v>1190</v>
      </c>
      <c r="G781" s="9" t="n">
        <v>3</v>
      </c>
    </row>
    <row r="782" customFormat="false" ht="15" hidden="false" customHeight="true" outlineLevel="0" collapsed="false">
      <c r="A782" s="9" t="s">
        <v>2038</v>
      </c>
      <c r="B782" s="9"/>
      <c r="C782" s="9" t="s">
        <v>2039</v>
      </c>
      <c r="D782" s="9" t="s">
        <v>2040</v>
      </c>
      <c r="E782" s="9" t="s">
        <v>1189</v>
      </c>
      <c r="F782" s="9" t="s">
        <v>1196</v>
      </c>
      <c r="G782" s="9" t="n">
        <v>2</v>
      </c>
    </row>
    <row r="783" customFormat="false" ht="15" hidden="false" customHeight="true" outlineLevel="0" collapsed="false">
      <c r="A783" s="9" t="s">
        <v>2041</v>
      </c>
      <c r="B783" s="9"/>
      <c r="C783" s="9" t="s">
        <v>2042</v>
      </c>
      <c r="D783" s="9" t="s">
        <v>1821</v>
      </c>
      <c r="E783" s="9" t="s">
        <v>1192</v>
      </c>
      <c r="F783" s="9" t="s">
        <v>1178</v>
      </c>
      <c r="G783" s="9" t="n">
        <v>2</v>
      </c>
    </row>
    <row r="784" customFormat="false" ht="15" hidden="false" customHeight="true" outlineLevel="0" collapsed="false">
      <c r="A784" s="9" t="s">
        <v>2041</v>
      </c>
      <c r="B784" s="9"/>
      <c r="C784" s="9" t="s">
        <v>2042</v>
      </c>
      <c r="D784" s="9" t="s">
        <v>2043</v>
      </c>
      <c r="E784" s="9" t="s">
        <v>1216</v>
      </c>
      <c r="F784" s="9" t="s">
        <v>1187</v>
      </c>
      <c r="G784" s="9" t="n">
        <v>5</v>
      </c>
    </row>
    <row r="785" customFormat="false" ht="15" hidden="false" customHeight="true" outlineLevel="0" collapsed="false">
      <c r="A785" s="9" t="s">
        <v>2041</v>
      </c>
      <c r="B785" s="9"/>
      <c r="C785" s="9" t="s">
        <v>2042</v>
      </c>
      <c r="D785" s="9" t="s">
        <v>1330</v>
      </c>
      <c r="E785" s="9" t="s">
        <v>1177</v>
      </c>
      <c r="F785" s="9" t="s">
        <v>1182</v>
      </c>
      <c r="G785" s="9" t="n">
        <v>3</v>
      </c>
    </row>
    <row r="786" customFormat="false" ht="15" hidden="false" customHeight="true" outlineLevel="0" collapsed="false">
      <c r="A786" s="9" t="s">
        <v>2044</v>
      </c>
      <c r="B786" s="9"/>
      <c r="C786" s="9" t="s">
        <v>2045</v>
      </c>
      <c r="D786" s="9" t="s">
        <v>2046</v>
      </c>
      <c r="E786" s="9" t="s">
        <v>1177</v>
      </c>
      <c r="F786" s="9" t="s">
        <v>1187</v>
      </c>
      <c r="G786" s="9" t="n">
        <v>2</v>
      </c>
    </row>
    <row r="787" customFormat="false" ht="15" hidden="false" customHeight="true" outlineLevel="0" collapsed="false">
      <c r="A787" s="9" t="s">
        <v>2047</v>
      </c>
      <c r="B787" s="9"/>
      <c r="C787" s="9" t="s">
        <v>2048</v>
      </c>
      <c r="D787" s="9" t="s">
        <v>2049</v>
      </c>
      <c r="E787" s="9" t="s">
        <v>1177</v>
      </c>
      <c r="F787" s="9" t="s">
        <v>1190</v>
      </c>
      <c r="G787" s="9" t="n">
        <v>2</v>
      </c>
    </row>
    <row r="788" customFormat="false" ht="15" hidden="false" customHeight="true" outlineLevel="0" collapsed="false">
      <c r="A788" s="9" t="s">
        <v>2047</v>
      </c>
      <c r="B788" s="9"/>
      <c r="C788" s="9" t="s">
        <v>2048</v>
      </c>
      <c r="D788" s="9" t="s">
        <v>1667</v>
      </c>
      <c r="E788" s="9" t="s">
        <v>1186</v>
      </c>
      <c r="F788" s="9" t="s">
        <v>1190</v>
      </c>
      <c r="G788" s="9" t="n">
        <v>2</v>
      </c>
    </row>
    <row r="789" customFormat="false" ht="15" hidden="false" customHeight="true" outlineLevel="0" collapsed="false">
      <c r="A789" s="9" t="s">
        <v>2047</v>
      </c>
      <c r="B789" s="9"/>
      <c r="C789" s="9" t="s">
        <v>2048</v>
      </c>
      <c r="D789" s="9" t="s">
        <v>2050</v>
      </c>
      <c r="E789" s="9" t="s">
        <v>1180</v>
      </c>
      <c r="F789" s="9" t="s">
        <v>1178</v>
      </c>
      <c r="G789" s="9" t="n">
        <v>2</v>
      </c>
    </row>
    <row r="790" customFormat="false" ht="15" hidden="false" customHeight="true" outlineLevel="0" collapsed="false">
      <c r="A790" s="9" t="s">
        <v>2051</v>
      </c>
      <c r="B790" s="9"/>
      <c r="C790" s="9" t="s">
        <v>2052</v>
      </c>
      <c r="D790" s="9" t="s">
        <v>1233</v>
      </c>
      <c r="E790" s="9" t="s">
        <v>1177</v>
      </c>
      <c r="F790" s="9" t="s">
        <v>1196</v>
      </c>
      <c r="G790" s="9" t="n">
        <v>2</v>
      </c>
    </row>
    <row r="791" customFormat="false" ht="15" hidden="false" customHeight="true" outlineLevel="0" collapsed="false">
      <c r="A791" s="9" t="s">
        <v>2051</v>
      </c>
      <c r="B791" s="9"/>
      <c r="C791" s="9" t="s">
        <v>2052</v>
      </c>
      <c r="D791" s="9" t="s">
        <v>2053</v>
      </c>
      <c r="E791" s="9" t="s">
        <v>1192</v>
      </c>
      <c r="F791" s="9" t="s">
        <v>1196</v>
      </c>
      <c r="G791" s="9" t="n">
        <v>4</v>
      </c>
    </row>
    <row r="792" customFormat="false" ht="15" hidden="false" customHeight="true" outlineLevel="0" collapsed="false">
      <c r="A792" s="9" t="s">
        <v>2051</v>
      </c>
      <c r="B792" s="9"/>
      <c r="C792" s="9" t="s">
        <v>2052</v>
      </c>
      <c r="D792" s="9" t="s">
        <v>1759</v>
      </c>
      <c r="E792" s="9" t="s">
        <v>1204</v>
      </c>
      <c r="F792" s="9" t="s">
        <v>1178</v>
      </c>
      <c r="G792" s="9" t="n">
        <v>2</v>
      </c>
    </row>
    <row r="793" customFormat="false" ht="15" hidden="false" customHeight="true" outlineLevel="0" collapsed="false">
      <c r="A793" s="9" t="s">
        <v>2054</v>
      </c>
      <c r="B793" s="9"/>
      <c r="C793" s="9" t="s">
        <v>2055</v>
      </c>
      <c r="D793" s="9" t="s">
        <v>2056</v>
      </c>
      <c r="E793" s="9" t="s">
        <v>1177</v>
      </c>
      <c r="F793" s="9" t="s">
        <v>1190</v>
      </c>
      <c r="G793" s="9" t="n">
        <v>3</v>
      </c>
    </row>
    <row r="794" customFormat="false" ht="15" hidden="false" customHeight="true" outlineLevel="0" collapsed="false">
      <c r="A794" s="9" t="s">
        <v>2054</v>
      </c>
      <c r="B794" s="9"/>
      <c r="C794" s="9" t="s">
        <v>2055</v>
      </c>
      <c r="D794" s="9" t="s">
        <v>2057</v>
      </c>
      <c r="E794" s="9" t="s">
        <v>1177</v>
      </c>
      <c r="F794" s="9" t="s">
        <v>1196</v>
      </c>
      <c r="G794" s="9" t="n">
        <v>3</v>
      </c>
    </row>
    <row r="795" customFormat="false" ht="15" hidden="false" customHeight="true" outlineLevel="0" collapsed="false">
      <c r="A795" s="9" t="s">
        <v>2054</v>
      </c>
      <c r="B795" s="9"/>
      <c r="C795" s="9" t="s">
        <v>2055</v>
      </c>
      <c r="D795" s="9" t="s">
        <v>2058</v>
      </c>
      <c r="E795" s="9" t="s">
        <v>1177</v>
      </c>
      <c r="F795" s="9" t="s">
        <v>1178</v>
      </c>
      <c r="G795" s="9" t="n">
        <v>4</v>
      </c>
    </row>
    <row r="796" customFormat="false" ht="15" hidden="false" customHeight="true" outlineLevel="0" collapsed="false">
      <c r="A796" s="9" t="s">
        <v>2054</v>
      </c>
      <c r="B796" s="9"/>
      <c r="C796" s="9" t="s">
        <v>2055</v>
      </c>
      <c r="D796" s="9" t="s">
        <v>1658</v>
      </c>
      <c r="E796" s="9" t="s">
        <v>1192</v>
      </c>
      <c r="F796" s="9" t="s">
        <v>1178</v>
      </c>
      <c r="G796" s="9" t="n">
        <v>2</v>
      </c>
    </row>
    <row r="797" customFormat="false" ht="15" hidden="false" customHeight="true" outlineLevel="0" collapsed="false">
      <c r="A797" s="9" t="s">
        <v>2054</v>
      </c>
      <c r="B797" s="9"/>
      <c r="C797" s="9" t="s">
        <v>2055</v>
      </c>
      <c r="D797" s="9" t="s">
        <v>1317</v>
      </c>
      <c r="E797" s="9" t="s">
        <v>1204</v>
      </c>
      <c r="F797" s="9" t="s">
        <v>1182</v>
      </c>
      <c r="G797" s="9" t="n">
        <v>3</v>
      </c>
    </row>
    <row r="798" customFormat="false" ht="15" hidden="false" customHeight="true" outlineLevel="0" collapsed="false">
      <c r="A798" s="9" t="s">
        <v>2054</v>
      </c>
      <c r="B798" s="9"/>
      <c r="C798" s="9" t="s">
        <v>2055</v>
      </c>
      <c r="D798" s="9" t="s">
        <v>1254</v>
      </c>
      <c r="E798" s="9" t="s">
        <v>1180</v>
      </c>
      <c r="F798" s="9" t="s">
        <v>1182</v>
      </c>
      <c r="G798" s="9" t="n">
        <v>2</v>
      </c>
    </row>
    <row r="799" customFormat="false" ht="15" hidden="false" customHeight="true" outlineLevel="0" collapsed="false">
      <c r="A799" s="9" t="s">
        <v>2059</v>
      </c>
      <c r="B799" s="9"/>
      <c r="C799" s="9" t="s">
        <v>2060</v>
      </c>
      <c r="D799" s="9" t="s">
        <v>1978</v>
      </c>
      <c r="E799" s="9" t="s">
        <v>1189</v>
      </c>
      <c r="F799" s="9" t="s">
        <v>1182</v>
      </c>
      <c r="G799" s="9" t="n">
        <v>5</v>
      </c>
    </row>
    <row r="800" customFormat="false" ht="15" hidden="false" customHeight="true" outlineLevel="0" collapsed="false">
      <c r="A800" s="9" t="s">
        <v>2059</v>
      </c>
      <c r="B800" s="9"/>
      <c r="C800" s="9" t="s">
        <v>2060</v>
      </c>
      <c r="D800" s="9" t="s">
        <v>1843</v>
      </c>
      <c r="E800" s="9" t="s">
        <v>1177</v>
      </c>
      <c r="F800" s="9" t="s">
        <v>1196</v>
      </c>
      <c r="G800" s="9" t="n">
        <v>4</v>
      </c>
    </row>
    <row r="801" customFormat="false" ht="15" hidden="false" customHeight="true" outlineLevel="0" collapsed="false">
      <c r="A801" s="9" t="s">
        <v>2059</v>
      </c>
      <c r="B801" s="9"/>
      <c r="C801" s="9" t="s">
        <v>2060</v>
      </c>
      <c r="D801" s="9" t="s">
        <v>2061</v>
      </c>
      <c r="E801" s="9" t="s">
        <v>1204</v>
      </c>
      <c r="F801" s="9" t="s">
        <v>1178</v>
      </c>
      <c r="G801" s="9" t="n">
        <v>2</v>
      </c>
    </row>
    <row r="802" customFormat="false" ht="15" hidden="false" customHeight="true" outlineLevel="0" collapsed="false">
      <c r="A802" s="9" t="s">
        <v>2062</v>
      </c>
      <c r="B802" s="9"/>
      <c r="C802" s="9" t="s">
        <v>2063</v>
      </c>
      <c r="D802" s="9" t="s">
        <v>1522</v>
      </c>
      <c r="E802" s="9" t="s">
        <v>1204</v>
      </c>
      <c r="F802" s="9" t="s">
        <v>1178</v>
      </c>
      <c r="G802" s="9" t="n">
        <v>5</v>
      </c>
    </row>
    <row r="803" customFormat="false" ht="15" hidden="false" customHeight="true" outlineLevel="0" collapsed="false">
      <c r="A803" s="9" t="s">
        <v>2062</v>
      </c>
      <c r="B803" s="9"/>
      <c r="C803" s="9" t="s">
        <v>2063</v>
      </c>
      <c r="D803" s="9" t="s">
        <v>1340</v>
      </c>
      <c r="E803" s="9" t="s">
        <v>1204</v>
      </c>
      <c r="F803" s="9" t="s">
        <v>1190</v>
      </c>
      <c r="G803" s="9" t="n">
        <v>2</v>
      </c>
    </row>
    <row r="804" customFormat="false" ht="15" hidden="false" customHeight="true" outlineLevel="0" collapsed="false">
      <c r="A804" s="9" t="s">
        <v>2062</v>
      </c>
      <c r="B804" s="9"/>
      <c r="C804" s="9" t="s">
        <v>2063</v>
      </c>
      <c r="D804" s="9" t="s">
        <v>1794</v>
      </c>
      <c r="E804" s="9" t="s">
        <v>1186</v>
      </c>
      <c r="F804" s="9" t="s">
        <v>1196</v>
      </c>
      <c r="G804" s="9" t="n">
        <v>2</v>
      </c>
    </row>
    <row r="805" customFormat="false" ht="15" hidden="false" customHeight="true" outlineLevel="0" collapsed="false">
      <c r="A805" s="9" t="s">
        <v>2062</v>
      </c>
      <c r="B805" s="9"/>
      <c r="C805" s="9" t="s">
        <v>2063</v>
      </c>
      <c r="D805" s="9" t="s">
        <v>1424</v>
      </c>
      <c r="E805" s="9" t="s">
        <v>1180</v>
      </c>
      <c r="F805" s="9" t="s">
        <v>1182</v>
      </c>
      <c r="G805" s="9" t="n">
        <v>3</v>
      </c>
    </row>
    <row r="806" customFormat="false" ht="15" hidden="false" customHeight="true" outlineLevel="0" collapsed="false">
      <c r="A806" s="9" t="s">
        <v>2062</v>
      </c>
      <c r="B806" s="9"/>
      <c r="C806" s="9" t="s">
        <v>2063</v>
      </c>
      <c r="D806" s="9" t="s">
        <v>1450</v>
      </c>
      <c r="E806" s="9" t="s">
        <v>1204</v>
      </c>
      <c r="F806" s="9" t="s">
        <v>1190</v>
      </c>
      <c r="G806" s="9" t="n">
        <v>3</v>
      </c>
    </row>
    <row r="807" customFormat="false" ht="15" hidden="false" customHeight="true" outlineLevel="0" collapsed="false">
      <c r="A807" s="9" t="s">
        <v>2062</v>
      </c>
      <c r="B807" s="9"/>
      <c r="C807" s="9" t="s">
        <v>2063</v>
      </c>
      <c r="D807" s="9" t="s">
        <v>2064</v>
      </c>
      <c r="E807" s="9" t="s">
        <v>1189</v>
      </c>
      <c r="F807" s="9" t="s">
        <v>1187</v>
      </c>
      <c r="G807" s="9" t="n">
        <v>3</v>
      </c>
    </row>
    <row r="808" customFormat="false" ht="15" hidden="false" customHeight="true" outlineLevel="0" collapsed="false">
      <c r="A808" s="9" t="s">
        <v>2065</v>
      </c>
      <c r="B808" s="9"/>
      <c r="C808" s="9" t="s">
        <v>2066</v>
      </c>
      <c r="D808" s="9" t="s">
        <v>2067</v>
      </c>
      <c r="E808" s="9" t="s">
        <v>1189</v>
      </c>
      <c r="F808" s="9" t="s">
        <v>1178</v>
      </c>
      <c r="G808" s="9" t="n">
        <v>2</v>
      </c>
    </row>
    <row r="809" customFormat="false" ht="15" hidden="false" customHeight="true" outlineLevel="0" collapsed="false">
      <c r="A809" s="9" t="s">
        <v>2065</v>
      </c>
      <c r="B809" s="9"/>
      <c r="C809" s="9" t="s">
        <v>2066</v>
      </c>
      <c r="D809" s="9" t="s">
        <v>2068</v>
      </c>
      <c r="E809" s="9" t="s">
        <v>1177</v>
      </c>
      <c r="F809" s="9" t="s">
        <v>1178</v>
      </c>
      <c r="G809" s="9" t="n">
        <v>3</v>
      </c>
    </row>
    <row r="810" customFormat="false" ht="15" hidden="false" customHeight="true" outlineLevel="0" collapsed="false">
      <c r="A810" s="9" t="s">
        <v>2065</v>
      </c>
      <c r="B810" s="9"/>
      <c r="C810" s="9" t="s">
        <v>2066</v>
      </c>
      <c r="D810" s="9" t="s">
        <v>1340</v>
      </c>
      <c r="E810" s="9" t="s">
        <v>1180</v>
      </c>
      <c r="F810" s="9" t="s">
        <v>1178</v>
      </c>
      <c r="G810" s="9" t="n">
        <v>2</v>
      </c>
    </row>
    <row r="811" customFormat="false" ht="15" hidden="false" customHeight="true" outlineLevel="0" collapsed="false">
      <c r="A811" s="9" t="s">
        <v>2065</v>
      </c>
      <c r="B811" s="9"/>
      <c r="C811" s="9" t="s">
        <v>2066</v>
      </c>
      <c r="D811" s="9" t="s">
        <v>2069</v>
      </c>
      <c r="E811" s="9" t="s">
        <v>1189</v>
      </c>
      <c r="F811" s="9" t="s">
        <v>1182</v>
      </c>
      <c r="G811" s="9" t="n">
        <v>3</v>
      </c>
    </row>
    <row r="812" customFormat="false" ht="15" hidden="false" customHeight="true" outlineLevel="0" collapsed="false">
      <c r="A812" s="9" t="s">
        <v>2070</v>
      </c>
      <c r="B812" s="9"/>
      <c r="C812" s="9" t="s">
        <v>2071</v>
      </c>
      <c r="D812" s="9" t="s">
        <v>1444</v>
      </c>
      <c r="E812" s="9" t="s">
        <v>1189</v>
      </c>
      <c r="F812" s="9" t="s">
        <v>1190</v>
      </c>
      <c r="G812" s="9" t="n">
        <v>2</v>
      </c>
    </row>
    <row r="813" customFormat="false" ht="15" hidden="false" customHeight="true" outlineLevel="0" collapsed="false">
      <c r="A813" s="9" t="s">
        <v>2070</v>
      </c>
      <c r="B813" s="9"/>
      <c r="C813" s="9" t="s">
        <v>2071</v>
      </c>
      <c r="D813" s="9" t="s">
        <v>1259</v>
      </c>
      <c r="E813" s="9" t="s">
        <v>1198</v>
      </c>
      <c r="F813" s="9" t="s">
        <v>1190</v>
      </c>
      <c r="G813" s="9" t="n">
        <v>2</v>
      </c>
    </row>
    <row r="814" customFormat="false" ht="15" hidden="false" customHeight="true" outlineLevel="0" collapsed="false">
      <c r="A814" s="9" t="s">
        <v>2070</v>
      </c>
      <c r="B814" s="9"/>
      <c r="C814" s="9" t="s">
        <v>2071</v>
      </c>
      <c r="D814" s="9" t="s">
        <v>2072</v>
      </c>
      <c r="E814" s="9" t="s">
        <v>1186</v>
      </c>
      <c r="F814" s="9" t="s">
        <v>1187</v>
      </c>
      <c r="G814" s="9" t="n">
        <v>3</v>
      </c>
    </row>
    <row r="815" customFormat="false" ht="15" hidden="false" customHeight="true" outlineLevel="0" collapsed="false">
      <c r="A815" s="9" t="s">
        <v>2070</v>
      </c>
      <c r="B815" s="9"/>
      <c r="C815" s="9" t="s">
        <v>2071</v>
      </c>
      <c r="D815" s="9" t="s">
        <v>1242</v>
      </c>
      <c r="E815" s="9" t="s">
        <v>1216</v>
      </c>
      <c r="F815" s="9" t="s">
        <v>1182</v>
      </c>
      <c r="G815" s="9" t="n">
        <v>2</v>
      </c>
    </row>
    <row r="816" customFormat="false" ht="15" hidden="false" customHeight="true" outlineLevel="0" collapsed="false">
      <c r="A816" s="9" t="s">
        <v>2073</v>
      </c>
      <c r="B816" s="9"/>
      <c r="C816" s="9" t="s">
        <v>2074</v>
      </c>
      <c r="D816" s="9" t="s">
        <v>2075</v>
      </c>
      <c r="E816" s="9" t="s">
        <v>1189</v>
      </c>
      <c r="F816" s="9" t="s">
        <v>1182</v>
      </c>
      <c r="G816" s="9" t="n">
        <v>3</v>
      </c>
    </row>
    <row r="817" customFormat="false" ht="15" hidden="false" customHeight="true" outlineLevel="0" collapsed="false">
      <c r="A817" s="9" t="s">
        <v>2073</v>
      </c>
      <c r="B817" s="9"/>
      <c r="C817" s="9" t="s">
        <v>2074</v>
      </c>
      <c r="D817" s="9" t="s">
        <v>1801</v>
      </c>
      <c r="E817" s="9" t="s">
        <v>1180</v>
      </c>
      <c r="F817" s="9" t="s">
        <v>1196</v>
      </c>
      <c r="G817" s="9" t="n">
        <v>2</v>
      </c>
    </row>
    <row r="818" customFormat="false" ht="15" hidden="false" customHeight="true" outlineLevel="0" collapsed="false">
      <c r="A818" s="9" t="s">
        <v>2076</v>
      </c>
      <c r="B818" s="9"/>
      <c r="C818" s="9" t="s">
        <v>2077</v>
      </c>
      <c r="D818" s="9" t="s">
        <v>2078</v>
      </c>
      <c r="E818" s="9" t="s">
        <v>1216</v>
      </c>
      <c r="F818" s="9" t="s">
        <v>1178</v>
      </c>
      <c r="G818" s="9" t="n">
        <v>5</v>
      </c>
    </row>
    <row r="819" customFormat="false" ht="15" hidden="false" customHeight="true" outlineLevel="0" collapsed="false">
      <c r="A819" s="9" t="s">
        <v>2076</v>
      </c>
      <c r="B819" s="9"/>
      <c r="C819" s="9" t="s">
        <v>2077</v>
      </c>
      <c r="D819" s="9" t="s">
        <v>2079</v>
      </c>
      <c r="E819" s="9" t="s">
        <v>1192</v>
      </c>
      <c r="F819" s="9" t="s">
        <v>1182</v>
      </c>
      <c r="G819" s="9" t="n">
        <v>3</v>
      </c>
    </row>
    <row r="820" customFormat="false" ht="15" hidden="false" customHeight="true" outlineLevel="0" collapsed="false">
      <c r="A820" s="9" t="s">
        <v>2076</v>
      </c>
      <c r="B820" s="9"/>
      <c r="C820" s="9" t="s">
        <v>2077</v>
      </c>
      <c r="D820" s="9" t="s">
        <v>1504</v>
      </c>
      <c r="E820" s="9" t="s">
        <v>1177</v>
      </c>
      <c r="F820" s="9" t="s">
        <v>1196</v>
      </c>
      <c r="G820" s="9" t="n">
        <v>3</v>
      </c>
    </row>
    <row r="821" customFormat="false" ht="15" hidden="false" customHeight="true" outlineLevel="0" collapsed="false">
      <c r="A821" s="9" t="s">
        <v>2076</v>
      </c>
      <c r="B821" s="9"/>
      <c r="C821" s="9" t="s">
        <v>2077</v>
      </c>
      <c r="D821" s="9" t="s">
        <v>1607</v>
      </c>
      <c r="E821" s="9" t="s">
        <v>1189</v>
      </c>
      <c r="F821" s="9" t="s">
        <v>1187</v>
      </c>
      <c r="G821" s="9" t="n">
        <v>3</v>
      </c>
    </row>
    <row r="822" customFormat="false" ht="15" hidden="false" customHeight="true" outlineLevel="0" collapsed="false">
      <c r="A822" s="9" t="s">
        <v>2080</v>
      </c>
      <c r="B822" s="9"/>
      <c r="C822" s="9" t="s">
        <v>2081</v>
      </c>
      <c r="D822" s="9" t="s">
        <v>2082</v>
      </c>
      <c r="E822" s="9" t="s">
        <v>1192</v>
      </c>
      <c r="F822" s="9" t="s">
        <v>1196</v>
      </c>
      <c r="G822" s="9" t="n">
        <v>3</v>
      </c>
    </row>
    <row r="823" customFormat="false" ht="15" hidden="false" customHeight="true" outlineLevel="0" collapsed="false">
      <c r="A823" s="9" t="s">
        <v>2080</v>
      </c>
      <c r="B823" s="9"/>
      <c r="C823" s="9" t="s">
        <v>2081</v>
      </c>
      <c r="D823" s="9" t="s">
        <v>1340</v>
      </c>
      <c r="E823" s="9" t="s">
        <v>1186</v>
      </c>
      <c r="F823" s="9" t="s">
        <v>1196</v>
      </c>
      <c r="G823" s="9" t="n">
        <v>4</v>
      </c>
    </row>
    <row r="824" customFormat="false" ht="15" hidden="false" customHeight="true" outlineLevel="0" collapsed="false">
      <c r="A824" s="9" t="s">
        <v>2080</v>
      </c>
      <c r="B824" s="9"/>
      <c r="C824" s="9" t="s">
        <v>2081</v>
      </c>
      <c r="D824" s="9" t="s">
        <v>2056</v>
      </c>
      <c r="E824" s="9" t="s">
        <v>1177</v>
      </c>
      <c r="F824" s="9" t="s">
        <v>1187</v>
      </c>
      <c r="G824" s="9" t="n">
        <v>3</v>
      </c>
    </row>
    <row r="825" customFormat="false" ht="15" hidden="false" customHeight="true" outlineLevel="0" collapsed="false">
      <c r="A825" s="9" t="s">
        <v>2083</v>
      </c>
      <c r="B825" s="9"/>
      <c r="C825" s="9" t="s">
        <v>2084</v>
      </c>
      <c r="D825" s="9" t="s">
        <v>1851</v>
      </c>
      <c r="E825" s="9" t="s">
        <v>1192</v>
      </c>
      <c r="F825" s="9" t="s">
        <v>1182</v>
      </c>
      <c r="G825" s="9"/>
    </row>
    <row r="826" customFormat="false" ht="15" hidden="false" customHeight="true" outlineLevel="0" collapsed="false">
      <c r="A826" s="9" t="s">
        <v>2083</v>
      </c>
      <c r="B826" s="9"/>
      <c r="C826" s="9" t="s">
        <v>2084</v>
      </c>
      <c r="D826" s="9" t="s">
        <v>2085</v>
      </c>
      <c r="E826" s="9" t="s">
        <v>1177</v>
      </c>
      <c r="F826" s="9" t="s">
        <v>1182</v>
      </c>
      <c r="G826" s="9" t="n">
        <v>3</v>
      </c>
    </row>
    <row r="827" customFormat="false" ht="15" hidden="false" customHeight="true" outlineLevel="0" collapsed="false">
      <c r="A827" s="9" t="s">
        <v>2083</v>
      </c>
      <c r="B827" s="9"/>
      <c r="C827" s="9" t="s">
        <v>2084</v>
      </c>
      <c r="D827" s="9" t="s">
        <v>1279</v>
      </c>
      <c r="E827" s="9" t="s">
        <v>1186</v>
      </c>
      <c r="F827" s="9" t="s">
        <v>1196</v>
      </c>
      <c r="G827" s="9" t="n">
        <v>3</v>
      </c>
    </row>
    <row r="828" customFormat="false" ht="15" hidden="false" customHeight="true" outlineLevel="0" collapsed="false">
      <c r="A828" s="9" t="s">
        <v>2083</v>
      </c>
      <c r="B828" s="9"/>
      <c r="C828" s="9" t="s">
        <v>2084</v>
      </c>
      <c r="D828" s="9" t="s">
        <v>1471</v>
      </c>
      <c r="E828" s="9" t="s">
        <v>1180</v>
      </c>
      <c r="F828" s="9" t="s">
        <v>1196</v>
      </c>
      <c r="G828" s="9" t="n">
        <v>2</v>
      </c>
    </row>
    <row r="829" customFormat="false" ht="15" hidden="false" customHeight="true" outlineLevel="0" collapsed="false">
      <c r="A829" s="9" t="s">
        <v>2083</v>
      </c>
      <c r="B829" s="9"/>
      <c r="C829" s="9" t="s">
        <v>2084</v>
      </c>
      <c r="D829" s="9" t="s">
        <v>1407</v>
      </c>
      <c r="E829" s="9" t="s">
        <v>1192</v>
      </c>
      <c r="F829" s="9" t="s">
        <v>1187</v>
      </c>
      <c r="G829" s="9" t="n">
        <v>2</v>
      </c>
    </row>
    <row r="830" customFormat="false" ht="15" hidden="false" customHeight="true" outlineLevel="0" collapsed="false">
      <c r="A830" s="9" t="s">
        <v>2086</v>
      </c>
      <c r="B830" s="9"/>
      <c r="C830" s="9" t="s">
        <v>2087</v>
      </c>
      <c r="D830" s="9" t="s">
        <v>2088</v>
      </c>
      <c r="E830" s="9" t="s">
        <v>1216</v>
      </c>
      <c r="F830" s="9" t="s">
        <v>1196</v>
      </c>
      <c r="G830" s="9" t="n">
        <v>2</v>
      </c>
    </row>
    <row r="831" customFormat="false" ht="15" hidden="false" customHeight="true" outlineLevel="0" collapsed="false">
      <c r="A831" s="9" t="s">
        <v>2086</v>
      </c>
      <c r="B831" s="9"/>
      <c r="C831" s="9" t="s">
        <v>2087</v>
      </c>
      <c r="D831" s="9" t="s">
        <v>2089</v>
      </c>
      <c r="E831" s="9" t="s">
        <v>1189</v>
      </c>
      <c r="F831" s="9" t="s">
        <v>1196</v>
      </c>
      <c r="G831" s="9" t="n">
        <v>3</v>
      </c>
    </row>
    <row r="832" customFormat="false" ht="15" hidden="false" customHeight="true" outlineLevel="0" collapsed="false">
      <c r="A832" s="9" t="s">
        <v>2086</v>
      </c>
      <c r="B832" s="9"/>
      <c r="C832" s="9" t="s">
        <v>2087</v>
      </c>
      <c r="D832" s="9" t="s">
        <v>1674</v>
      </c>
      <c r="E832" s="9" t="s">
        <v>1216</v>
      </c>
      <c r="F832" s="9" t="s">
        <v>1178</v>
      </c>
      <c r="G832" s="9" t="n">
        <v>4</v>
      </c>
    </row>
    <row r="833" customFormat="false" ht="15" hidden="false" customHeight="true" outlineLevel="0" collapsed="false">
      <c r="A833" s="9" t="s">
        <v>2086</v>
      </c>
      <c r="B833" s="9"/>
      <c r="C833" s="9" t="s">
        <v>2087</v>
      </c>
      <c r="D833" s="9" t="s">
        <v>1593</v>
      </c>
      <c r="E833" s="9" t="s">
        <v>1189</v>
      </c>
      <c r="F833" s="9" t="s">
        <v>1196</v>
      </c>
      <c r="G833" s="9" t="n">
        <v>3</v>
      </c>
    </row>
    <row r="834" customFormat="false" ht="15" hidden="false" customHeight="true" outlineLevel="0" collapsed="false">
      <c r="A834" s="9" t="s">
        <v>2090</v>
      </c>
      <c r="B834" s="9"/>
      <c r="C834" s="9" t="s">
        <v>2091</v>
      </c>
      <c r="D834" s="9" t="s">
        <v>2092</v>
      </c>
      <c r="E834" s="9" t="s">
        <v>1180</v>
      </c>
      <c r="F834" s="9" t="s">
        <v>1196</v>
      </c>
      <c r="G834" s="9" t="n">
        <v>2</v>
      </c>
    </row>
    <row r="835" customFormat="false" ht="15" hidden="false" customHeight="true" outlineLevel="0" collapsed="false">
      <c r="A835" s="9" t="s">
        <v>2090</v>
      </c>
      <c r="B835" s="9"/>
      <c r="C835" s="9" t="s">
        <v>2091</v>
      </c>
      <c r="D835" s="9" t="s">
        <v>1297</v>
      </c>
      <c r="E835" s="9" t="s">
        <v>1525</v>
      </c>
      <c r="F835" s="9" t="s">
        <v>1178</v>
      </c>
      <c r="G835" s="9" t="n">
        <v>2</v>
      </c>
    </row>
    <row r="836" customFormat="false" ht="15" hidden="false" customHeight="true" outlineLevel="0" collapsed="false">
      <c r="A836" s="9" t="s">
        <v>2090</v>
      </c>
      <c r="B836" s="9"/>
      <c r="C836" s="9" t="s">
        <v>2091</v>
      </c>
      <c r="D836" s="9" t="s">
        <v>2093</v>
      </c>
      <c r="E836" s="9" t="s">
        <v>1189</v>
      </c>
      <c r="F836" s="9" t="s">
        <v>1190</v>
      </c>
      <c r="G836" s="9" t="n">
        <v>2</v>
      </c>
    </row>
    <row r="837" customFormat="false" ht="15" hidden="false" customHeight="true" outlineLevel="0" collapsed="false">
      <c r="A837" s="9" t="s">
        <v>2094</v>
      </c>
      <c r="B837" s="9"/>
      <c r="C837" s="9" t="s">
        <v>2095</v>
      </c>
      <c r="D837" s="9" t="s">
        <v>1427</v>
      </c>
      <c r="E837" s="9" t="s">
        <v>1216</v>
      </c>
      <c r="F837" s="9" t="s">
        <v>1190</v>
      </c>
      <c r="G837" s="9" t="n">
        <v>3</v>
      </c>
    </row>
    <row r="838" customFormat="false" ht="15" hidden="false" customHeight="true" outlineLevel="0" collapsed="false">
      <c r="A838" s="9" t="s">
        <v>2094</v>
      </c>
      <c r="B838" s="9"/>
      <c r="C838" s="9" t="s">
        <v>2095</v>
      </c>
      <c r="D838" s="9" t="s">
        <v>1348</v>
      </c>
      <c r="E838" s="9" t="s">
        <v>1177</v>
      </c>
      <c r="F838" s="9" t="s">
        <v>1187</v>
      </c>
      <c r="G838" s="9" t="n">
        <v>4</v>
      </c>
    </row>
    <row r="839" customFormat="false" ht="15" hidden="false" customHeight="true" outlineLevel="0" collapsed="false">
      <c r="A839" s="9" t="s">
        <v>2094</v>
      </c>
      <c r="B839" s="9"/>
      <c r="C839" s="9" t="s">
        <v>2095</v>
      </c>
      <c r="D839" s="9" t="s">
        <v>1314</v>
      </c>
      <c r="E839" s="9" t="s">
        <v>1216</v>
      </c>
      <c r="F839" s="9" t="s">
        <v>1190</v>
      </c>
      <c r="G839" s="9"/>
    </row>
    <row r="840" customFormat="false" ht="15" hidden="false" customHeight="true" outlineLevel="0" collapsed="false">
      <c r="A840" s="9" t="s">
        <v>2094</v>
      </c>
      <c r="B840" s="9"/>
      <c r="C840" s="9" t="s">
        <v>2095</v>
      </c>
      <c r="D840" s="9" t="s">
        <v>1266</v>
      </c>
      <c r="E840" s="9" t="s">
        <v>1198</v>
      </c>
      <c r="F840" s="9" t="s">
        <v>1182</v>
      </c>
      <c r="G840" s="9" t="n">
        <v>2</v>
      </c>
    </row>
    <row r="841" customFormat="false" ht="15" hidden="false" customHeight="true" outlineLevel="0" collapsed="false">
      <c r="A841" s="9" t="s">
        <v>2094</v>
      </c>
      <c r="B841" s="9"/>
      <c r="C841" s="9" t="s">
        <v>2095</v>
      </c>
      <c r="D841" s="9" t="s">
        <v>1673</v>
      </c>
      <c r="E841" s="9" t="s">
        <v>1180</v>
      </c>
      <c r="F841" s="9" t="s">
        <v>1178</v>
      </c>
      <c r="G841" s="9"/>
    </row>
    <row r="842" customFormat="false" ht="15" hidden="false" customHeight="true" outlineLevel="0" collapsed="false">
      <c r="A842" s="9" t="s">
        <v>2094</v>
      </c>
      <c r="B842" s="9"/>
      <c r="C842" s="9" t="s">
        <v>2095</v>
      </c>
      <c r="D842" s="9" t="s">
        <v>2096</v>
      </c>
      <c r="E842" s="9" t="s">
        <v>1177</v>
      </c>
      <c r="F842" s="9" t="s">
        <v>1196</v>
      </c>
      <c r="G842" s="9" t="n">
        <v>2</v>
      </c>
    </row>
    <row r="843" customFormat="false" ht="15" hidden="false" customHeight="true" outlineLevel="0" collapsed="false">
      <c r="A843" s="9" t="s">
        <v>2097</v>
      </c>
      <c r="B843" s="9"/>
      <c r="C843" s="9" t="s">
        <v>2098</v>
      </c>
      <c r="D843" s="9" t="s">
        <v>1888</v>
      </c>
      <c r="E843" s="9" t="s">
        <v>1198</v>
      </c>
      <c r="F843" s="9" t="s">
        <v>1190</v>
      </c>
      <c r="G843" s="9" t="n">
        <v>3</v>
      </c>
    </row>
    <row r="844" customFormat="false" ht="15" hidden="false" customHeight="true" outlineLevel="0" collapsed="false">
      <c r="A844" s="9" t="s">
        <v>2097</v>
      </c>
      <c r="B844" s="9"/>
      <c r="C844" s="9" t="s">
        <v>2098</v>
      </c>
      <c r="D844" s="9" t="s">
        <v>1674</v>
      </c>
      <c r="E844" s="9" t="s">
        <v>1198</v>
      </c>
      <c r="F844" s="9" t="s">
        <v>1196</v>
      </c>
      <c r="G844" s="9" t="n">
        <v>3</v>
      </c>
    </row>
    <row r="845" customFormat="false" ht="15" hidden="false" customHeight="true" outlineLevel="0" collapsed="false">
      <c r="A845" s="9" t="s">
        <v>2097</v>
      </c>
      <c r="B845" s="9"/>
      <c r="C845" s="9" t="s">
        <v>2098</v>
      </c>
      <c r="D845" s="9" t="s">
        <v>2099</v>
      </c>
      <c r="E845" s="9" t="s">
        <v>1216</v>
      </c>
      <c r="F845" s="9" t="s">
        <v>1182</v>
      </c>
      <c r="G845" s="9" t="n">
        <v>4</v>
      </c>
    </row>
    <row r="846" customFormat="false" ht="15" hidden="false" customHeight="true" outlineLevel="0" collapsed="false">
      <c r="A846" s="9" t="s">
        <v>2100</v>
      </c>
      <c r="B846" s="9"/>
      <c r="C846" s="9" t="s">
        <v>2101</v>
      </c>
      <c r="D846" s="9" t="s">
        <v>2102</v>
      </c>
      <c r="E846" s="9" t="s">
        <v>1186</v>
      </c>
      <c r="F846" s="9" t="s">
        <v>1178</v>
      </c>
      <c r="G846" s="9" t="n">
        <v>3</v>
      </c>
    </row>
    <row r="847" customFormat="false" ht="15" hidden="false" customHeight="true" outlineLevel="0" collapsed="false">
      <c r="A847" s="9" t="s">
        <v>2103</v>
      </c>
      <c r="B847" s="9"/>
      <c r="C847" s="9" t="s">
        <v>1982</v>
      </c>
      <c r="D847" s="9" t="s">
        <v>2104</v>
      </c>
      <c r="E847" s="9" t="s">
        <v>1180</v>
      </c>
      <c r="F847" s="9" t="s">
        <v>1178</v>
      </c>
      <c r="G847" s="9" t="n">
        <v>2</v>
      </c>
    </row>
    <row r="848" customFormat="false" ht="15" hidden="false" customHeight="true" outlineLevel="0" collapsed="false">
      <c r="A848" s="9" t="s">
        <v>2103</v>
      </c>
      <c r="B848" s="9"/>
      <c r="C848" s="9" t="s">
        <v>1982</v>
      </c>
      <c r="D848" s="9" t="s">
        <v>2105</v>
      </c>
      <c r="E848" s="9" t="s">
        <v>1180</v>
      </c>
      <c r="F848" s="9" t="s">
        <v>1190</v>
      </c>
      <c r="G848" s="9" t="n">
        <v>2</v>
      </c>
    </row>
    <row r="849" customFormat="false" ht="15" hidden="false" customHeight="true" outlineLevel="0" collapsed="false">
      <c r="A849" s="9" t="s">
        <v>2103</v>
      </c>
      <c r="B849" s="9"/>
      <c r="C849" s="9" t="s">
        <v>1982</v>
      </c>
      <c r="D849" s="9" t="s">
        <v>1474</v>
      </c>
      <c r="E849" s="9" t="s">
        <v>1395</v>
      </c>
      <c r="F849" s="9" t="s">
        <v>1190</v>
      </c>
      <c r="G849" s="9" t="n">
        <v>3</v>
      </c>
    </row>
    <row r="850" customFormat="false" ht="15" hidden="false" customHeight="true" outlineLevel="0" collapsed="false">
      <c r="A850" s="9" t="s">
        <v>2103</v>
      </c>
      <c r="B850" s="9"/>
      <c r="C850" s="9" t="s">
        <v>1982</v>
      </c>
      <c r="D850" s="9" t="s">
        <v>1185</v>
      </c>
      <c r="E850" s="9" t="s">
        <v>1189</v>
      </c>
      <c r="F850" s="9" t="s">
        <v>1187</v>
      </c>
      <c r="G850" s="9" t="n">
        <v>3</v>
      </c>
    </row>
    <row r="851" customFormat="false" ht="15" hidden="false" customHeight="true" outlineLevel="0" collapsed="false">
      <c r="A851" s="9" t="s">
        <v>2103</v>
      </c>
      <c r="B851" s="9"/>
      <c r="C851" s="9" t="s">
        <v>1982</v>
      </c>
      <c r="D851" s="9" t="s">
        <v>2106</v>
      </c>
      <c r="E851" s="9" t="s">
        <v>1189</v>
      </c>
      <c r="F851" s="9" t="s">
        <v>1178</v>
      </c>
      <c r="G851" s="9" t="n">
        <v>6</v>
      </c>
    </row>
    <row r="852" customFormat="false" ht="15" hidden="false" customHeight="true" outlineLevel="0" collapsed="false">
      <c r="A852" s="9" t="s">
        <v>2107</v>
      </c>
      <c r="B852" s="9"/>
      <c r="C852" s="9" t="s">
        <v>2108</v>
      </c>
      <c r="D852" s="9" t="s">
        <v>1602</v>
      </c>
      <c r="E852" s="9" t="s">
        <v>1204</v>
      </c>
      <c r="F852" s="9" t="s">
        <v>1182</v>
      </c>
      <c r="G852" s="9" t="n">
        <v>3</v>
      </c>
    </row>
    <row r="853" customFormat="false" ht="15" hidden="false" customHeight="true" outlineLevel="0" collapsed="false">
      <c r="A853" s="9" t="s">
        <v>2107</v>
      </c>
      <c r="B853" s="9"/>
      <c r="C853" s="9" t="s">
        <v>2108</v>
      </c>
      <c r="D853" s="9" t="s">
        <v>1217</v>
      </c>
      <c r="E853" s="9" t="s">
        <v>1180</v>
      </c>
      <c r="F853" s="9" t="s">
        <v>1196</v>
      </c>
      <c r="G853" s="9" t="n">
        <v>2</v>
      </c>
    </row>
    <row r="854" customFormat="false" ht="15" hidden="false" customHeight="true" outlineLevel="0" collapsed="false">
      <c r="A854" s="9" t="s">
        <v>2109</v>
      </c>
      <c r="B854" s="9"/>
      <c r="C854" s="9" t="s">
        <v>2110</v>
      </c>
      <c r="D854" s="9" t="s">
        <v>1770</v>
      </c>
      <c r="E854" s="9" t="s">
        <v>1180</v>
      </c>
      <c r="F854" s="9" t="s">
        <v>1182</v>
      </c>
      <c r="G854" s="9" t="n">
        <v>2</v>
      </c>
    </row>
    <row r="855" customFormat="false" ht="15" hidden="false" customHeight="true" outlineLevel="0" collapsed="false">
      <c r="A855" s="9" t="s">
        <v>2109</v>
      </c>
      <c r="B855" s="9"/>
      <c r="C855" s="9" t="s">
        <v>2110</v>
      </c>
      <c r="D855" s="9" t="s">
        <v>2111</v>
      </c>
      <c r="E855" s="9" t="s">
        <v>1192</v>
      </c>
      <c r="F855" s="9" t="s">
        <v>1178</v>
      </c>
      <c r="G855" s="9" t="n">
        <v>5</v>
      </c>
    </row>
    <row r="856" customFormat="false" ht="15" hidden="false" customHeight="true" outlineLevel="0" collapsed="false">
      <c r="A856" s="9" t="s">
        <v>2112</v>
      </c>
      <c r="B856" s="9"/>
      <c r="C856" s="9" t="s">
        <v>2113</v>
      </c>
      <c r="D856" s="9" t="s">
        <v>2114</v>
      </c>
      <c r="E856" s="9" t="s">
        <v>1198</v>
      </c>
      <c r="F856" s="9" t="s">
        <v>1187</v>
      </c>
      <c r="G856" s="9" t="n">
        <v>2</v>
      </c>
    </row>
    <row r="857" customFormat="false" ht="15" hidden="false" customHeight="true" outlineLevel="0" collapsed="false">
      <c r="A857" s="9" t="s">
        <v>2115</v>
      </c>
      <c r="B857" s="9"/>
      <c r="C857" s="9" t="s">
        <v>2116</v>
      </c>
      <c r="D857" s="9" t="s">
        <v>1461</v>
      </c>
      <c r="E857" s="9" t="s">
        <v>1189</v>
      </c>
      <c r="F857" s="9" t="s">
        <v>1178</v>
      </c>
      <c r="G857" s="9" t="n">
        <v>3</v>
      </c>
    </row>
    <row r="858" customFormat="false" ht="15" hidden="false" customHeight="true" outlineLevel="0" collapsed="false">
      <c r="A858" s="9" t="s">
        <v>2115</v>
      </c>
      <c r="B858" s="9"/>
      <c r="C858" s="9" t="s">
        <v>2116</v>
      </c>
      <c r="D858" s="9" t="s">
        <v>2043</v>
      </c>
      <c r="E858" s="9" t="s">
        <v>1216</v>
      </c>
      <c r="F858" s="9" t="s">
        <v>1190</v>
      </c>
      <c r="G858" s="9" t="n">
        <v>2</v>
      </c>
    </row>
    <row r="859" customFormat="false" ht="15" hidden="false" customHeight="true" outlineLevel="0" collapsed="false">
      <c r="A859" s="9" t="s">
        <v>2117</v>
      </c>
      <c r="B859" s="9"/>
      <c r="C859" s="9" t="s">
        <v>2118</v>
      </c>
      <c r="D859" s="9" t="s">
        <v>1441</v>
      </c>
      <c r="E859" s="9" t="s">
        <v>1189</v>
      </c>
      <c r="F859" s="9" t="s">
        <v>1182</v>
      </c>
      <c r="G859" s="9"/>
    </row>
    <row r="860" customFormat="false" ht="15" hidden="false" customHeight="true" outlineLevel="0" collapsed="false">
      <c r="A860" s="9" t="s">
        <v>2119</v>
      </c>
      <c r="B860" s="9"/>
      <c r="C860" s="9" t="s">
        <v>1834</v>
      </c>
      <c r="D860" s="9" t="s">
        <v>2120</v>
      </c>
      <c r="E860" s="9" t="s">
        <v>1180</v>
      </c>
      <c r="F860" s="9" t="s">
        <v>1190</v>
      </c>
      <c r="G860" s="9" t="n">
        <v>2</v>
      </c>
    </row>
    <row r="861" customFormat="false" ht="15" hidden="false" customHeight="true" outlineLevel="0" collapsed="false">
      <c r="A861" s="9" t="s">
        <v>2119</v>
      </c>
      <c r="B861" s="9"/>
      <c r="C861" s="9" t="s">
        <v>1834</v>
      </c>
      <c r="D861" s="9" t="s">
        <v>1852</v>
      </c>
      <c r="E861" s="9" t="s">
        <v>1204</v>
      </c>
      <c r="F861" s="9" t="s">
        <v>1190</v>
      </c>
      <c r="G861" s="9" t="n">
        <v>4</v>
      </c>
    </row>
    <row r="862" customFormat="false" ht="15" hidden="false" customHeight="true" outlineLevel="0" collapsed="false">
      <c r="A862" s="9" t="s">
        <v>2119</v>
      </c>
      <c r="B862" s="9"/>
      <c r="C862" s="9" t="s">
        <v>1834</v>
      </c>
      <c r="D862" s="9" t="s">
        <v>1930</v>
      </c>
      <c r="E862" s="9" t="s">
        <v>1204</v>
      </c>
      <c r="F862" s="9" t="s">
        <v>1178</v>
      </c>
      <c r="G862" s="9" t="n">
        <v>6</v>
      </c>
    </row>
    <row r="863" customFormat="false" ht="15" hidden="false" customHeight="true" outlineLevel="0" collapsed="false">
      <c r="A863" s="9" t="s">
        <v>2121</v>
      </c>
      <c r="B863" s="9"/>
      <c r="C863" s="9" t="s">
        <v>2122</v>
      </c>
      <c r="D863" s="9" t="s">
        <v>1726</v>
      </c>
      <c r="E863" s="9" t="s">
        <v>1189</v>
      </c>
      <c r="F863" s="9" t="s">
        <v>1190</v>
      </c>
      <c r="G863" s="9" t="n">
        <v>2</v>
      </c>
    </row>
    <row r="864" customFormat="false" ht="15" hidden="false" customHeight="true" outlineLevel="0" collapsed="false">
      <c r="A864" s="9" t="s">
        <v>2121</v>
      </c>
      <c r="B864" s="9"/>
      <c r="C864" s="9" t="s">
        <v>2122</v>
      </c>
      <c r="D864" s="9" t="s">
        <v>2049</v>
      </c>
      <c r="E864" s="9" t="s">
        <v>1177</v>
      </c>
      <c r="F864" s="9" t="s">
        <v>1178</v>
      </c>
      <c r="G864" s="9" t="n">
        <v>3</v>
      </c>
    </row>
    <row r="865" customFormat="false" ht="15" hidden="false" customHeight="true" outlineLevel="0" collapsed="false">
      <c r="A865" s="9" t="s">
        <v>2121</v>
      </c>
      <c r="B865" s="9"/>
      <c r="C865" s="9" t="s">
        <v>2122</v>
      </c>
      <c r="D865" s="9" t="s">
        <v>1813</v>
      </c>
      <c r="E865" s="9" t="s">
        <v>1192</v>
      </c>
      <c r="F865" s="9" t="s">
        <v>1196</v>
      </c>
      <c r="G865" s="9" t="n">
        <v>2</v>
      </c>
    </row>
    <row r="866" customFormat="false" ht="15" hidden="false" customHeight="true" outlineLevel="0" collapsed="false">
      <c r="A866" s="9" t="s">
        <v>2121</v>
      </c>
      <c r="B866" s="9"/>
      <c r="C866" s="9" t="s">
        <v>2122</v>
      </c>
      <c r="D866" s="9" t="s">
        <v>1894</v>
      </c>
      <c r="E866" s="9" t="s">
        <v>1192</v>
      </c>
      <c r="F866" s="9" t="s">
        <v>1182</v>
      </c>
      <c r="G866" s="9" t="n">
        <v>3</v>
      </c>
    </row>
    <row r="867" customFormat="false" ht="15" hidden="false" customHeight="true" outlineLevel="0" collapsed="false">
      <c r="A867" s="9" t="s">
        <v>2123</v>
      </c>
      <c r="B867" s="9"/>
      <c r="C867" s="9" t="s">
        <v>2124</v>
      </c>
      <c r="D867" s="9" t="s">
        <v>1313</v>
      </c>
      <c r="E867" s="9" t="s">
        <v>1216</v>
      </c>
      <c r="F867" s="9" t="s">
        <v>1182</v>
      </c>
      <c r="G867" s="9" t="n">
        <v>4</v>
      </c>
    </row>
    <row r="868" customFormat="false" ht="15" hidden="false" customHeight="true" outlineLevel="0" collapsed="false">
      <c r="A868" s="9" t="s">
        <v>2125</v>
      </c>
      <c r="B868" s="9"/>
      <c r="C868" s="9" t="s">
        <v>2126</v>
      </c>
      <c r="D868" s="9" t="s">
        <v>1853</v>
      </c>
      <c r="E868" s="9" t="s">
        <v>1198</v>
      </c>
      <c r="F868" s="9" t="s">
        <v>1182</v>
      </c>
      <c r="G868" s="9" t="n">
        <v>3</v>
      </c>
    </row>
    <row r="869" customFormat="false" ht="15" hidden="false" customHeight="true" outlineLevel="0" collapsed="false">
      <c r="A869" s="9" t="s">
        <v>2125</v>
      </c>
      <c r="B869" s="9"/>
      <c r="C869" s="9" t="s">
        <v>2126</v>
      </c>
      <c r="D869" s="9" t="s">
        <v>2127</v>
      </c>
      <c r="E869" s="9" t="s">
        <v>1216</v>
      </c>
      <c r="F869" s="9" t="s">
        <v>1182</v>
      </c>
      <c r="G869" s="9" t="n">
        <v>3</v>
      </c>
    </row>
    <row r="870" customFormat="false" ht="15" hidden="false" customHeight="true" outlineLevel="0" collapsed="false">
      <c r="A870" s="9" t="s">
        <v>2128</v>
      </c>
      <c r="B870" s="9"/>
      <c r="C870" s="9" t="s">
        <v>2129</v>
      </c>
      <c r="D870" s="9" t="s">
        <v>1767</v>
      </c>
      <c r="E870" s="9" t="s">
        <v>1192</v>
      </c>
      <c r="F870" s="9" t="s">
        <v>1196</v>
      </c>
      <c r="G870" s="9" t="n">
        <v>3</v>
      </c>
    </row>
    <row r="871" customFormat="false" ht="15" hidden="false" customHeight="true" outlineLevel="0" collapsed="false">
      <c r="A871" s="9" t="s">
        <v>2128</v>
      </c>
      <c r="B871" s="9"/>
      <c r="C871" s="9" t="s">
        <v>2129</v>
      </c>
      <c r="D871" s="9" t="s">
        <v>1826</v>
      </c>
      <c r="E871" s="9" t="s">
        <v>1277</v>
      </c>
      <c r="F871" s="9" t="s">
        <v>1190</v>
      </c>
      <c r="G871" s="9" t="n">
        <v>2</v>
      </c>
    </row>
    <row r="872" customFormat="false" ht="15" hidden="false" customHeight="true" outlineLevel="0" collapsed="false">
      <c r="A872" s="9" t="s">
        <v>2128</v>
      </c>
      <c r="B872" s="9"/>
      <c r="C872" s="9" t="s">
        <v>2129</v>
      </c>
      <c r="D872" s="9" t="s">
        <v>1330</v>
      </c>
      <c r="E872" s="9" t="s">
        <v>1180</v>
      </c>
      <c r="F872" s="9" t="s">
        <v>1178</v>
      </c>
      <c r="G872" s="9" t="n">
        <v>2</v>
      </c>
    </row>
    <row r="873" customFormat="false" ht="15" hidden="false" customHeight="true" outlineLevel="0" collapsed="false">
      <c r="A873" s="9" t="s">
        <v>2130</v>
      </c>
      <c r="B873" s="9"/>
      <c r="C873" s="9" t="s">
        <v>2131</v>
      </c>
      <c r="D873" s="9" t="s">
        <v>1567</v>
      </c>
      <c r="E873" s="9" t="s">
        <v>1204</v>
      </c>
      <c r="F873" s="9" t="s">
        <v>1178</v>
      </c>
      <c r="G873" s="9" t="n">
        <v>3</v>
      </c>
    </row>
    <row r="874" customFormat="false" ht="15" hidden="false" customHeight="true" outlineLevel="0" collapsed="false">
      <c r="A874" s="9" t="s">
        <v>2130</v>
      </c>
      <c r="B874" s="9"/>
      <c r="C874" s="9" t="s">
        <v>2131</v>
      </c>
      <c r="D874" s="9" t="s">
        <v>1793</v>
      </c>
      <c r="E874" s="9" t="s">
        <v>1180</v>
      </c>
      <c r="F874" s="9" t="s">
        <v>1196</v>
      </c>
      <c r="G874" s="9" t="n">
        <v>2</v>
      </c>
    </row>
    <row r="875" customFormat="false" ht="15" hidden="false" customHeight="true" outlineLevel="0" collapsed="false">
      <c r="A875" s="9" t="s">
        <v>2132</v>
      </c>
      <c r="B875" s="9"/>
      <c r="C875" s="9" t="s">
        <v>2133</v>
      </c>
      <c r="D875" s="9" t="s">
        <v>2134</v>
      </c>
      <c r="E875" s="9" t="s">
        <v>1216</v>
      </c>
      <c r="F875" s="9" t="s">
        <v>1182</v>
      </c>
      <c r="G875" s="9" t="n">
        <v>2</v>
      </c>
    </row>
    <row r="876" customFormat="false" ht="15" hidden="false" customHeight="true" outlineLevel="0" collapsed="false">
      <c r="A876" s="9" t="s">
        <v>2135</v>
      </c>
      <c r="B876" s="9"/>
      <c r="C876" s="9" t="s">
        <v>2136</v>
      </c>
      <c r="D876" s="9" t="s">
        <v>1259</v>
      </c>
      <c r="E876" s="9" t="s">
        <v>1180</v>
      </c>
      <c r="F876" s="9" t="s">
        <v>1196</v>
      </c>
      <c r="G876" s="9" t="n">
        <v>2</v>
      </c>
    </row>
    <row r="877" customFormat="false" ht="15" hidden="false" customHeight="true" outlineLevel="0" collapsed="false">
      <c r="A877" s="9" t="s">
        <v>2137</v>
      </c>
      <c r="B877" s="9"/>
      <c r="C877" s="9" t="s">
        <v>2138</v>
      </c>
      <c r="D877" s="9" t="s">
        <v>1583</v>
      </c>
      <c r="E877" s="9" t="s">
        <v>1216</v>
      </c>
      <c r="F877" s="9" t="s">
        <v>1187</v>
      </c>
      <c r="G877" s="9" t="n">
        <v>5</v>
      </c>
    </row>
    <row r="878" customFormat="false" ht="15" hidden="false" customHeight="true" outlineLevel="0" collapsed="false">
      <c r="A878" s="9" t="s">
        <v>2139</v>
      </c>
      <c r="B878" s="9"/>
      <c r="C878" s="9" t="s">
        <v>2140</v>
      </c>
      <c r="D878" s="9" t="s">
        <v>2141</v>
      </c>
      <c r="E878" s="9" t="s">
        <v>1186</v>
      </c>
      <c r="F878" s="9" t="s">
        <v>1178</v>
      </c>
      <c r="G878" s="9"/>
    </row>
    <row r="879" customFormat="false" ht="15" hidden="false" customHeight="true" outlineLevel="0" collapsed="false">
      <c r="A879" s="9" t="s">
        <v>2142</v>
      </c>
      <c r="B879" s="9"/>
      <c r="C879" s="9" t="s">
        <v>2143</v>
      </c>
      <c r="D879" s="9" t="s">
        <v>2144</v>
      </c>
      <c r="E879" s="9" t="s">
        <v>1204</v>
      </c>
      <c r="F879" s="9" t="s">
        <v>1190</v>
      </c>
      <c r="G879" s="9" t="n">
        <v>3</v>
      </c>
    </row>
    <row r="880" customFormat="false" ht="15" hidden="false" customHeight="true" outlineLevel="0" collapsed="false">
      <c r="A880" s="9" t="s">
        <v>2142</v>
      </c>
      <c r="B880" s="9"/>
      <c r="C880" s="9" t="s">
        <v>2143</v>
      </c>
      <c r="D880" s="9" t="s">
        <v>2145</v>
      </c>
      <c r="E880" s="9" t="s">
        <v>1216</v>
      </c>
      <c r="F880" s="9" t="s">
        <v>1187</v>
      </c>
      <c r="G880" s="9" t="n">
        <v>4</v>
      </c>
    </row>
    <row r="881" customFormat="false" ht="15" hidden="false" customHeight="true" outlineLevel="0" collapsed="false">
      <c r="A881" s="9" t="s">
        <v>2146</v>
      </c>
      <c r="B881" s="9"/>
      <c r="C881" s="9" t="s">
        <v>1219</v>
      </c>
      <c r="D881" s="9" t="s">
        <v>1725</v>
      </c>
      <c r="E881" s="9" t="s">
        <v>1189</v>
      </c>
      <c r="F881" s="9" t="s">
        <v>1178</v>
      </c>
      <c r="G881" s="9" t="n">
        <v>3</v>
      </c>
    </row>
    <row r="882" customFormat="false" ht="15" hidden="false" customHeight="true" outlineLevel="0" collapsed="false">
      <c r="A882" s="9" t="s">
        <v>2146</v>
      </c>
      <c r="B882" s="9"/>
      <c r="C882" s="9" t="s">
        <v>1219</v>
      </c>
      <c r="D882" s="9" t="s">
        <v>1271</v>
      </c>
      <c r="E882" s="9" t="s">
        <v>1204</v>
      </c>
      <c r="F882" s="9" t="s">
        <v>1182</v>
      </c>
      <c r="G882" s="9" t="n">
        <v>4</v>
      </c>
    </row>
    <row r="883" customFormat="false" ht="15" hidden="false" customHeight="true" outlineLevel="0" collapsed="false">
      <c r="A883" s="9" t="s">
        <v>2146</v>
      </c>
      <c r="B883" s="9"/>
      <c r="C883" s="9" t="s">
        <v>1219</v>
      </c>
      <c r="D883" s="9" t="s">
        <v>2147</v>
      </c>
      <c r="E883" s="9" t="s">
        <v>1189</v>
      </c>
      <c r="F883" s="9" t="s">
        <v>1196</v>
      </c>
      <c r="G883" s="9" t="n">
        <v>3</v>
      </c>
    </row>
    <row r="884" customFormat="false" ht="15" hidden="false" customHeight="true" outlineLevel="0" collapsed="false">
      <c r="A884" s="9" t="s">
        <v>2146</v>
      </c>
      <c r="B884" s="9"/>
      <c r="C884" s="9" t="s">
        <v>1219</v>
      </c>
      <c r="D884" s="9" t="s">
        <v>1776</v>
      </c>
      <c r="E884" s="9" t="s">
        <v>1216</v>
      </c>
      <c r="F884" s="9" t="s">
        <v>1190</v>
      </c>
      <c r="G884" s="9" t="n">
        <v>3</v>
      </c>
    </row>
    <row r="885" customFormat="false" ht="15" hidden="false" customHeight="true" outlineLevel="0" collapsed="false">
      <c r="A885" s="9" t="s">
        <v>2146</v>
      </c>
      <c r="B885" s="9"/>
      <c r="C885" s="9" t="s">
        <v>1219</v>
      </c>
      <c r="D885" s="9" t="s">
        <v>2148</v>
      </c>
      <c r="E885" s="9" t="s">
        <v>1204</v>
      </c>
      <c r="F885" s="9" t="s">
        <v>1187</v>
      </c>
      <c r="G885" s="9" t="n">
        <v>2</v>
      </c>
    </row>
    <row r="886" customFormat="false" ht="15" hidden="false" customHeight="true" outlineLevel="0" collapsed="false">
      <c r="A886" s="9" t="s">
        <v>2146</v>
      </c>
      <c r="B886" s="9"/>
      <c r="C886" s="9" t="s">
        <v>1219</v>
      </c>
      <c r="D886" s="9" t="s">
        <v>2149</v>
      </c>
      <c r="E886" s="9" t="s">
        <v>1198</v>
      </c>
      <c r="F886" s="9" t="s">
        <v>1196</v>
      </c>
      <c r="G886" s="9" t="n">
        <v>4</v>
      </c>
    </row>
    <row r="887" customFormat="false" ht="15" hidden="false" customHeight="true" outlineLevel="0" collapsed="false">
      <c r="A887" s="9" t="s">
        <v>2146</v>
      </c>
      <c r="B887" s="9"/>
      <c r="C887" s="9" t="s">
        <v>1219</v>
      </c>
      <c r="D887" s="9" t="s">
        <v>1203</v>
      </c>
      <c r="E887" s="9" t="s">
        <v>1192</v>
      </c>
      <c r="F887" s="9" t="s">
        <v>1187</v>
      </c>
      <c r="G887" s="9" t="n">
        <v>2</v>
      </c>
    </row>
    <row r="888" customFormat="false" ht="15" hidden="false" customHeight="true" outlineLevel="0" collapsed="false">
      <c r="A888" s="9" t="s">
        <v>2146</v>
      </c>
      <c r="B888" s="9"/>
      <c r="C888" s="9" t="s">
        <v>1219</v>
      </c>
      <c r="D888" s="9" t="s">
        <v>2085</v>
      </c>
      <c r="E888" s="9" t="s">
        <v>1827</v>
      </c>
      <c r="F888" s="9" t="s">
        <v>1190</v>
      </c>
      <c r="G888" s="9" t="n">
        <v>3</v>
      </c>
    </row>
    <row r="889" customFormat="false" ht="15" hidden="false" customHeight="true" outlineLevel="0" collapsed="false">
      <c r="A889" s="9" t="s">
        <v>2150</v>
      </c>
      <c r="B889" s="9"/>
      <c r="C889" s="9" t="s">
        <v>2151</v>
      </c>
      <c r="D889" s="9" t="s">
        <v>1788</v>
      </c>
      <c r="E889" s="9" t="s">
        <v>1186</v>
      </c>
      <c r="F889" s="9" t="s">
        <v>1187</v>
      </c>
      <c r="G889" s="9" t="n">
        <v>2</v>
      </c>
    </row>
    <row r="890" customFormat="false" ht="15" hidden="false" customHeight="true" outlineLevel="0" collapsed="false">
      <c r="A890" s="9" t="s">
        <v>2150</v>
      </c>
      <c r="B890" s="9"/>
      <c r="C890" s="9" t="s">
        <v>2151</v>
      </c>
      <c r="D890" s="9" t="s">
        <v>1990</v>
      </c>
      <c r="E890" s="9" t="s">
        <v>1189</v>
      </c>
      <c r="F890" s="9" t="s">
        <v>1182</v>
      </c>
      <c r="G890" s="9" t="n">
        <v>2</v>
      </c>
    </row>
    <row r="891" customFormat="false" ht="15" hidden="false" customHeight="true" outlineLevel="0" collapsed="false">
      <c r="A891" s="9" t="s">
        <v>2152</v>
      </c>
      <c r="B891" s="9"/>
      <c r="C891" s="9" t="s">
        <v>2153</v>
      </c>
      <c r="D891" s="9" t="s">
        <v>1815</v>
      </c>
      <c r="E891" s="9" t="s">
        <v>1216</v>
      </c>
      <c r="F891" s="9" t="s">
        <v>1196</v>
      </c>
      <c r="G891" s="9" t="n">
        <v>2</v>
      </c>
    </row>
    <row r="892" customFormat="false" ht="15" hidden="false" customHeight="true" outlineLevel="0" collapsed="false">
      <c r="A892" s="9" t="s">
        <v>2152</v>
      </c>
      <c r="B892" s="9"/>
      <c r="C892" s="9" t="s">
        <v>2153</v>
      </c>
      <c r="D892" s="9" t="s">
        <v>1938</v>
      </c>
      <c r="E892" s="9" t="s">
        <v>1177</v>
      </c>
      <c r="F892" s="9" t="s">
        <v>1182</v>
      </c>
      <c r="G892" s="9" t="n">
        <v>3</v>
      </c>
    </row>
    <row r="893" customFormat="false" ht="15" hidden="false" customHeight="true" outlineLevel="0" collapsed="false">
      <c r="A893" s="9" t="s">
        <v>2152</v>
      </c>
      <c r="B893" s="9"/>
      <c r="C893" s="9" t="s">
        <v>2153</v>
      </c>
      <c r="D893" s="9" t="s">
        <v>2154</v>
      </c>
      <c r="E893" s="9" t="s">
        <v>1180</v>
      </c>
      <c r="F893" s="9" t="s">
        <v>1178</v>
      </c>
      <c r="G893" s="9" t="n">
        <v>2</v>
      </c>
    </row>
    <row r="894" customFormat="false" ht="15" hidden="false" customHeight="true" outlineLevel="0" collapsed="false">
      <c r="A894" s="9" t="s">
        <v>2155</v>
      </c>
      <c r="B894" s="9"/>
      <c r="C894" s="9" t="s">
        <v>2156</v>
      </c>
      <c r="D894" s="9" t="s">
        <v>2157</v>
      </c>
      <c r="E894" s="9" t="s">
        <v>1177</v>
      </c>
      <c r="F894" s="9" t="s">
        <v>1196</v>
      </c>
      <c r="G894" s="9" t="n">
        <v>3</v>
      </c>
    </row>
    <row r="895" customFormat="false" ht="15" hidden="false" customHeight="true" outlineLevel="0" collapsed="false">
      <c r="A895" s="9" t="s">
        <v>2155</v>
      </c>
      <c r="B895" s="9"/>
      <c r="C895" s="9" t="s">
        <v>2156</v>
      </c>
      <c r="D895" s="9" t="s">
        <v>2158</v>
      </c>
      <c r="E895" s="9" t="s">
        <v>1192</v>
      </c>
      <c r="F895" s="9" t="s">
        <v>1182</v>
      </c>
      <c r="G895" s="9" t="n">
        <v>3</v>
      </c>
    </row>
    <row r="896" customFormat="false" ht="15" hidden="false" customHeight="true" outlineLevel="0" collapsed="false">
      <c r="A896" s="9" t="s">
        <v>2155</v>
      </c>
      <c r="B896" s="9"/>
      <c r="C896" s="9" t="s">
        <v>2156</v>
      </c>
      <c r="D896" s="9" t="s">
        <v>1677</v>
      </c>
      <c r="E896" s="9" t="s">
        <v>1189</v>
      </c>
      <c r="F896" s="9" t="s">
        <v>1190</v>
      </c>
      <c r="G896" s="9" t="n">
        <v>2</v>
      </c>
    </row>
    <row r="897" customFormat="false" ht="15" hidden="false" customHeight="true" outlineLevel="0" collapsed="false">
      <c r="A897" s="9" t="s">
        <v>2155</v>
      </c>
      <c r="B897" s="9"/>
      <c r="C897" s="9" t="s">
        <v>2156</v>
      </c>
      <c r="D897" s="9" t="s">
        <v>1656</v>
      </c>
      <c r="E897" s="9" t="s">
        <v>1180</v>
      </c>
      <c r="F897" s="9" t="s">
        <v>1178</v>
      </c>
      <c r="G897" s="9" t="n">
        <v>3</v>
      </c>
    </row>
    <row r="898" customFormat="false" ht="15" hidden="false" customHeight="true" outlineLevel="0" collapsed="false">
      <c r="A898" s="9" t="s">
        <v>2159</v>
      </c>
      <c r="B898" s="9"/>
      <c r="C898" s="9" t="s">
        <v>2160</v>
      </c>
      <c r="D898" s="9" t="s">
        <v>2068</v>
      </c>
      <c r="E898" s="9" t="s">
        <v>1198</v>
      </c>
      <c r="F898" s="9" t="s">
        <v>1182</v>
      </c>
      <c r="G898" s="9" t="n">
        <v>3</v>
      </c>
    </row>
    <row r="899" customFormat="false" ht="15" hidden="false" customHeight="true" outlineLevel="0" collapsed="false">
      <c r="A899" s="9" t="s">
        <v>2159</v>
      </c>
      <c r="B899" s="9"/>
      <c r="C899" s="9" t="s">
        <v>2160</v>
      </c>
      <c r="D899" s="9" t="s">
        <v>1991</v>
      </c>
      <c r="E899" s="9" t="s">
        <v>1204</v>
      </c>
      <c r="F899" s="9" t="s">
        <v>1178</v>
      </c>
      <c r="G899" s="9" t="n">
        <v>3</v>
      </c>
    </row>
    <row r="900" customFormat="false" ht="15" hidden="false" customHeight="true" outlineLevel="0" collapsed="false">
      <c r="A900" s="9" t="s">
        <v>2159</v>
      </c>
      <c r="B900" s="9"/>
      <c r="C900" s="9" t="s">
        <v>2160</v>
      </c>
      <c r="D900" s="9" t="s">
        <v>2079</v>
      </c>
      <c r="E900" s="9" t="s">
        <v>1177</v>
      </c>
      <c r="F900" s="9" t="s">
        <v>1178</v>
      </c>
      <c r="G900" s="9" t="n">
        <v>3</v>
      </c>
    </row>
    <row r="901" customFormat="false" ht="15" hidden="false" customHeight="true" outlineLevel="0" collapsed="false">
      <c r="A901" s="9" t="s">
        <v>2159</v>
      </c>
      <c r="B901" s="9"/>
      <c r="C901" s="9" t="s">
        <v>2160</v>
      </c>
      <c r="D901" s="9" t="s">
        <v>1495</v>
      </c>
      <c r="E901" s="9" t="s">
        <v>1189</v>
      </c>
      <c r="F901" s="9" t="s">
        <v>1182</v>
      </c>
      <c r="G901" s="9" t="n">
        <v>3</v>
      </c>
    </row>
    <row r="902" customFormat="false" ht="15" hidden="false" customHeight="true" outlineLevel="0" collapsed="false">
      <c r="A902" s="9" t="s">
        <v>2161</v>
      </c>
      <c r="B902" s="9"/>
      <c r="C902" s="9" t="s">
        <v>2162</v>
      </c>
      <c r="D902" s="9" t="s">
        <v>1870</v>
      </c>
      <c r="E902" s="9" t="s">
        <v>1198</v>
      </c>
      <c r="F902" s="9" t="s">
        <v>1182</v>
      </c>
      <c r="G902" s="9" t="n">
        <v>4</v>
      </c>
    </row>
    <row r="903" customFormat="false" ht="15" hidden="false" customHeight="true" outlineLevel="0" collapsed="false">
      <c r="A903" s="9" t="s">
        <v>2163</v>
      </c>
      <c r="B903" s="9"/>
      <c r="C903" s="9" t="s">
        <v>2164</v>
      </c>
      <c r="D903" s="9" t="s">
        <v>1465</v>
      </c>
      <c r="E903" s="9" t="s">
        <v>2165</v>
      </c>
      <c r="F903" s="9" t="s">
        <v>1182</v>
      </c>
      <c r="G903" s="9" t="n">
        <v>2</v>
      </c>
    </row>
    <row r="904" customFormat="false" ht="15" hidden="false" customHeight="true" outlineLevel="0" collapsed="false">
      <c r="A904" s="9" t="s">
        <v>2163</v>
      </c>
      <c r="B904" s="9"/>
      <c r="C904" s="9" t="s">
        <v>2164</v>
      </c>
      <c r="D904" s="9" t="s">
        <v>2166</v>
      </c>
      <c r="E904" s="9" t="s">
        <v>1180</v>
      </c>
      <c r="F904" s="9" t="s">
        <v>1182</v>
      </c>
      <c r="G904" s="9" t="n">
        <v>4</v>
      </c>
    </row>
    <row r="905" customFormat="false" ht="15" hidden="false" customHeight="true" outlineLevel="0" collapsed="false">
      <c r="A905" s="9" t="s">
        <v>2167</v>
      </c>
      <c r="B905" s="9"/>
      <c r="C905" s="9" t="s">
        <v>2168</v>
      </c>
      <c r="D905" s="9" t="s">
        <v>1464</v>
      </c>
      <c r="E905" s="9" t="s">
        <v>1204</v>
      </c>
      <c r="F905" s="9" t="s">
        <v>1187</v>
      </c>
      <c r="G905" s="9" t="n">
        <v>2</v>
      </c>
    </row>
    <row r="906" customFormat="false" ht="15" hidden="false" customHeight="true" outlineLevel="0" collapsed="false">
      <c r="A906" s="9" t="s">
        <v>2167</v>
      </c>
      <c r="B906" s="9"/>
      <c r="C906" s="9" t="s">
        <v>2168</v>
      </c>
      <c r="D906" s="9" t="s">
        <v>2169</v>
      </c>
      <c r="E906" s="9" t="s">
        <v>1204</v>
      </c>
      <c r="F906" s="9" t="s">
        <v>1196</v>
      </c>
      <c r="G906" s="9" t="n">
        <v>2</v>
      </c>
    </row>
    <row r="907" customFormat="false" ht="15" hidden="false" customHeight="true" outlineLevel="0" collapsed="false">
      <c r="A907" s="9" t="s">
        <v>2167</v>
      </c>
      <c r="B907" s="9"/>
      <c r="C907" s="9" t="s">
        <v>2168</v>
      </c>
      <c r="D907" s="9" t="s">
        <v>2170</v>
      </c>
      <c r="E907" s="9" t="s">
        <v>1216</v>
      </c>
      <c r="F907" s="9" t="s">
        <v>1182</v>
      </c>
      <c r="G907" s="9" t="n">
        <v>3</v>
      </c>
    </row>
    <row r="908" customFormat="false" ht="15" hidden="false" customHeight="true" outlineLevel="0" collapsed="false">
      <c r="A908" s="9" t="s">
        <v>2171</v>
      </c>
      <c r="B908" s="9"/>
      <c r="C908" s="9" t="s">
        <v>2172</v>
      </c>
      <c r="D908" s="9" t="s">
        <v>2173</v>
      </c>
      <c r="E908" s="9" t="s">
        <v>1189</v>
      </c>
      <c r="F908" s="9" t="s">
        <v>1190</v>
      </c>
      <c r="G908" s="9" t="n">
        <v>3</v>
      </c>
    </row>
    <row r="909" customFormat="false" ht="15" hidden="false" customHeight="true" outlineLevel="0" collapsed="false">
      <c r="A909" s="9" t="s">
        <v>2171</v>
      </c>
      <c r="B909" s="9"/>
      <c r="C909" s="9" t="s">
        <v>2172</v>
      </c>
      <c r="D909" s="9" t="s">
        <v>1978</v>
      </c>
      <c r="E909" s="9" t="s">
        <v>1189</v>
      </c>
      <c r="F909" s="9" t="s">
        <v>1196</v>
      </c>
      <c r="G909" s="9" t="n">
        <v>2</v>
      </c>
    </row>
    <row r="910" customFormat="false" ht="15" hidden="false" customHeight="true" outlineLevel="0" collapsed="false">
      <c r="A910" s="9" t="s">
        <v>2174</v>
      </c>
      <c r="B910" s="9"/>
      <c r="C910" s="9" t="s">
        <v>2175</v>
      </c>
      <c r="D910" s="9" t="s">
        <v>1879</v>
      </c>
      <c r="E910" s="9" t="s">
        <v>1189</v>
      </c>
      <c r="F910" s="9" t="s">
        <v>1187</v>
      </c>
      <c r="G910" s="9" t="n">
        <v>2</v>
      </c>
    </row>
    <row r="911" customFormat="false" ht="15" hidden="false" customHeight="true" outlineLevel="0" collapsed="false">
      <c r="A911" s="9" t="s">
        <v>2174</v>
      </c>
      <c r="B911" s="9"/>
      <c r="C911" s="9" t="s">
        <v>2175</v>
      </c>
      <c r="D911" s="9" t="s">
        <v>2176</v>
      </c>
      <c r="E911" s="9" t="s">
        <v>1204</v>
      </c>
      <c r="F911" s="9" t="s">
        <v>1187</v>
      </c>
      <c r="G911" s="9" t="n">
        <v>3</v>
      </c>
    </row>
    <row r="912" customFormat="false" ht="15" hidden="false" customHeight="true" outlineLevel="0" collapsed="false">
      <c r="A912" s="9" t="s">
        <v>2174</v>
      </c>
      <c r="B912" s="9"/>
      <c r="C912" s="9" t="s">
        <v>2175</v>
      </c>
      <c r="D912" s="9" t="s">
        <v>2177</v>
      </c>
      <c r="E912" s="9" t="s">
        <v>1198</v>
      </c>
      <c r="F912" s="9" t="s">
        <v>1190</v>
      </c>
      <c r="G912" s="9" t="n">
        <v>2</v>
      </c>
    </row>
    <row r="913" customFormat="false" ht="15" hidden="false" customHeight="true" outlineLevel="0" collapsed="false">
      <c r="A913" s="9" t="s">
        <v>2178</v>
      </c>
      <c r="B913" s="9"/>
      <c r="C913" s="9" t="s">
        <v>2179</v>
      </c>
      <c r="D913" s="9" t="s">
        <v>2180</v>
      </c>
      <c r="E913" s="9" t="s">
        <v>1180</v>
      </c>
      <c r="F913" s="9" t="s">
        <v>1190</v>
      </c>
      <c r="G913" s="9" t="n">
        <v>3</v>
      </c>
    </row>
    <row r="914" customFormat="false" ht="15" hidden="false" customHeight="true" outlineLevel="0" collapsed="false">
      <c r="A914" s="9" t="s">
        <v>2181</v>
      </c>
      <c r="B914" s="9"/>
      <c r="C914" s="9" t="s">
        <v>2182</v>
      </c>
      <c r="D914" s="9" t="s">
        <v>1324</v>
      </c>
      <c r="E914" s="9" t="s">
        <v>1192</v>
      </c>
      <c r="F914" s="9" t="s">
        <v>1178</v>
      </c>
      <c r="G914" s="9" t="n">
        <v>2</v>
      </c>
    </row>
    <row r="915" customFormat="false" ht="15" hidden="false" customHeight="true" outlineLevel="0" collapsed="false">
      <c r="A915" s="9" t="s">
        <v>2181</v>
      </c>
      <c r="B915" s="9"/>
      <c r="C915" s="9" t="s">
        <v>2182</v>
      </c>
      <c r="D915" s="9" t="s">
        <v>2183</v>
      </c>
      <c r="E915" s="9" t="s">
        <v>1204</v>
      </c>
      <c r="F915" s="9" t="s">
        <v>1182</v>
      </c>
      <c r="G915" s="9" t="n">
        <v>4</v>
      </c>
    </row>
    <row r="916" customFormat="false" ht="15" hidden="false" customHeight="true" outlineLevel="0" collapsed="false">
      <c r="A916" s="9" t="s">
        <v>2181</v>
      </c>
      <c r="B916" s="9"/>
      <c r="C916" s="9" t="s">
        <v>2182</v>
      </c>
      <c r="D916" s="9" t="s">
        <v>1488</v>
      </c>
      <c r="E916" s="9" t="s">
        <v>1180</v>
      </c>
      <c r="F916" s="9" t="s">
        <v>1196</v>
      </c>
      <c r="G916" s="9" t="n">
        <v>2</v>
      </c>
    </row>
    <row r="917" customFormat="false" ht="15" hidden="false" customHeight="true" outlineLevel="0" collapsed="false">
      <c r="A917" s="9" t="s">
        <v>2181</v>
      </c>
      <c r="B917" s="9"/>
      <c r="C917" s="9" t="s">
        <v>2182</v>
      </c>
      <c r="D917" s="9" t="s">
        <v>2088</v>
      </c>
      <c r="E917" s="9" t="s">
        <v>1186</v>
      </c>
      <c r="F917" s="9" t="s">
        <v>1196</v>
      </c>
      <c r="G917" s="9" t="n">
        <v>4</v>
      </c>
    </row>
    <row r="918" customFormat="false" ht="15" hidden="false" customHeight="true" outlineLevel="0" collapsed="false">
      <c r="A918" s="9" t="s">
        <v>2181</v>
      </c>
      <c r="B918" s="9"/>
      <c r="C918" s="9" t="s">
        <v>2182</v>
      </c>
      <c r="D918" s="9" t="s">
        <v>2015</v>
      </c>
      <c r="E918" s="9" t="s">
        <v>1177</v>
      </c>
      <c r="F918" s="9" t="s">
        <v>1196</v>
      </c>
      <c r="G918" s="9" t="n">
        <v>2</v>
      </c>
    </row>
    <row r="919" customFormat="false" ht="15" hidden="false" customHeight="true" outlineLevel="0" collapsed="false">
      <c r="A919" s="9" t="s">
        <v>2181</v>
      </c>
      <c r="B919" s="9"/>
      <c r="C919" s="9" t="s">
        <v>2182</v>
      </c>
      <c r="D919" s="9" t="s">
        <v>1824</v>
      </c>
      <c r="E919" s="9" t="s">
        <v>1216</v>
      </c>
      <c r="F919" s="9" t="s">
        <v>1178</v>
      </c>
      <c r="G919" s="9" t="n">
        <v>2</v>
      </c>
    </row>
    <row r="920" customFormat="false" ht="15" hidden="false" customHeight="true" outlineLevel="0" collapsed="false">
      <c r="A920" s="9" t="s">
        <v>2184</v>
      </c>
      <c r="B920" s="9"/>
      <c r="C920" s="9" t="s">
        <v>2185</v>
      </c>
      <c r="D920" s="9" t="s">
        <v>2180</v>
      </c>
      <c r="E920" s="9" t="s">
        <v>1177</v>
      </c>
      <c r="F920" s="9" t="s">
        <v>1178</v>
      </c>
      <c r="G920" s="9" t="n">
        <v>5</v>
      </c>
    </row>
    <row r="921" customFormat="false" ht="15" hidden="false" customHeight="true" outlineLevel="0" collapsed="false">
      <c r="A921" s="9" t="s">
        <v>2186</v>
      </c>
      <c r="B921" s="9"/>
      <c r="C921" s="9" t="s">
        <v>1923</v>
      </c>
      <c r="D921" s="9" t="s">
        <v>1969</v>
      </c>
      <c r="E921" s="9" t="s">
        <v>1192</v>
      </c>
      <c r="F921" s="9" t="s">
        <v>1196</v>
      </c>
      <c r="G921" s="9" t="n">
        <v>6</v>
      </c>
    </row>
    <row r="922" customFormat="false" ht="15" hidden="false" customHeight="true" outlineLevel="0" collapsed="false">
      <c r="A922" s="9" t="s">
        <v>1768</v>
      </c>
      <c r="B922" s="9" t="s">
        <v>115</v>
      </c>
      <c r="C922" s="9" t="s">
        <v>1769</v>
      </c>
      <c r="D922" s="9" t="s">
        <v>1771</v>
      </c>
      <c r="E922" s="9" t="s">
        <v>1198</v>
      </c>
      <c r="F922" s="9" t="s">
        <v>1187</v>
      </c>
      <c r="G922" s="9" t="n">
        <v>5</v>
      </c>
    </row>
    <row r="923" customFormat="false" ht="15" hidden="false" customHeight="true" outlineLevel="0" collapsed="false">
      <c r="A923" s="9" t="s">
        <v>1477</v>
      </c>
      <c r="B923" s="9" t="s">
        <v>360</v>
      </c>
      <c r="C923" s="9" t="s">
        <v>1478</v>
      </c>
      <c r="D923" s="9" t="s">
        <v>1356</v>
      </c>
      <c r="E923" s="9" t="s">
        <v>1479</v>
      </c>
      <c r="F923" s="9" t="s">
        <v>1196</v>
      </c>
      <c r="G923" s="9" t="n">
        <v>3</v>
      </c>
    </row>
    <row r="924" customFormat="false" ht="15" hidden="false" customHeight="true" outlineLevel="0" collapsed="false">
      <c r="A924" s="9" t="s">
        <v>1768</v>
      </c>
      <c r="B924" s="9" t="s">
        <v>115</v>
      </c>
      <c r="C924" s="9" t="s">
        <v>1769</v>
      </c>
      <c r="D924" s="9" t="s">
        <v>1772</v>
      </c>
      <c r="E924" s="9" t="s">
        <v>1192</v>
      </c>
      <c r="F924" s="9" t="s">
        <v>1196</v>
      </c>
      <c r="G924" s="9" t="n">
        <v>3</v>
      </c>
    </row>
    <row r="925" customFormat="false" ht="15" hidden="false" customHeight="true" outlineLevel="0" collapsed="false">
      <c r="A925" s="9" t="s">
        <v>1553</v>
      </c>
      <c r="B925" s="9" t="s">
        <v>592</v>
      </c>
      <c r="C925" s="9" t="s">
        <v>1554</v>
      </c>
      <c r="D925" s="9" t="s">
        <v>1555</v>
      </c>
      <c r="E925" s="9" t="s">
        <v>1192</v>
      </c>
      <c r="F925" s="9" t="s">
        <v>1196</v>
      </c>
      <c r="G925" s="9" t="n">
        <v>2</v>
      </c>
    </row>
    <row r="926" customFormat="false" ht="15" hidden="false" customHeight="true" outlineLevel="0" collapsed="false">
      <c r="A926" s="9" t="s">
        <v>2059</v>
      </c>
      <c r="B926" s="9"/>
      <c r="C926" s="9" t="s">
        <v>2060</v>
      </c>
      <c r="D926" s="9" t="s">
        <v>1978</v>
      </c>
      <c r="E926" s="9" t="s">
        <v>1189</v>
      </c>
      <c r="F926" s="9" t="s">
        <v>1182</v>
      </c>
      <c r="G926" s="9" t="n">
        <v>5</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6"/>
    <col collapsed="false" customWidth="true" hidden="false" outlineLevel="0" max="3" min="3" style="1" width="10"/>
    <col collapsed="false" customWidth="true" hidden="false" outlineLevel="0" max="4" min="4" style="1" width="22"/>
    <col collapsed="false" customWidth="true" hidden="false" outlineLevel="0" max="5" min="5" style="1" width="55"/>
    <col collapsed="false" customWidth="true" hidden="false" outlineLevel="0" max="6" min="6" style="1" width="21"/>
    <col collapsed="false" customWidth="true" hidden="false" outlineLevel="0" max="7" min="7" style="1" width="10"/>
  </cols>
  <sheetData>
    <row r="1" customFormat="false" ht="27.75" hidden="false" customHeight="true" outlineLevel="0" collapsed="false">
      <c r="A1" s="8" t="s">
        <v>2187</v>
      </c>
      <c r="B1" s="8" t="s">
        <v>2188</v>
      </c>
      <c r="C1" s="8" t="s">
        <v>2189</v>
      </c>
      <c r="D1" s="8" t="s">
        <v>2190</v>
      </c>
      <c r="E1" s="8" t="s">
        <v>2191</v>
      </c>
      <c r="F1" s="8" t="s">
        <v>2192</v>
      </c>
      <c r="G1" s="8" t="s">
        <v>2193</v>
      </c>
    </row>
    <row r="2" customFormat="false" ht="15" hidden="false" customHeight="true" outlineLevel="0" collapsed="false">
      <c r="A2" s="9" t="s">
        <v>2194</v>
      </c>
      <c r="B2" s="9" t="s">
        <v>2195</v>
      </c>
      <c r="C2" s="9" t="s">
        <v>2196</v>
      </c>
      <c r="D2" s="9" t="s">
        <v>2197</v>
      </c>
      <c r="E2" s="9" t="s">
        <v>2198</v>
      </c>
      <c r="F2" s="9" t="s">
        <v>47</v>
      </c>
      <c r="G2" s="9" t="s">
        <v>2199</v>
      </c>
    </row>
    <row r="3" customFormat="false" ht="15" hidden="false" customHeight="true" outlineLevel="0" collapsed="false">
      <c r="A3" s="9" t="s">
        <v>2194</v>
      </c>
      <c r="B3" s="9" t="s">
        <v>2195</v>
      </c>
      <c r="C3" s="9" t="s">
        <v>2196</v>
      </c>
      <c r="D3" s="9" t="s">
        <v>2200</v>
      </c>
      <c r="E3" s="9" t="s">
        <v>2201</v>
      </c>
      <c r="F3" s="9" t="s">
        <v>47</v>
      </c>
      <c r="G3" s="9" t="s">
        <v>2199</v>
      </c>
    </row>
    <row r="4" customFormat="false" ht="15" hidden="false" customHeight="true" outlineLevel="0" collapsed="false">
      <c r="A4" s="9" t="s">
        <v>2194</v>
      </c>
      <c r="B4" s="9" t="s">
        <v>2202</v>
      </c>
      <c r="C4" s="9" t="s">
        <v>2203</v>
      </c>
      <c r="D4" s="9" t="s">
        <v>2204</v>
      </c>
      <c r="E4" s="9" t="s">
        <v>2205</v>
      </c>
      <c r="F4" s="9" t="s">
        <v>47</v>
      </c>
      <c r="G4" s="9" t="s">
        <v>2199</v>
      </c>
    </row>
    <row r="5" customFormat="false" ht="15" hidden="false" customHeight="true" outlineLevel="0" collapsed="false">
      <c r="A5" s="9" t="s">
        <v>2206</v>
      </c>
      <c r="B5" s="9" t="s">
        <v>2207</v>
      </c>
      <c r="C5" s="9" t="s">
        <v>2208</v>
      </c>
      <c r="D5" s="9" t="s">
        <v>2209</v>
      </c>
      <c r="E5" s="9" t="s">
        <v>2210</v>
      </c>
      <c r="F5" s="9" t="s">
        <v>47</v>
      </c>
      <c r="G5" s="9" t="s">
        <v>2199</v>
      </c>
    </row>
    <row r="6" customFormat="false" ht="15" hidden="false" customHeight="true" outlineLevel="0" collapsed="false">
      <c r="A6" s="9" t="s">
        <v>2194</v>
      </c>
      <c r="B6" s="9" t="s">
        <v>2202</v>
      </c>
      <c r="C6" s="9" t="s">
        <v>2211</v>
      </c>
      <c r="D6" s="9" t="s">
        <v>2212</v>
      </c>
      <c r="E6" s="9" t="s">
        <v>2213</v>
      </c>
      <c r="F6" s="9" t="s">
        <v>47</v>
      </c>
      <c r="G6" s="9" t="s">
        <v>2199</v>
      </c>
    </row>
    <row r="7" customFormat="false" ht="15" hidden="false" customHeight="true" outlineLevel="0" collapsed="false">
      <c r="A7" s="9" t="s">
        <v>2194</v>
      </c>
      <c r="B7" s="9" t="s">
        <v>2202</v>
      </c>
      <c r="C7" s="9" t="s">
        <v>2214</v>
      </c>
      <c r="D7" s="9" t="s">
        <v>2215</v>
      </c>
      <c r="E7" s="9" t="s">
        <v>2216</v>
      </c>
      <c r="F7" s="9" t="s">
        <v>47</v>
      </c>
      <c r="G7" s="9" t="s">
        <v>2199</v>
      </c>
    </row>
    <row r="8" customFormat="false" ht="15" hidden="false" customHeight="true" outlineLevel="0" collapsed="false">
      <c r="A8" s="9" t="s">
        <v>2194</v>
      </c>
      <c r="B8" s="9" t="s">
        <v>2202</v>
      </c>
      <c r="C8" s="9" t="s">
        <v>2214</v>
      </c>
      <c r="D8" s="9" t="s">
        <v>2217</v>
      </c>
      <c r="E8" s="9" t="s">
        <v>2218</v>
      </c>
      <c r="F8" s="9" t="s">
        <v>47</v>
      </c>
      <c r="G8" s="9" t="s">
        <v>2199</v>
      </c>
    </row>
    <row r="9" customFormat="false" ht="15" hidden="false" customHeight="true" outlineLevel="0" collapsed="false">
      <c r="A9" s="9" t="s">
        <v>2219</v>
      </c>
      <c r="B9" s="9" t="s">
        <v>2220</v>
      </c>
      <c r="C9" s="9" t="s">
        <v>2221</v>
      </c>
      <c r="D9" s="9" t="s">
        <v>2222</v>
      </c>
      <c r="E9" s="9" t="s">
        <v>2223</v>
      </c>
      <c r="F9" s="9" t="s">
        <v>47</v>
      </c>
      <c r="G9" s="9" t="s">
        <v>2199</v>
      </c>
    </row>
    <row r="10" customFormat="false" ht="15" hidden="false" customHeight="true" outlineLevel="0" collapsed="false">
      <c r="A10" s="9" t="s">
        <v>2224</v>
      </c>
      <c r="B10" s="9" t="s">
        <v>2195</v>
      </c>
      <c r="C10" s="9" t="s">
        <v>2225</v>
      </c>
      <c r="D10" s="9" t="s">
        <v>2226</v>
      </c>
      <c r="E10" s="9" t="s">
        <v>2227</v>
      </c>
      <c r="F10" s="9" t="s">
        <v>40</v>
      </c>
      <c r="G10" s="9" t="s">
        <v>2228</v>
      </c>
    </row>
    <row r="11" customFormat="false" ht="15" hidden="false" customHeight="true" outlineLevel="0" collapsed="false">
      <c r="A11" s="9" t="s">
        <v>2194</v>
      </c>
      <c r="B11" s="9" t="s">
        <v>2195</v>
      </c>
      <c r="C11" s="9" t="s">
        <v>2229</v>
      </c>
      <c r="D11" s="9" t="s">
        <v>2230</v>
      </c>
      <c r="E11" s="9" t="s">
        <v>2231</v>
      </c>
      <c r="F11" s="9" t="s">
        <v>40</v>
      </c>
      <c r="G11" s="9" t="s">
        <v>2199</v>
      </c>
    </row>
    <row r="12" customFormat="false" ht="15" hidden="false" customHeight="true" outlineLevel="0" collapsed="false">
      <c r="A12" s="9" t="s">
        <v>2194</v>
      </c>
      <c r="B12" s="9" t="s">
        <v>2195</v>
      </c>
      <c r="C12" s="9" t="s">
        <v>2229</v>
      </c>
      <c r="D12" s="9" t="s">
        <v>2232</v>
      </c>
      <c r="E12" s="9" t="s">
        <v>2233</v>
      </c>
      <c r="F12" s="9" t="s">
        <v>40</v>
      </c>
      <c r="G12" s="9" t="s">
        <v>2228</v>
      </c>
    </row>
    <row r="13" customFormat="false" ht="15" hidden="false" customHeight="true" outlineLevel="0" collapsed="false">
      <c r="A13" s="9" t="s">
        <v>2194</v>
      </c>
      <c r="B13" s="9" t="s">
        <v>2207</v>
      </c>
      <c r="C13" s="9" t="s">
        <v>2229</v>
      </c>
      <c r="D13" s="9" t="s">
        <v>2234</v>
      </c>
      <c r="E13" s="9" t="s">
        <v>2235</v>
      </c>
      <c r="F13" s="9" t="s">
        <v>40</v>
      </c>
      <c r="G13" s="9" t="s">
        <v>2228</v>
      </c>
    </row>
    <row r="14" customFormat="false" ht="15" hidden="false" customHeight="true" outlineLevel="0" collapsed="false">
      <c r="A14" s="9" t="s">
        <v>2194</v>
      </c>
      <c r="B14" s="9" t="s">
        <v>2195</v>
      </c>
      <c r="C14" s="9" t="s">
        <v>2236</v>
      </c>
      <c r="D14" s="9" t="s">
        <v>2237</v>
      </c>
      <c r="E14" s="9" t="s">
        <v>2238</v>
      </c>
      <c r="F14" s="9" t="s">
        <v>47</v>
      </c>
      <c r="G14" s="9" t="s">
        <v>2199</v>
      </c>
    </row>
    <row r="15" customFormat="false" ht="15" hidden="false" customHeight="true" outlineLevel="0" collapsed="false">
      <c r="A15" s="9" t="s">
        <v>2194</v>
      </c>
      <c r="B15" s="9" t="s">
        <v>2195</v>
      </c>
      <c r="C15" s="9" t="s">
        <v>2239</v>
      </c>
      <c r="D15" s="9" t="s">
        <v>2240</v>
      </c>
      <c r="E15" s="9" t="s">
        <v>2241</v>
      </c>
      <c r="F15" s="9" t="s">
        <v>40</v>
      </c>
      <c r="G15" s="9" t="s">
        <v>2199</v>
      </c>
    </row>
    <row r="16" customFormat="false" ht="15" hidden="false" customHeight="true" outlineLevel="0" collapsed="false">
      <c r="A16" s="9" t="s">
        <v>2242</v>
      </c>
      <c r="B16" s="9" t="s">
        <v>2207</v>
      </c>
      <c r="C16" s="9" t="s">
        <v>2243</v>
      </c>
      <c r="D16" s="9" t="s">
        <v>2244</v>
      </c>
      <c r="E16" s="9" t="s">
        <v>2245</v>
      </c>
      <c r="F16" s="9" t="s">
        <v>47</v>
      </c>
      <c r="G16" s="9" t="s">
        <v>2199</v>
      </c>
    </row>
    <row r="17" customFormat="false" ht="15" hidden="false" customHeight="true" outlineLevel="0" collapsed="false">
      <c r="A17" s="9" t="s">
        <v>2206</v>
      </c>
      <c r="B17" s="9" t="s">
        <v>2220</v>
      </c>
      <c r="C17" s="9" t="s">
        <v>2246</v>
      </c>
      <c r="D17" s="9" t="s">
        <v>2247</v>
      </c>
      <c r="E17" s="9" t="s">
        <v>2248</v>
      </c>
      <c r="F17" s="9" t="s">
        <v>47</v>
      </c>
      <c r="G17" s="9" t="s">
        <v>2199</v>
      </c>
    </row>
    <row r="18" customFormat="false" ht="15" hidden="false" customHeight="true" outlineLevel="0" collapsed="false">
      <c r="A18" s="9" t="s">
        <v>2206</v>
      </c>
      <c r="B18" s="9" t="s">
        <v>2195</v>
      </c>
      <c r="C18" s="9" t="s">
        <v>2246</v>
      </c>
      <c r="D18" s="9" t="s">
        <v>2249</v>
      </c>
      <c r="E18" s="9" t="s">
        <v>2250</v>
      </c>
      <c r="F18" s="9" t="s">
        <v>40</v>
      </c>
      <c r="G18" s="9" t="s">
        <v>2199</v>
      </c>
    </row>
    <row r="19" customFormat="false" ht="15" hidden="false" customHeight="true" outlineLevel="0" collapsed="false">
      <c r="A19" s="9" t="s">
        <v>2224</v>
      </c>
      <c r="B19" s="9" t="s">
        <v>2195</v>
      </c>
      <c r="C19" s="9" t="s">
        <v>2251</v>
      </c>
      <c r="D19" s="9" t="s">
        <v>2252</v>
      </c>
      <c r="E19" s="9" t="s">
        <v>2253</v>
      </c>
      <c r="F19" s="9" t="s">
        <v>40</v>
      </c>
      <c r="G19" s="9" t="s">
        <v>2228</v>
      </c>
    </row>
    <row r="20" customFormat="false" ht="15" hidden="false" customHeight="true" outlineLevel="0" collapsed="false">
      <c r="A20" s="9" t="s">
        <v>2206</v>
      </c>
      <c r="B20" s="9" t="s">
        <v>2195</v>
      </c>
      <c r="C20" s="9" t="s">
        <v>2251</v>
      </c>
      <c r="D20" s="9" t="s">
        <v>2254</v>
      </c>
      <c r="E20" s="9" t="s">
        <v>2255</v>
      </c>
      <c r="F20" s="9" t="s">
        <v>40</v>
      </c>
      <c r="G20" s="9" t="s">
        <v>2199</v>
      </c>
    </row>
    <row r="21" customFormat="false" ht="15" hidden="false" customHeight="true" outlineLevel="0" collapsed="false">
      <c r="A21" s="9" t="s">
        <v>2242</v>
      </c>
      <c r="B21" s="9" t="s">
        <v>2195</v>
      </c>
      <c r="C21" s="9" t="s">
        <v>2251</v>
      </c>
      <c r="D21" s="9" t="s">
        <v>2256</v>
      </c>
      <c r="E21" s="9" t="s">
        <v>2257</v>
      </c>
      <c r="F21" s="9" t="s">
        <v>40</v>
      </c>
      <c r="G21" s="9" t="s">
        <v>2228</v>
      </c>
    </row>
    <row r="22" customFormat="false" ht="15" hidden="false" customHeight="true" outlineLevel="0" collapsed="false">
      <c r="A22" s="9" t="s">
        <v>2194</v>
      </c>
      <c r="B22" s="9" t="s">
        <v>2195</v>
      </c>
      <c r="C22" s="9" t="s">
        <v>2258</v>
      </c>
      <c r="D22" s="9" t="s">
        <v>2259</v>
      </c>
      <c r="E22" s="9" t="s">
        <v>2260</v>
      </c>
      <c r="F22" s="9" t="s">
        <v>47</v>
      </c>
      <c r="G22" s="9" t="s">
        <v>2199</v>
      </c>
    </row>
    <row r="23" customFormat="false" ht="15" hidden="false" customHeight="true" outlineLevel="0" collapsed="false">
      <c r="A23" s="9" t="s">
        <v>2194</v>
      </c>
      <c r="B23" s="9" t="s">
        <v>2195</v>
      </c>
      <c r="C23" s="9" t="s">
        <v>2258</v>
      </c>
      <c r="D23" s="9" t="s">
        <v>2261</v>
      </c>
      <c r="E23" s="9" t="s">
        <v>2262</v>
      </c>
      <c r="F23" s="9" t="s">
        <v>40</v>
      </c>
      <c r="G23" s="9" t="s">
        <v>2228</v>
      </c>
    </row>
    <row r="24" customFormat="false" ht="15" hidden="false" customHeight="true" outlineLevel="0" collapsed="false">
      <c r="A24" s="9" t="s">
        <v>2194</v>
      </c>
      <c r="B24" s="9" t="s">
        <v>2195</v>
      </c>
      <c r="C24" s="9" t="s">
        <v>2258</v>
      </c>
      <c r="D24" s="9" t="s">
        <v>2263</v>
      </c>
      <c r="E24" s="9" t="s">
        <v>2264</v>
      </c>
      <c r="F24" s="9" t="s">
        <v>40</v>
      </c>
      <c r="G24" s="9" t="s">
        <v>2199</v>
      </c>
    </row>
    <row r="25" customFormat="false" ht="15" hidden="false" customHeight="true" outlineLevel="0" collapsed="false">
      <c r="A25" s="9" t="s">
        <v>2194</v>
      </c>
      <c r="B25" s="9" t="s">
        <v>2195</v>
      </c>
      <c r="C25" s="9" t="s">
        <v>2258</v>
      </c>
      <c r="D25" s="9" t="s">
        <v>2265</v>
      </c>
      <c r="E25" s="9" t="s">
        <v>2266</v>
      </c>
      <c r="F25" s="9" t="s">
        <v>40</v>
      </c>
      <c r="G25" s="9" t="s">
        <v>2228</v>
      </c>
    </row>
    <row r="26" customFormat="false" ht="15" hidden="false" customHeight="true" outlineLevel="0" collapsed="false">
      <c r="A26" s="9" t="s">
        <v>2194</v>
      </c>
      <c r="B26" s="9" t="s">
        <v>2195</v>
      </c>
      <c r="C26" s="9" t="s">
        <v>2267</v>
      </c>
      <c r="D26" s="9" t="s">
        <v>2268</v>
      </c>
      <c r="E26" s="9" t="s">
        <v>2269</v>
      </c>
      <c r="F26" s="9" t="s">
        <v>40</v>
      </c>
      <c r="G26" s="9" t="s">
        <v>2228</v>
      </c>
    </row>
    <row r="27" customFormat="false" ht="15" hidden="false" customHeight="true" outlineLevel="0" collapsed="false">
      <c r="A27" s="9" t="s">
        <v>2194</v>
      </c>
      <c r="B27" s="9" t="s">
        <v>2202</v>
      </c>
      <c r="C27" s="9" t="s">
        <v>2267</v>
      </c>
      <c r="D27" s="9" t="s">
        <v>2270</v>
      </c>
      <c r="E27" s="9" t="s">
        <v>2271</v>
      </c>
      <c r="F27" s="9" t="s">
        <v>40</v>
      </c>
      <c r="G27" s="9" t="s">
        <v>2199</v>
      </c>
    </row>
    <row r="28" customFormat="false" ht="15" hidden="false" customHeight="true" outlineLevel="0" collapsed="false">
      <c r="A28" s="9" t="s">
        <v>2194</v>
      </c>
      <c r="B28" s="9" t="s">
        <v>2202</v>
      </c>
      <c r="C28" s="9" t="s">
        <v>2272</v>
      </c>
      <c r="D28" s="9" t="s">
        <v>2273</v>
      </c>
      <c r="E28" s="9" t="s">
        <v>2274</v>
      </c>
      <c r="F28" s="9" t="s">
        <v>40</v>
      </c>
      <c r="G28" s="9" t="s">
        <v>2199</v>
      </c>
    </row>
    <row r="29" customFormat="false" ht="15" hidden="false" customHeight="true" outlineLevel="0" collapsed="false">
      <c r="A29" s="9" t="s">
        <v>2194</v>
      </c>
      <c r="B29" s="9" t="s">
        <v>2195</v>
      </c>
      <c r="C29" s="9" t="s">
        <v>2275</v>
      </c>
      <c r="D29" s="9" t="s">
        <v>2276</v>
      </c>
      <c r="E29" s="9" t="s">
        <v>2277</v>
      </c>
      <c r="F29" s="9" t="s">
        <v>40</v>
      </c>
      <c r="G29" s="9" t="s">
        <v>2228</v>
      </c>
    </row>
    <row r="30" customFormat="false" ht="15" hidden="false" customHeight="true" outlineLevel="0" collapsed="false">
      <c r="A30" s="9" t="s">
        <v>2206</v>
      </c>
      <c r="B30" s="9" t="s">
        <v>2220</v>
      </c>
      <c r="C30" s="9" t="s">
        <v>2275</v>
      </c>
      <c r="D30" s="9" t="s">
        <v>2278</v>
      </c>
      <c r="E30" s="9" t="s">
        <v>2279</v>
      </c>
      <c r="F30" s="9" t="s">
        <v>47</v>
      </c>
      <c r="G30" s="9" t="s">
        <v>2199</v>
      </c>
    </row>
    <row r="31" customFormat="false" ht="15" hidden="false" customHeight="true" outlineLevel="0" collapsed="false">
      <c r="A31" s="9" t="s">
        <v>2206</v>
      </c>
      <c r="B31" s="9" t="s">
        <v>2220</v>
      </c>
      <c r="C31" s="9" t="s">
        <v>2275</v>
      </c>
      <c r="D31" s="9" t="s">
        <v>2280</v>
      </c>
      <c r="E31" s="9" t="s">
        <v>2281</v>
      </c>
      <c r="F31" s="9" t="s">
        <v>47</v>
      </c>
      <c r="G31" s="9" t="s">
        <v>2199</v>
      </c>
    </row>
    <row r="32" customFormat="false" ht="15" hidden="false" customHeight="true" outlineLevel="0" collapsed="false">
      <c r="A32" s="9" t="s">
        <v>2282</v>
      </c>
      <c r="B32" s="9" t="s">
        <v>2220</v>
      </c>
      <c r="C32" s="9" t="s">
        <v>2283</v>
      </c>
      <c r="D32" s="9" t="s">
        <v>2284</v>
      </c>
      <c r="E32" s="9" t="s">
        <v>2285</v>
      </c>
      <c r="F32" s="9" t="s">
        <v>47</v>
      </c>
      <c r="G32" s="9" t="s">
        <v>2199</v>
      </c>
    </row>
    <row r="33" customFormat="false" ht="15" hidden="false" customHeight="true" outlineLevel="0" collapsed="false">
      <c r="A33" s="9" t="s">
        <v>2194</v>
      </c>
      <c r="B33" s="9" t="s">
        <v>2207</v>
      </c>
      <c r="C33" s="9" t="s">
        <v>2286</v>
      </c>
      <c r="D33" s="9" t="s">
        <v>2287</v>
      </c>
      <c r="E33" s="9" t="s">
        <v>2288</v>
      </c>
      <c r="F33" s="9" t="s">
        <v>40</v>
      </c>
      <c r="G33" s="9" t="s">
        <v>2228</v>
      </c>
    </row>
    <row r="34" customFormat="false" ht="15" hidden="false" customHeight="true" outlineLevel="0" collapsed="false">
      <c r="A34" s="9" t="s">
        <v>2224</v>
      </c>
      <c r="B34" s="9" t="s">
        <v>2195</v>
      </c>
      <c r="C34" s="9" t="s">
        <v>2286</v>
      </c>
      <c r="D34" s="9" t="s">
        <v>2289</v>
      </c>
      <c r="E34" s="9" t="s">
        <v>2290</v>
      </c>
      <c r="F34" s="9" t="s">
        <v>40</v>
      </c>
      <c r="G34" s="9" t="s">
        <v>2228</v>
      </c>
    </row>
    <row r="35" customFormat="false" ht="15" hidden="false" customHeight="true" outlineLevel="0" collapsed="false">
      <c r="A35" s="9" t="s">
        <v>2291</v>
      </c>
      <c r="B35" s="9" t="s">
        <v>2220</v>
      </c>
      <c r="C35" s="9" t="s">
        <v>2286</v>
      </c>
      <c r="D35" s="9" t="s">
        <v>2292</v>
      </c>
      <c r="E35" s="9" t="s">
        <v>2293</v>
      </c>
      <c r="F35" s="9" t="s">
        <v>47</v>
      </c>
      <c r="G35" s="9" t="s">
        <v>2199</v>
      </c>
    </row>
    <row r="36" customFormat="false" ht="15" hidden="false" customHeight="true" outlineLevel="0" collapsed="false">
      <c r="A36" s="9" t="s">
        <v>2242</v>
      </c>
      <c r="B36" s="9" t="s">
        <v>2195</v>
      </c>
      <c r="C36" s="9" t="s">
        <v>2294</v>
      </c>
      <c r="D36" s="9" t="s">
        <v>2295</v>
      </c>
      <c r="E36" s="9" t="s">
        <v>2296</v>
      </c>
      <c r="F36" s="9" t="s">
        <v>40</v>
      </c>
      <c r="G36" s="9" t="s">
        <v>2228</v>
      </c>
    </row>
    <row r="37" customFormat="false" ht="15" hidden="false" customHeight="true" outlineLevel="0" collapsed="false">
      <c r="A37" s="9" t="s">
        <v>2282</v>
      </c>
      <c r="B37" s="9" t="s">
        <v>2220</v>
      </c>
      <c r="C37" s="9" t="s">
        <v>2294</v>
      </c>
      <c r="D37" s="9" t="s">
        <v>2297</v>
      </c>
      <c r="E37" s="9" t="s">
        <v>2298</v>
      </c>
      <c r="F37" s="9" t="s">
        <v>47</v>
      </c>
      <c r="G37" s="9" t="s">
        <v>2199</v>
      </c>
    </row>
    <row r="38" customFormat="false" ht="15" hidden="false" customHeight="true" outlineLevel="0" collapsed="false">
      <c r="A38" s="9" t="s">
        <v>2282</v>
      </c>
      <c r="B38" s="9" t="s">
        <v>2220</v>
      </c>
      <c r="C38" s="9" t="s">
        <v>2299</v>
      </c>
      <c r="D38" s="9" t="s">
        <v>2300</v>
      </c>
      <c r="E38" s="9" t="s">
        <v>2301</v>
      </c>
      <c r="F38" s="9" t="s">
        <v>47</v>
      </c>
      <c r="G38" s="9" t="s">
        <v>2199</v>
      </c>
    </row>
    <row r="39" customFormat="false" ht="15" hidden="false" customHeight="true" outlineLevel="0" collapsed="false">
      <c r="A39" s="9" t="s">
        <v>2282</v>
      </c>
      <c r="B39" s="9" t="s">
        <v>2220</v>
      </c>
      <c r="C39" s="9" t="s">
        <v>2299</v>
      </c>
      <c r="D39" s="9" t="s">
        <v>2302</v>
      </c>
      <c r="E39" s="9" t="s">
        <v>2303</v>
      </c>
      <c r="F39" s="9" t="s">
        <v>47</v>
      </c>
      <c r="G39" s="9" t="s">
        <v>2199</v>
      </c>
    </row>
    <row r="40" customFormat="false" ht="15" hidden="false" customHeight="true" outlineLevel="0" collapsed="false">
      <c r="A40" s="9" t="s">
        <v>2282</v>
      </c>
      <c r="B40" s="9" t="s">
        <v>2220</v>
      </c>
      <c r="C40" s="9" t="s">
        <v>2299</v>
      </c>
      <c r="D40" s="9" t="s">
        <v>2304</v>
      </c>
      <c r="E40" s="9" t="s">
        <v>2305</v>
      </c>
      <c r="F40" s="9" t="s">
        <v>47</v>
      </c>
      <c r="G40" s="9" t="s">
        <v>2228</v>
      </c>
    </row>
    <row r="41" customFormat="false" ht="15" hidden="false" customHeight="true" outlineLevel="0" collapsed="false">
      <c r="A41" s="9" t="s">
        <v>2242</v>
      </c>
      <c r="B41" s="9" t="s">
        <v>2207</v>
      </c>
      <c r="C41" s="9" t="s">
        <v>2306</v>
      </c>
      <c r="D41" s="9" t="s">
        <v>2307</v>
      </c>
      <c r="E41" s="9" t="s">
        <v>2308</v>
      </c>
      <c r="F41" s="9" t="s">
        <v>40</v>
      </c>
      <c r="G41" s="9" t="s">
        <v>2228</v>
      </c>
    </row>
    <row r="42" customFormat="false" ht="15" hidden="false" customHeight="true" outlineLevel="0" collapsed="false">
      <c r="A42" s="9" t="s">
        <v>2242</v>
      </c>
      <c r="B42" s="9" t="s">
        <v>2220</v>
      </c>
      <c r="C42" s="9" t="s">
        <v>2306</v>
      </c>
      <c r="D42" s="9" t="s">
        <v>2309</v>
      </c>
      <c r="E42" s="9" t="s">
        <v>2310</v>
      </c>
      <c r="F42" s="9" t="s">
        <v>40</v>
      </c>
      <c r="G42" s="9" t="s">
        <v>2228</v>
      </c>
    </row>
    <row r="43" customFormat="false" ht="15" hidden="false" customHeight="true" outlineLevel="0" collapsed="false">
      <c r="A43" s="9" t="s">
        <v>2224</v>
      </c>
      <c r="B43" s="9" t="s">
        <v>2207</v>
      </c>
      <c r="C43" s="9" t="s">
        <v>2306</v>
      </c>
      <c r="D43" s="9" t="s">
        <v>2311</v>
      </c>
      <c r="E43" s="9" t="s">
        <v>2312</v>
      </c>
      <c r="F43" s="9" t="s">
        <v>40</v>
      </c>
      <c r="G43" s="9" t="s">
        <v>2228</v>
      </c>
    </row>
    <row r="44" customFormat="false" ht="15" hidden="false" customHeight="true" outlineLevel="0" collapsed="false">
      <c r="A44" s="9" t="s">
        <v>2224</v>
      </c>
      <c r="B44" s="9" t="s">
        <v>2195</v>
      </c>
      <c r="C44" s="9" t="s">
        <v>2306</v>
      </c>
      <c r="D44" s="9" t="s">
        <v>2313</v>
      </c>
      <c r="E44" s="9" t="s">
        <v>2314</v>
      </c>
      <c r="F44" s="9" t="s">
        <v>40</v>
      </c>
      <c r="G44" s="9" t="s">
        <v>2228</v>
      </c>
    </row>
    <row r="45" customFormat="false" ht="15" hidden="false" customHeight="true" outlineLevel="0" collapsed="false">
      <c r="A45" s="9" t="s">
        <v>2282</v>
      </c>
      <c r="B45" s="9" t="s">
        <v>2220</v>
      </c>
      <c r="C45" s="9" t="s">
        <v>2306</v>
      </c>
      <c r="D45" s="9" t="s">
        <v>2315</v>
      </c>
      <c r="E45" s="9" t="s">
        <v>2314</v>
      </c>
      <c r="F45" s="9" t="s">
        <v>47</v>
      </c>
      <c r="G45" s="9" t="s">
        <v>2228</v>
      </c>
    </row>
    <row r="46" customFormat="false" ht="15" hidden="false" customHeight="true" outlineLevel="0" collapsed="false">
      <c r="A46" s="9" t="s">
        <v>2282</v>
      </c>
      <c r="B46" s="9" t="s">
        <v>2195</v>
      </c>
      <c r="C46" s="9" t="s">
        <v>2306</v>
      </c>
      <c r="D46" s="9" t="s">
        <v>2316</v>
      </c>
      <c r="E46" s="9" t="s">
        <v>2317</v>
      </c>
      <c r="F46" s="9" t="s">
        <v>40</v>
      </c>
      <c r="G46" s="9" t="s">
        <v>2228</v>
      </c>
    </row>
    <row r="47" customFormat="false" ht="15" hidden="false" customHeight="true" outlineLevel="0" collapsed="false">
      <c r="A47" s="9" t="s">
        <v>2282</v>
      </c>
      <c r="B47" s="9" t="s">
        <v>2220</v>
      </c>
      <c r="C47" s="9" t="s">
        <v>2306</v>
      </c>
      <c r="D47" s="9" t="s">
        <v>2318</v>
      </c>
      <c r="E47" s="9" t="s">
        <v>2319</v>
      </c>
      <c r="F47" s="9" t="s">
        <v>47</v>
      </c>
      <c r="G47" s="9" t="s">
        <v>2199</v>
      </c>
    </row>
    <row r="48" customFormat="false" ht="15" hidden="false" customHeight="true" outlineLevel="0" collapsed="false">
      <c r="A48" s="9" t="s">
        <v>2282</v>
      </c>
      <c r="B48" s="9" t="s">
        <v>2207</v>
      </c>
      <c r="C48" s="9" t="s">
        <v>2306</v>
      </c>
      <c r="D48" s="9" t="s">
        <v>2320</v>
      </c>
      <c r="E48" s="9" t="s">
        <v>2321</v>
      </c>
      <c r="F48" s="9" t="s">
        <v>40</v>
      </c>
      <c r="G48" s="9" t="s">
        <v>2199</v>
      </c>
    </row>
    <row r="49" customFormat="false" ht="15" hidden="false" customHeight="true" outlineLevel="0" collapsed="false">
      <c r="A49" s="9" t="s">
        <v>2282</v>
      </c>
      <c r="B49" s="9" t="s">
        <v>2220</v>
      </c>
      <c r="C49" s="9" t="s">
        <v>2322</v>
      </c>
      <c r="D49" s="9" t="s">
        <v>2323</v>
      </c>
      <c r="E49" s="9" t="s">
        <v>2324</v>
      </c>
      <c r="F49" s="9" t="s">
        <v>47</v>
      </c>
      <c r="G49" s="9" t="s">
        <v>2199</v>
      </c>
    </row>
    <row r="50" customFormat="false" ht="15" hidden="false" customHeight="true" outlineLevel="0" collapsed="false">
      <c r="A50" s="9" t="s">
        <v>2219</v>
      </c>
      <c r="B50" s="9" t="s">
        <v>2195</v>
      </c>
      <c r="C50" s="9" t="s">
        <v>2322</v>
      </c>
      <c r="D50" s="9" t="s">
        <v>2325</v>
      </c>
      <c r="E50" s="9" t="s">
        <v>2326</v>
      </c>
      <c r="F50" s="9" t="s">
        <v>47</v>
      </c>
      <c r="G50" s="9" t="s">
        <v>2228</v>
      </c>
    </row>
    <row r="51" customFormat="false" ht="15" hidden="false" customHeight="true" outlineLevel="0" collapsed="false">
      <c r="A51" s="9" t="s">
        <v>2219</v>
      </c>
      <c r="B51" s="9" t="s">
        <v>2207</v>
      </c>
      <c r="C51" s="9" t="s">
        <v>2322</v>
      </c>
      <c r="D51" s="9" t="s">
        <v>2327</v>
      </c>
      <c r="E51" s="9" t="s">
        <v>2328</v>
      </c>
      <c r="F51" s="9" t="s">
        <v>40</v>
      </c>
      <c r="G51" s="9" t="s">
        <v>2199</v>
      </c>
    </row>
    <row r="52" customFormat="false" ht="15" hidden="false" customHeight="true" outlineLevel="0" collapsed="false">
      <c r="A52" s="9" t="s">
        <v>2219</v>
      </c>
      <c r="B52" s="9" t="s">
        <v>2207</v>
      </c>
      <c r="C52" s="9" t="s">
        <v>2322</v>
      </c>
      <c r="D52" s="9" t="s">
        <v>2329</v>
      </c>
      <c r="E52" s="9" t="s">
        <v>2330</v>
      </c>
      <c r="F52" s="9" t="s">
        <v>40</v>
      </c>
      <c r="G52" s="9" t="s">
        <v>2199</v>
      </c>
    </row>
    <row r="53" customFormat="false" ht="15" hidden="false" customHeight="true" outlineLevel="0" collapsed="false">
      <c r="A53" s="9" t="s">
        <v>2282</v>
      </c>
      <c r="B53" s="9" t="s">
        <v>2220</v>
      </c>
      <c r="C53" s="9" t="s">
        <v>2322</v>
      </c>
      <c r="D53" s="9" t="s">
        <v>2331</v>
      </c>
      <c r="E53" s="9" t="s">
        <v>2332</v>
      </c>
      <c r="F53" s="9" t="s">
        <v>47</v>
      </c>
      <c r="G53" s="9" t="s">
        <v>2199</v>
      </c>
    </row>
    <row r="54" customFormat="false" ht="15" hidden="false" customHeight="true" outlineLevel="0" collapsed="false">
      <c r="A54" s="9" t="s">
        <v>2219</v>
      </c>
      <c r="B54" s="9" t="s">
        <v>2195</v>
      </c>
      <c r="C54" s="9" t="s">
        <v>2322</v>
      </c>
      <c r="D54" s="9" t="s">
        <v>2333</v>
      </c>
      <c r="E54" s="9" t="s">
        <v>2332</v>
      </c>
      <c r="F54" s="9" t="s">
        <v>40</v>
      </c>
      <c r="G54" s="9" t="s">
        <v>2199</v>
      </c>
    </row>
    <row r="55" customFormat="false" ht="15" hidden="false" customHeight="true" outlineLevel="0" collapsed="false">
      <c r="A55" s="9" t="s">
        <v>2219</v>
      </c>
      <c r="B55" s="9" t="s">
        <v>2195</v>
      </c>
      <c r="C55" s="9" t="s">
        <v>2322</v>
      </c>
      <c r="D55" s="9" t="s">
        <v>2334</v>
      </c>
      <c r="E55" s="9" t="s">
        <v>2335</v>
      </c>
      <c r="F55" s="9" t="s">
        <v>40</v>
      </c>
      <c r="G55" s="9" t="s">
        <v>2199</v>
      </c>
    </row>
    <row r="56" customFormat="false" ht="15" hidden="false" customHeight="true" outlineLevel="0" collapsed="false">
      <c r="A56" s="9" t="s">
        <v>2336</v>
      </c>
      <c r="B56" s="9" t="s">
        <v>2220</v>
      </c>
      <c r="C56" s="9" t="s">
        <v>2322</v>
      </c>
      <c r="D56" s="9" t="s">
        <v>2337</v>
      </c>
      <c r="E56" s="9" t="s">
        <v>2338</v>
      </c>
      <c r="F56" s="9" t="s">
        <v>47</v>
      </c>
      <c r="G56" s="9" t="s">
        <v>2228</v>
      </c>
    </row>
    <row r="57" customFormat="false" ht="15" hidden="false" customHeight="true" outlineLevel="0" collapsed="false">
      <c r="A57" s="9" t="s">
        <v>2291</v>
      </c>
      <c r="B57" s="9" t="s">
        <v>2220</v>
      </c>
      <c r="C57" s="9" t="s">
        <v>2339</v>
      </c>
      <c r="D57" s="9" t="s">
        <v>2340</v>
      </c>
      <c r="E57" s="9" t="s">
        <v>2341</v>
      </c>
      <c r="F57" s="9" t="s">
        <v>47</v>
      </c>
      <c r="G57" s="9" t="s">
        <v>2228</v>
      </c>
    </row>
    <row r="58" customFormat="false" ht="15" hidden="false" customHeight="true" outlineLevel="0" collapsed="false">
      <c r="A58" s="9" t="s">
        <v>2206</v>
      </c>
      <c r="B58" s="9" t="s">
        <v>2207</v>
      </c>
      <c r="C58" s="9" t="s">
        <v>2339</v>
      </c>
      <c r="D58" s="9" t="s">
        <v>2342</v>
      </c>
      <c r="E58" s="9" t="s">
        <v>2343</v>
      </c>
      <c r="F58" s="9" t="s">
        <v>40</v>
      </c>
      <c r="G58" s="9" t="s">
        <v>2228</v>
      </c>
    </row>
    <row r="59" customFormat="false" ht="15" hidden="false" customHeight="true" outlineLevel="0" collapsed="false">
      <c r="A59" s="9" t="s">
        <v>2282</v>
      </c>
      <c r="B59" s="9" t="s">
        <v>2195</v>
      </c>
      <c r="C59" s="9" t="s">
        <v>2339</v>
      </c>
      <c r="D59" s="9" t="s">
        <v>2344</v>
      </c>
      <c r="E59" s="9" t="s">
        <v>2296</v>
      </c>
      <c r="F59" s="9" t="s">
        <v>40</v>
      </c>
      <c r="G59" s="9" t="s">
        <v>2228</v>
      </c>
    </row>
    <row r="60" customFormat="false" ht="15" hidden="false" customHeight="true" outlineLevel="0" collapsed="false">
      <c r="A60" s="9" t="s">
        <v>2194</v>
      </c>
      <c r="B60" s="9" t="s">
        <v>2195</v>
      </c>
      <c r="C60" s="9" t="s">
        <v>2339</v>
      </c>
      <c r="D60" s="9" t="s">
        <v>2345</v>
      </c>
      <c r="E60" s="9" t="s">
        <v>2296</v>
      </c>
      <c r="F60" s="9" t="s">
        <v>47</v>
      </c>
      <c r="G60" s="9" t="s">
        <v>2228</v>
      </c>
    </row>
    <row r="61" customFormat="false" ht="15" hidden="false" customHeight="true" outlineLevel="0" collapsed="false">
      <c r="A61" s="9" t="s">
        <v>2291</v>
      </c>
      <c r="B61" s="9" t="s">
        <v>2220</v>
      </c>
      <c r="C61" s="9" t="s">
        <v>2339</v>
      </c>
      <c r="D61" s="9" t="s">
        <v>2346</v>
      </c>
      <c r="E61" s="9" t="s">
        <v>2296</v>
      </c>
      <c r="F61" s="9" t="s">
        <v>47</v>
      </c>
      <c r="G61" s="9" t="s">
        <v>2228</v>
      </c>
    </row>
    <row r="62" customFormat="false" ht="15" hidden="false" customHeight="true" outlineLevel="0" collapsed="false">
      <c r="A62" s="9" t="s">
        <v>2291</v>
      </c>
      <c r="B62" s="9" t="s">
        <v>2220</v>
      </c>
      <c r="C62" s="9" t="s">
        <v>2339</v>
      </c>
      <c r="D62" s="9" t="s">
        <v>2347</v>
      </c>
      <c r="E62" s="9" t="s">
        <v>2296</v>
      </c>
      <c r="F62" s="9" t="s">
        <v>47</v>
      </c>
      <c r="G62" s="9" t="s">
        <v>2228</v>
      </c>
    </row>
    <row r="63" customFormat="false" ht="15" hidden="false" customHeight="true" outlineLevel="0" collapsed="false">
      <c r="A63" s="9" t="s">
        <v>2242</v>
      </c>
      <c r="B63" s="9" t="s">
        <v>2220</v>
      </c>
      <c r="C63" s="9" t="s">
        <v>2339</v>
      </c>
      <c r="D63" s="9" t="s">
        <v>2348</v>
      </c>
      <c r="E63" s="9" t="s">
        <v>2296</v>
      </c>
      <c r="F63" s="9" t="s">
        <v>40</v>
      </c>
      <c r="G63" s="9" t="s">
        <v>2228</v>
      </c>
    </row>
    <row r="64" customFormat="false" ht="15" hidden="false" customHeight="true" outlineLevel="0" collapsed="false">
      <c r="A64" s="9" t="s">
        <v>2242</v>
      </c>
      <c r="B64" s="9" t="s">
        <v>2207</v>
      </c>
      <c r="C64" s="9" t="s">
        <v>2339</v>
      </c>
      <c r="D64" s="9" t="s">
        <v>2349</v>
      </c>
      <c r="E64" s="9" t="s">
        <v>2350</v>
      </c>
      <c r="F64" s="9" t="s">
        <v>40</v>
      </c>
      <c r="G64" s="9" t="s">
        <v>2199</v>
      </c>
    </row>
    <row r="65" customFormat="false" ht="15" hidden="false" customHeight="true" outlineLevel="0" collapsed="false">
      <c r="A65" s="9" t="s">
        <v>2242</v>
      </c>
      <c r="B65" s="9" t="s">
        <v>2195</v>
      </c>
      <c r="C65" s="9" t="s">
        <v>2339</v>
      </c>
      <c r="D65" s="9" t="s">
        <v>2351</v>
      </c>
      <c r="E65" s="9" t="s">
        <v>2350</v>
      </c>
      <c r="F65" s="9" t="s">
        <v>47</v>
      </c>
      <c r="G65" s="9" t="s">
        <v>2199</v>
      </c>
    </row>
    <row r="66" customFormat="false" ht="15" hidden="false" customHeight="true" outlineLevel="0" collapsed="false">
      <c r="A66" s="9" t="s">
        <v>2242</v>
      </c>
      <c r="B66" s="9" t="s">
        <v>2220</v>
      </c>
      <c r="C66" s="9" t="s">
        <v>2339</v>
      </c>
      <c r="D66" s="9" t="s">
        <v>2352</v>
      </c>
      <c r="E66" s="9" t="s">
        <v>2332</v>
      </c>
      <c r="F66" s="9" t="s">
        <v>40</v>
      </c>
      <c r="G66" s="9" t="s">
        <v>2199</v>
      </c>
    </row>
    <row r="67" customFormat="false" ht="15" hidden="false" customHeight="true" outlineLevel="0" collapsed="false">
      <c r="A67" s="9" t="s">
        <v>2242</v>
      </c>
      <c r="B67" s="9" t="s">
        <v>2195</v>
      </c>
      <c r="C67" s="9" t="s">
        <v>2353</v>
      </c>
      <c r="D67" s="9" t="s">
        <v>2354</v>
      </c>
      <c r="E67" s="9" t="s">
        <v>2355</v>
      </c>
      <c r="F67" s="9" t="s">
        <v>40</v>
      </c>
      <c r="G67" s="9" t="s">
        <v>2199</v>
      </c>
    </row>
    <row r="68" customFormat="false" ht="15" hidden="false" customHeight="true" outlineLevel="0" collapsed="false">
      <c r="A68" s="9" t="s">
        <v>2242</v>
      </c>
      <c r="B68" s="9" t="s">
        <v>2195</v>
      </c>
      <c r="C68" s="9" t="s">
        <v>2353</v>
      </c>
      <c r="D68" s="9" t="s">
        <v>2356</v>
      </c>
      <c r="E68" s="9" t="s">
        <v>2357</v>
      </c>
      <c r="F68" s="9" t="s">
        <v>40</v>
      </c>
      <c r="G68" s="9" t="s">
        <v>2199</v>
      </c>
    </row>
    <row r="69" customFormat="false" ht="15" hidden="false" customHeight="true" outlineLevel="0" collapsed="false">
      <c r="A69" s="9" t="s">
        <v>2242</v>
      </c>
      <c r="B69" s="9" t="s">
        <v>2207</v>
      </c>
      <c r="C69" s="9" t="s">
        <v>2353</v>
      </c>
      <c r="D69" s="9" t="s">
        <v>2358</v>
      </c>
      <c r="E69" s="9" t="s">
        <v>2359</v>
      </c>
      <c r="F69" s="9" t="s">
        <v>40</v>
      </c>
      <c r="G69" s="9" t="s">
        <v>2199</v>
      </c>
    </row>
    <row r="70" customFormat="false" ht="15" hidden="false" customHeight="true" outlineLevel="0" collapsed="false">
      <c r="A70" s="9" t="s">
        <v>2242</v>
      </c>
      <c r="B70" s="9" t="s">
        <v>2220</v>
      </c>
      <c r="C70" s="9" t="s">
        <v>2353</v>
      </c>
      <c r="D70" s="9" t="s">
        <v>2226</v>
      </c>
      <c r="E70" s="9" t="s">
        <v>2360</v>
      </c>
      <c r="F70" s="9" t="s">
        <v>40</v>
      </c>
      <c r="G70" s="9" t="s">
        <v>2199</v>
      </c>
    </row>
    <row r="71" customFormat="false" ht="15" hidden="false" customHeight="true" outlineLevel="0" collapsed="false">
      <c r="A71" s="9" t="s">
        <v>2242</v>
      </c>
      <c r="B71" s="9" t="s">
        <v>2220</v>
      </c>
      <c r="C71" s="9" t="s">
        <v>2353</v>
      </c>
      <c r="D71" s="9" t="s">
        <v>2237</v>
      </c>
      <c r="E71" s="9" t="s">
        <v>2361</v>
      </c>
      <c r="F71" s="9" t="s">
        <v>40</v>
      </c>
      <c r="G71" s="9" t="s">
        <v>2228</v>
      </c>
    </row>
    <row r="72" customFormat="false" ht="15" hidden="false" customHeight="true" outlineLevel="0" collapsed="false">
      <c r="A72" s="9" t="s">
        <v>2242</v>
      </c>
      <c r="B72" s="9" t="s">
        <v>2207</v>
      </c>
      <c r="C72" s="9" t="s">
        <v>2353</v>
      </c>
      <c r="D72" s="9" t="s">
        <v>2362</v>
      </c>
      <c r="E72" s="9" t="s">
        <v>2363</v>
      </c>
      <c r="F72" s="9" t="s">
        <v>47</v>
      </c>
      <c r="G72" s="9" t="s">
        <v>2199</v>
      </c>
    </row>
    <row r="73" customFormat="false" ht="15" hidden="false" customHeight="true" outlineLevel="0" collapsed="false">
      <c r="A73" s="9" t="s">
        <v>2242</v>
      </c>
      <c r="B73" s="9" t="s">
        <v>2207</v>
      </c>
      <c r="C73" s="9" t="s">
        <v>2353</v>
      </c>
      <c r="D73" s="9" t="s">
        <v>2364</v>
      </c>
      <c r="E73" s="9" t="s">
        <v>2365</v>
      </c>
      <c r="F73" s="9" t="s">
        <v>40</v>
      </c>
      <c r="G73" s="9" t="s">
        <v>2228</v>
      </c>
    </row>
    <row r="74" customFormat="false" ht="15" hidden="false" customHeight="true" outlineLevel="0" collapsed="false">
      <c r="A74" s="9" t="s">
        <v>2242</v>
      </c>
      <c r="B74" s="9" t="s">
        <v>2195</v>
      </c>
      <c r="C74" s="9" t="s">
        <v>2353</v>
      </c>
      <c r="D74" s="9" t="s">
        <v>2366</v>
      </c>
      <c r="E74" s="9" t="s">
        <v>2367</v>
      </c>
      <c r="F74" s="9" t="s">
        <v>40</v>
      </c>
      <c r="G74" s="9" t="s">
        <v>2228</v>
      </c>
    </row>
    <row r="75" customFormat="false" ht="15" hidden="false" customHeight="true" outlineLevel="0" collapsed="false">
      <c r="A75" s="9" t="s">
        <v>2242</v>
      </c>
      <c r="B75" s="9" t="s">
        <v>2195</v>
      </c>
      <c r="C75" s="9" t="s">
        <v>2368</v>
      </c>
      <c r="D75" s="9" t="s">
        <v>2369</v>
      </c>
      <c r="E75" s="9" t="s">
        <v>2370</v>
      </c>
      <c r="F75" s="9" t="s">
        <v>40</v>
      </c>
      <c r="G75" s="9" t="s">
        <v>2228</v>
      </c>
    </row>
    <row r="76" customFormat="false" ht="15" hidden="false" customHeight="true" outlineLevel="0" collapsed="false">
      <c r="A76" s="9" t="s">
        <v>2242</v>
      </c>
      <c r="B76" s="9" t="s">
        <v>2195</v>
      </c>
      <c r="C76" s="9" t="s">
        <v>2368</v>
      </c>
      <c r="D76" s="9" t="s">
        <v>2371</v>
      </c>
      <c r="E76" s="9" t="s">
        <v>2372</v>
      </c>
      <c r="F76" s="9" t="s">
        <v>40</v>
      </c>
      <c r="G76" s="9" t="s">
        <v>2228</v>
      </c>
    </row>
    <row r="77" customFormat="false" ht="15" hidden="false" customHeight="true" outlineLevel="0" collapsed="false">
      <c r="A77" s="9" t="s">
        <v>2242</v>
      </c>
      <c r="B77" s="9" t="s">
        <v>2220</v>
      </c>
      <c r="C77" s="9" t="s">
        <v>2368</v>
      </c>
      <c r="D77" s="9" t="s">
        <v>2373</v>
      </c>
      <c r="E77" s="9" t="s">
        <v>2374</v>
      </c>
      <c r="F77" s="9" t="s">
        <v>47</v>
      </c>
      <c r="G77" s="9" t="s">
        <v>2199</v>
      </c>
    </row>
    <row r="78" customFormat="false" ht="15" hidden="false" customHeight="true" outlineLevel="0" collapsed="false">
      <c r="A78" s="9" t="s">
        <v>2242</v>
      </c>
      <c r="B78" s="9" t="s">
        <v>2195</v>
      </c>
      <c r="C78" s="9" t="s">
        <v>2368</v>
      </c>
      <c r="D78" s="9" t="s">
        <v>2375</v>
      </c>
      <c r="E78" s="9" t="s">
        <v>2376</v>
      </c>
      <c r="F78" s="9" t="s">
        <v>40</v>
      </c>
      <c r="G78" s="9" t="s">
        <v>2228</v>
      </c>
    </row>
    <row r="79" customFormat="false" ht="15" hidden="false" customHeight="true" outlineLevel="0" collapsed="false">
      <c r="A79" s="9" t="s">
        <v>2282</v>
      </c>
      <c r="B79" s="9" t="s">
        <v>2220</v>
      </c>
      <c r="C79" s="9" t="s">
        <v>2368</v>
      </c>
      <c r="D79" s="9" t="s">
        <v>2377</v>
      </c>
      <c r="E79" s="9" t="s">
        <v>2378</v>
      </c>
      <c r="F79" s="9" t="s">
        <v>47</v>
      </c>
      <c r="G79" s="9" t="s">
        <v>2199</v>
      </c>
    </row>
    <row r="80" customFormat="false" ht="15" hidden="false" customHeight="true" outlineLevel="0" collapsed="false">
      <c r="A80" s="9" t="s">
        <v>2242</v>
      </c>
      <c r="B80" s="9" t="s">
        <v>2220</v>
      </c>
      <c r="C80" s="9" t="s">
        <v>2368</v>
      </c>
      <c r="D80" s="9" t="s">
        <v>2379</v>
      </c>
      <c r="E80" s="9" t="s">
        <v>2380</v>
      </c>
      <c r="F80" s="9" t="s">
        <v>40</v>
      </c>
      <c r="G80" s="9" t="s">
        <v>2228</v>
      </c>
    </row>
    <row r="81" customFormat="false" ht="15" hidden="false" customHeight="true" outlineLevel="0" collapsed="false">
      <c r="A81" s="9" t="s">
        <v>2242</v>
      </c>
      <c r="B81" s="9" t="s">
        <v>2195</v>
      </c>
      <c r="C81" s="9" t="s">
        <v>2368</v>
      </c>
      <c r="D81" s="9" t="s">
        <v>2381</v>
      </c>
      <c r="E81" s="9" t="s">
        <v>2382</v>
      </c>
      <c r="F81" s="9" t="s">
        <v>40</v>
      </c>
      <c r="G81" s="9" t="s">
        <v>2228</v>
      </c>
    </row>
    <row r="82" customFormat="false" ht="15" hidden="false" customHeight="true" outlineLevel="0" collapsed="false">
      <c r="A82" s="9" t="s">
        <v>2242</v>
      </c>
      <c r="B82" s="9" t="s">
        <v>2195</v>
      </c>
      <c r="C82" s="9" t="s">
        <v>2368</v>
      </c>
      <c r="D82" s="9" t="s">
        <v>2383</v>
      </c>
      <c r="E82" s="9" t="s">
        <v>2384</v>
      </c>
      <c r="F82" s="9" t="s">
        <v>40</v>
      </c>
      <c r="G82" s="9" t="s">
        <v>2228</v>
      </c>
    </row>
    <row r="83" customFormat="false" ht="15" hidden="false" customHeight="true" outlineLevel="0" collapsed="false">
      <c r="A83" s="9" t="s">
        <v>2242</v>
      </c>
      <c r="B83" s="9" t="s">
        <v>2207</v>
      </c>
      <c r="C83" s="9" t="s">
        <v>2385</v>
      </c>
      <c r="D83" s="9" t="s">
        <v>2386</v>
      </c>
      <c r="E83" s="9" t="s">
        <v>2387</v>
      </c>
      <c r="F83" s="9" t="s">
        <v>47</v>
      </c>
      <c r="G83" s="9" t="s">
        <v>2228</v>
      </c>
    </row>
    <row r="84" customFormat="false" ht="15" hidden="false" customHeight="true" outlineLevel="0" collapsed="false">
      <c r="A84" s="9" t="s">
        <v>2242</v>
      </c>
      <c r="B84" s="9" t="s">
        <v>2195</v>
      </c>
      <c r="C84" s="9" t="s">
        <v>2388</v>
      </c>
      <c r="D84" s="9" t="s">
        <v>2389</v>
      </c>
      <c r="E84" s="9" t="s">
        <v>2390</v>
      </c>
      <c r="F84" s="9" t="s">
        <v>40</v>
      </c>
      <c r="G84" s="9" t="s">
        <v>2228</v>
      </c>
    </row>
    <row r="85" customFormat="false" ht="15" hidden="false" customHeight="true" outlineLevel="0" collapsed="false">
      <c r="A85" s="9" t="s">
        <v>2242</v>
      </c>
      <c r="B85" s="9" t="s">
        <v>2207</v>
      </c>
      <c r="C85" s="9" t="s">
        <v>2388</v>
      </c>
      <c r="D85" s="9" t="s">
        <v>2391</v>
      </c>
      <c r="E85" s="9" t="s">
        <v>2392</v>
      </c>
      <c r="F85" s="9" t="s">
        <v>40</v>
      </c>
      <c r="G85" s="9" t="s">
        <v>2199</v>
      </c>
    </row>
    <row r="86" customFormat="false" ht="15" hidden="false" customHeight="true" outlineLevel="0" collapsed="false">
      <c r="A86" s="9" t="s">
        <v>2242</v>
      </c>
      <c r="B86" s="9" t="s">
        <v>2195</v>
      </c>
      <c r="C86" s="9" t="s">
        <v>2388</v>
      </c>
      <c r="D86" s="9" t="s">
        <v>2393</v>
      </c>
      <c r="E86" s="9" t="s">
        <v>2394</v>
      </c>
      <c r="F86" s="9" t="s">
        <v>40</v>
      </c>
      <c r="G86" s="9" t="s">
        <v>2228</v>
      </c>
    </row>
    <row r="87" customFormat="false" ht="15" hidden="false" customHeight="true" outlineLevel="0" collapsed="false">
      <c r="A87" s="9" t="s">
        <v>2336</v>
      </c>
      <c r="B87" s="9" t="s">
        <v>2195</v>
      </c>
      <c r="C87" s="9" t="s">
        <v>2395</v>
      </c>
      <c r="D87" s="9" t="s">
        <v>2396</v>
      </c>
      <c r="E87" s="9" t="s">
        <v>2397</v>
      </c>
      <c r="F87" s="9" t="s">
        <v>40</v>
      </c>
      <c r="G87" s="9" t="s">
        <v>2228</v>
      </c>
    </row>
    <row r="88" customFormat="false" ht="15" hidden="false" customHeight="true" outlineLevel="0" collapsed="false">
      <c r="A88" s="9" t="s">
        <v>2242</v>
      </c>
      <c r="B88" s="9" t="s">
        <v>2195</v>
      </c>
      <c r="C88" s="9" t="s">
        <v>2395</v>
      </c>
      <c r="D88" s="9" t="s">
        <v>2391</v>
      </c>
      <c r="E88" s="9" t="s">
        <v>2398</v>
      </c>
      <c r="F88" s="9" t="s">
        <v>40</v>
      </c>
      <c r="G88" s="9" t="s">
        <v>2228</v>
      </c>
    </row>
    <row r="89" customFormat="false" ht="15" hidden="false" customHeight="true" outlineLevel="0" collapsed="false">
      <c r="A89" s="9" t="s">
        <v>2242</v>
      </c>
      <c r="B89" s="9" t="s">
        <v>2195</v>
      </c>
      <c r="C89" s="9" t="s">
        <v>2395</v>
      </c>
      <c r="D89" s="9" t="s">
        <v>2362</v>
      </c>
      <c r="E89" s="9" t="s">
        <v>2399</v>
      </c>
      <c r="F89" s="9" t="s">
        <v>47</v>
      </c>
      <c r="G89" s="9" t="s">
        <v>2228</v>
      </c>
    </row>
    <row r="90" customFormat="false" ht="15" hidden="false" customHeight="true" outlineLevel="0" collapsed="false">
      <c r="A90" s="9" t="s">
        <v>2242</v>
      </c>
      <c r="B90" s="9" t="s">
        <v>2195</v>
      </c>
      <c r="C90" s="9" t="s">
        <v>2400</v>
      </c>
      <c r="D90" s="9" t="s">
        <v>2401</v>
      </c>
      <c r="E90" s="9" t="s">
        <v>2402</v>
      </c>
      <c r="F90" s="9" t="s">
        <v>40</v>
      </c>
      <c r="G90" s="9" t="s">
        <v>2228</v>
      </c>
    </row>
    <row r="91" customFormat="false" ht="15" hidden="false" customHeight="true" outlineLevel="0" collapsed="false">
      <c r="A91" s="9" t="s">
        <v>2336</v>
      </c>
      <c r="B91" s="9" t="s">
        <v>2195</v>
      </c>
      <c r="C91" s="9" t="s">
        <v>2400</v>
      </c>
      <c r="D91" s="9" t="s">
        <v>2403</v>
      </c>
      <c r="E91" s="9" t="s">
        <v>2404</v>
      </c>
      <c r="F91" s="9" t="s">
        <v>40</v>
      </c>
      <c r="G91" s="9" t="s">
        <v>2199</v>
      </c>
    </row>
    <row r="92" customFormat="false" ht="15" hidden="false" customHeight="true" outlineLevel="0" collapsed="false">
      <c r="A92" s="9" t="s">
        <v>2336</v>
      </c>
      <c r="B92" s="9" t="s">
        <v>2195</v>
      </c>
      <c r="C92" s="9" t="s">
        <v>2405</v>
      </c>
      <c r="D92" s="9" t="s">
        <v>2406</v>
      </c>
      <c r="E92" s="9" t="s">
        <v>2407</v>
      </c>
      <c r="F92" s="9" t="s">
        <v>40</v>
      </c>
      <c r="G92" s="9" t="s">
        <v>2199</v>
      </c>
    </row>
    <row r="93" customFormat="false" ht="15" hidden="false" customHeight="true" outlineLevel="0" collapsed="false">
      <c r="A93" s="9" t="s">
        <v>2206</v>
      </c>
      <c r="B93" s="9" t="s">
        <v>2220</v>
      </c>
      <c r="C93" s="9" t="s">
        <v>2405</v>
      </c>
      <c r="D93" s="9" t="s">
        <v>2408</v>
      </c>
      <c r="E93" s="9" t="s">
        <v>2409</v>
      </c>
      <c r="F93" s="9" t="s">
        <v>40</v>
      </c>
      <c r="G93" s="9" t="s">
        <v>2228</v>
      </c>
    </row>
    <row r="94" customFormat="false" ht="15" hidden="false" customHeight="true" outlineLevel="0" collapsed="false">
      <c r="A94" s="9" t="s">
        <v>2242</v>
      </c>
      <c r="B94" s="9" t="s">
        <v>2195</v>
      </c>
      <c r="C94" s="9" t="s">
        <v>2405</v>
      </c>
      <c r="D94" s="9" t="s">
        <v>2410</v>
      </c>
      <c r="E94" s="9" t="s">
        <v>2411</v>
      </c>
      <c r="F94" s="9" t="s">
        <v>40</v>
      </c>
      <c r="G94" s="9" t="s">
        <v>2199</v>
      </c>
    </row>
    <row r="95" customFormat="false" ht="15" hidden="false" customHeight="true" outlineLevel="0" collapsed="false">
      <c r="A95" s="9" t="s">
        <v>2242</v>
      </c>
      <c r="B95" s="9" t="s">
        <v>2195</v>
      </c>
      <c r="C95" s="9" t="s">
        <v>2412</v>
      </c>
      <c r="D95" s="9" t="s">
        <v>2413</v>
      </c>
      <c r="E95" s="9" t="s">
        <v>2414</v>
      </c>
      <c r="F95" s="9" t="s">
        <v>47</v>
      </c>
      <c r="G95" s="9" t="s">
        <v>2199</v>
      </c>
    </row>
    <row r="96" customFormat="false" ht="15" hidden="false" customHeight="true" outlineLevel="0" collapsed="false">
      <c r="A96" s="9" t="s">
        <v>2242</v>
      </c>
      <c r="B96" s="9" t="s">
        <v>2220</v>
      </c>
      <c r="C96" s="9" t="s">
        <v>2412</v>
      </c>
      <c r="D96" s="9" t="s">
        <v>2415</v>
      </c>
      <c r="E96" s="9" t="s">
        <v>2416</v>
      </c>
      <c r="F96" s="9" t="s">
        <v>47</v>
      </c>
      <c r="G96" s="9" t="s">
        <v>2199</v>
      </c>
    </row>
    <row r="97" customFormat="false" ht="15" hidden="false" customHeight="true" outlineLevel="0" collapsed="false">
      <c r="A97" s="9" t="s">
        <v>2282</v>
      </c>
      <c r="B97" s="9" t="s">
        <v>2220</v>
      </c>
      <c r="C97" s="9" t="s">
        <v>2412</v>
      </c>
      <c r="D97" s="9" t="s">
        <v>2417</v>
      </c>
      <c r="E97" s="9" t="s">
        <v>2418</v>
      </c>
      <c r="F97" s="9" t="s">
        <v>47</v>
      </c>
      <c r="G97" s="9" t="s">
        <v>2199</v>
      </c>
    </row>
    <row r="98" customFormat="false" ht="15" hidden="false" customHeight="true" outlineLevel="0" collapsed="false">
      <c r="A98" s="9" t="s">
        <v>2282</v>
      </c>
      <c r="B98" s="9" t="s">
        <v>2207</v>
      </c>
      <c r="C98" s="9" t="s">
        <v>2412</v>
      </c>
      <c r="D98" s="9" t="s">
        <v>2419</v>
      </c>
      <c r="E98" s="9" t="s">
        <v>2420</v>
      </c>
      <c r="F98" s="9" t="s">
        <v>47</v>
      </c>
      <c r="G98" s="9" t="s">
        <v>2228</v>
      </c>
    </row>
    <row r="99" customFormat="false" ht="15" hidden="false" customHeight="true" outlineLevel="0" collapsed="false">
      <c r="A99" s="9" t="s">
        <v>2282</v>
      </c>
      <c r="B99" s="9" t="s">
        <v>2220</v>
      </c>
      <c r="C99" s="9" t="s">
        <v>2412</v>
      </c>
      <c r="D99" s="9" t="s">
        <v>2421</v>
      </c>
      <c r="E99" s="9" t="s">
        <v>2422</v>
      </c>
      <c r="F99" s="9" t="s">
        <v>47</v>
      </c>
      <c r="G99" s="9" t="s">
        <v>2199</v>
      </c>
    </row>
    <row r="100" customFormat="false" ht="15" hidden="false" customHeight="true" outlineLevel="0" collapsed="false">
      <c r="A100" s="9" t="s">
        <v>2194</v>
      </c>
      <c r="B100" s="9" t="s">
        <v>2220</v>
      </c>
      <c r="C100" s="9" t="s">
        <v>2368</v>
      </c>
      <c r="D100" s="9" t="s">
        <v>2217</v>
      </c>
      <c r="E100" s="9" t="s">
        <v>2296</v>
      </c>
      <c r="F100" s="9" t="s">
        <v>40</v>
      </c>
      <c r="G100" s="9" t="s">
        <v>2228</v>
      </c>
    </row>
    <row r="101" customFormat="false" ht="15" hidden="false" customHeight="true" outlineLevel="0" collapsed="false">
      <c r="A101" s="9" t="s">
        <v>2194</v>
      </c>
      <c r="B101" s="9" t="s">
        <v>2195</v>
      </c>
      <c r="C101" s="9" t="s">
        <v>2368</v>
      </c>
      <c r="D101" s="9" t="s">
        <v>2423</v>
      </c>
      <c r="E101" s="9" t="s">
        <v>2290</v>
      </c>
      <c r="F101" s="9" t="s">
        <v>47</v>
      </c>
      <c r="G101" s="9" t="s">
        <v>2228</v>
      </c>
    </row>
    <row r="102" customFormat="false" ht="15" hidden="false" customHeight="true" outlineLevel="0" collapsed="false">
      <c r="A102" s="9" t="s">
        <v>2194</v>
      </c>
      <c r="B102" s="9" t="s">
        <v>2195</v>
      </c>
      <c r="C102" s="9" t="s">
        <v>2368</v>
      </c>
      <c r="D102" s="9" t="s">
        <v>2424</v>
      </c>
      <c r="E102" s="9" t="s">
        <v>2296</v>
      </c>
      <c r="F102" s="9" t="s">
        <v>47</v>
      </c>
      <c r="G102" s="9" t="s">
        <v>2228</v>
      </c>
    </row>
    <row r="103" customFormat="false" ht="15" hidden="false" customHeight="true" outlineLevel="0" collapsed="false">
      <c r="A103" s="9" t="s">
        <v>2206</v>
      </c>
      <c r="B103" s="9" t="s">
        <v>2195</v>
      </c>
      <c r="C103" s="9" t="s">
        <v>2368</v>
      </c>
      <c r="D103" s="9" t="s">
        <v>2425</v>
      </c>
      <c r="E103" s="9" t="s">
        <v>2314</v>
      </c>
      <c r="F103" s="9" t="s">
        <v>47</v>
      </c>
      <c r="G103" s="9" t="s">
        <v>2228</v>
      </c>
    </row>
    <row r="104" customFormat="false" ht="15" hidden="false" customHeight="true" outlineLevel="0" collapsed="false">
      <c r="A104" s="9" t="s">
        <v>2194</v>
      </c>
      <c r="B104" s="9" t="s">
        <v>2207</v>
      </c>
      <c r="C104" s="9" t="s">
        <v>2385</v>
      </c>
      <c r="D104" s="9" t="s">
        <v>2232</v>
      </c>
      <c r="E104" s="9" t="s">
        <v>2314</v>
      </c>
      <c r="F104" s="9" t="s">
        <v>40</v>
      </c>
      <c r="G104" s="9" t="s">
        <v>2228</v>
      </c>
    </row>
    <row r="105" customFormat="false" ht="15" hidden="false" customHeight="true" outlineLevel="0" collapsed="false">
      <c r="A105" s="9" t="s">
        <v>2194</v>
      </c>
      <c r="B105" s="9" t="s">
        <v>2195</v>
      </c>
      <c r="C105" s="9" t="s">
        <v>2388</v>
      </c>
      <c r="D105" s="9" t="s">
        <v>2234</v>
      </c>
      <c r="E105" s="9" t="s">
        <v>2296</v>
      </c>
      <c r="F105" s="9" t="s">
        <v>40</v>
      </c>
      <c r="G105" s="9" t="s">
        <v>2228</v>
      </c>
    </row>
    <row r="106" customFormat="false" ht="15" hidden="false" customHeight="true" outlineLevel="0" collapsed="false">
      <c r="A106" s="9" t="s">
        <v>2194</v>
      </c>
      <c r="B106" s="9" t="s">
        <v>2195</v>
      </c>
      <c r="C106" s="9" t="s">
        <v>2388</v>
      </c>
      <c r="D106" s="9" t="s">
        <v>2237</v>
      </c>
      <c r="E106" s="9" t="s">
        <v>2296</v>
      </c>
      <c r="F106" s="9" t="s">
        <v>47</v>
      </c>
      <c r="G106" s="9" t="s">
        <v>2228</v>
      </c>
    </row>
    <row r="107" customFormat="false" ht="15" hidden="false" customHeight="true" outlineLevel="0" collapsed="false">
      <c r="A107" s="9" t="s">
        <v>2219</v>
      </c>
      <c r="B107" s="9" t="s">
        <v>2207</v>
      </c>
      <c r="C107" s="9" t="s">
        <v>2388</v>
      </c>
      <c r="D107" s="9" t="s">
        <v>2426</v>
      </c>
      <c r="E107" s="9" t="s">
        <v>2332</v>
      </c>
      <c r="F107" s="9" t="s">
        <v>47</v>
      </c>
      <c r="G107" s="9" t="s">
        <v>2199</v>
      </c>
    </row>
    <row r="108" customFormat="false" ht="15" hidden="false" customHeight="true" outlineLevel="0" collapsed="false">
      <c r="A108" s="9" t="s">
        <v>2224</v>
      </c>
      <c r="B108" s="9" t="s">
        <v>2220</v>
      </c>
      <c r="C108" s="9" t="s">
        <v>2395</v>
      </c>
      <c r="D108" s="9" t="s">
        <v>2427</v>
      </c>
      <c r="E108" s="9" t="s">
        <v>2296</v>
      </c>
      <c r="F108" s="9" t="s">
        <v>47</v>
      </c>
      <c r="G108" s="9" t="s">
        <v>2228</v>
      </c>
    </row>
    <row r="109" customFormat="false" ht="15" hidden="false" customHeight="true" outlineLevel="0" collapsed="false">
      <c r="A109" s="9" t="s">
        <v>2194</v>
      </c>
      <c r="B109" s="9" t="s">
        <v>2195</v>
      </c>
      <c r="C109" s="9" t="s">
        <v>2395</v>
      </c>
      <c r="D109" s="9" t="s">
        <v>2428</v>
      </c>
      <c r="E109" s="9" t="s">
        <v>2314</v>
      </c>
      <c r="F109" s="9" t="s">
        <v>40</v>
      </c>
      <c r="G109" s="9" t="s">
        <v>2228</v>
      </c>
    </row>
    <row r="110" customFormat="false" ht="15" hidden="false" customHeight="true" outlineLevel="0" collapsed="false">
      <c r="A110" s="9" t="s">
        <v>2194</v>
      </c>
      <c r="B110" s="9" t="s">
        <v>2195</v>
      </c>
      <c r="C110" s="9" t="s">
        <v>2395</v>
      </c>
      <c r="D110" s="9" t="s">
        <v>2249</v>
      </c>
      <c r="E110" s="9" t="s">
        <v>2314</v>
      </c>
      <c r="F110" s="9" t="s">
        <v>40</v>
      </c>
      <c r="G110" s="9" t="s">
        <v>2228</v>
      </c>
    </row>
    <row r="111" customFormat="false" ht="15" hidden="false" customHeight="true" outlineLevel="0" collapsed="false">
      <c r="A111" s="9" t="s">
        <v>2194</v>
      </c>
      <c r="B111" s="9" t="s">
        <v>2220</v>
      </c>
      <c r="C111" s="9" t="s">
        <v>2400</v>
      </c>
      <c r="D111" s="9" t="s">
        <v>2252</v>
      </c>
      <c r="E111" s="9" t="s">
        <v>2296</v>
      </c>
      <c r="F111" s="9" t="s">
        <v>47</v>
      </c>
      <c r="G111" s="9" t="s">
        <v>2228</v>
      </c>
    </row>
    <row r="112" customFormat="false" ht="15" hidden="false" customHeight="true" outlineLevel="0" collapsed="false">
      <c r="A112" s="9" t="s">
        <v>2194</v>
      </c>
      <c r="B112" s="9" t="s">
        <v>2220</v>
      </c>
      <c r="C112" s="9" t="s">
        <v>2400</v>
      </c>
      <c r="D112" s="9" t="s">
        <v>2254</v>
      </c>
      <c r="E112" s="9" t="s">
        <v>2296</v>
      </c>
      <c r="F112" s="9" t="s">
        <v>47</v>
      </c>
      <c r="G112" s="9" t="s">
        <v>2228</v>
      </c>
    </row>
    <row r="113" customFormat="false" ht="15" hidden="false" customHeight="true" outlineLevel="0" collapsed="false">
      <c r="A113" s="9" t="s">
        <v>2194</v>
      </c>
      <c r="B113" s="9" t="s">
        <v>2207</v>
      </c>
      <c r="C113" s="9" t="s">
        <v>2405</v>
      </c>
      <c r="D113" s="9" t="s">
        <v>2256</v>
      </c>
      <c r="E113" s="9" t="s">
        <v>2290</v>
      </c>
      <c r="F113" s="9" t="s">
        <v>47</v>
      </c>
      <c r="G113" s="9" t="s">
        <v>2228</v>
      </c>
    </row>
    <row r="114" customFormat="false" ht="15" hidden="false" customHeight="true" outlineLevel="0" collapsed="false">
      <c r="A114" s="9" t="s">
        <v>2242</v>
      </c>
      <c r="B114" s="9" t="s">
        <v>2195</v>
      </c>
      <c r="C114" s="9" t="s">
        <v>2405</v>
      </c>
      <c r="D114" s="9" t="s">
        <v>2429</v>
      </c>
      <c r="E114" s="9" t="s">
        <v>2296</v>
      </c>
      <c r="F114" s="9" t="s">
        <v>40</v>
      </c>
      <c r="G114" s="9" t="s">
        <v>2228</v>
      </c>
    </row>
    <row r="115" customFormat="false" ht="15" hidden="false" customHeight="true" outlineLevel="0" collapsed="false">
      <c r="A115" s="9" t="s">
        <v>2206</v>
      </c>
      <c r="B115" s="9" t="s">
        <v>2220</v>
      </c>
      <c r="C115" s="9" t="s">
        <v>2405</v>
      </c>
      <c r="D115" s="9" t="s">
        <v>2261</v>
      </c>
      <c r="E115" s="9" t="s">
        <v>2332</v>
      </c>
      <c r="F115" s="9" t="s">
        <v>40</v>
      </c>
      <c r="G115" s="9" t="s">
        <v>2199</v>
      </c>
    </row>
    <row r="116" customFormat="false" ht="15" hidden="false" customHeight="true" outlineLevel="0" collapsed="false">
      <c r="A116" s="9" t="s">
        <v>2206</v>
      </c>
      <c r="B116" s="9" t="s">
        <v>2195</v>
      </c>
      <c r="C116" s="9" t="s">
        <v>2412</v>
      </c>
      <c r="D116" s="9" t="s">
        <v>2263</v>
      </c>
      <c r="E116" s="9" t="s">
        <v>2314</v>
      </c>
      <c r="F116" s="9" t="s">
        <v>47</v>
      </c>
      <c r="G116" s="9" t="s">
        <v>2228</v>
      </c>
    </row>
    <row r="117" customFormat="false" ht="15" hidden="false" customHeight="true" outlineLevel="0" collapsed="false">
      <c r="A117" s="9" t="s">
        <v>2224</v>
      </c>
      <c r="B117" s="9" t="s">
        <v>2220</v>
      </c>
      <c r="C117" s="9" t="s">
        <v>2412</v>
      </c>
      <c r="D117" s="9" t="s">
        <v>2265</v>
      </c>
      <c r="E117" s="9" t="s">
        <v>2332</v>
      </c>
      <c r="F117" s="9" t="s">
        <v>47</v>
      </c>
      <c r="G117" s="9" t="s">
        <v>2199</v>
      </c>
    </row>
    <row r="118" customFormat="false" ht="15" hidden="false" customHeight="true" outlineLevel="0" collapsed="false">
      <c r="A118" s="9" t="s">
        <v>2206</v>
      </c>
      <c r="B118" s="9" t="s">
        <v>2220</v>
      </c>
      <c r="C118" s="9" t="s">
        <v>2412</v>
      </c>
      <c r="D118" s="9" t="s">
        <v>2268</v>
      </c>
      <c r="E118" s="9" t="s">
        <v>2332</v>
      </c>
      <c r="F118" s="9" t="s">
        <v>47</v>
      </c>
      <c r="G118" s="9" t="s">
        <v>2199</v>
      </c>
    </row>
    <row r="119" customFormat="false" ht="15" hidden="false" customHeight="true" outlineLevel="0" collapsed="false">
      <c r="A119" s="9" t="s">
        <v>2242</v>
      </c>
      <c r="B119" s="9" t="s">
        <v>2220</v>
      </c>
      <c r="C119" s="9" t="s">
        <v>2412</v>
      </c>
      <c r="D119" s="9" t="s">
        <v>2270</v>
      </c>
      <c r="E119" s="9" t="s">
        <v>2296</v>
      </c>
      <c r="F119" s="9" t="s">
        <v>40</v>
      </c>
      <c r="G119" s="9" t="s">
        <v>2228</v>
      </c>
    </row>
    <row r="120" customFormat="false" ht="15" hidden="false" customHeight="true" outlineLevel="0" collapsed="false">
      <c r="A120" s="9" t="s">
        <v>2194</v>
      </c>
      <c r="B120" s="9" t="s">
        <v>2220</v>
      </c>
      <c r="C120" s="9" t="s">
        <v>2412</v>
      </c>
      <c r="D120" s="9" t="s">
        <v>2284</v>
      </c>
      <c r="E120" s="9" t="s">
        <v>2314</v>
      </c>
      <c r="F120" s="9" t="s">
        <v>40</v>
      </c>
      <c r="G120" s="9" t="s">
        <v>2228</v>
      </c>
    </row>
    <row r="121" customFormat="false" ht="15" hidden="false" customHeight="true" outlineLevel="0" collapsed="false">
      <c r="A121" s="9" t="s">
        <v>2194</v>
      </c>
      <c r="B121" s="9" t="s">
        <v>2207</v>
      </c>
      <c r="C121" s="9" t="s">
        <v>2430</v>
      </c>
      <c r="D121" s="9" t="s">
        <v>2287</v>
      </c>
      <c r="E121" s="9" t="s">
        <v>2314</v>
      </c>
      <c r="F121" s="9" t="s">
        <v>40</v>
      </c>
      <c r="G121" s="9" t="s">
        <v>2228</v>
      </c>
    </row>
    <row r="122" customFormat="false" ht="15" hidden="false" customHeight="true" outlineLevel="0" collapsed="false">
      <c r="A122" s="9" t="s">
        <v>2194</v>
      </c>
      <c r="B122" s="9" t="s">
        <v>2220</v>
      </c>
      <c r="C122" s="9" t="s">
        <v>2430</v>
      </c>
      <c r="D122" s="9" t="s">
        <v>2263</v>
      </c>
      <c r="E122" s="9" t="s">
        <v>2290</v>
      </c>
      <c r="F122" s="9" t="s">
        <v>40</v>
      </c>
      <c r="G122" s="9" t="s">
        <v>2228</v>
      </c>
    </row>
    <row r="123" customFormat="false" ht="15" hidden="false" customHeight="true" outlineLevel="0" collapsed="false">
      <c r="A123" s="9" t="s">
        <v>2194</v>
      </c>
      <c r="B123" s="9" t="s">
        <v>2207</v>
      </c>
      <c r="C123" s="9" t="s">
        <v>2430</v>
      </c>
      <c r="D123" s="9" t="s">
        <v>2431</v>
      </c>
      <c r="E123" s="9" t="s">
        <v>2296</v>
      </c>
      <c r="F123" s="9" t="s">
        <v>40</v>
      </c>
      <c r="G123" s="9" t="s">
        <v>2228</v>
      </c>
    </row>
    <row r="124" customFormat="false" ht="15" hidden="false" customHeight="true" outlineLevel="0" collapsed="false">
      <c r="A124" s="9" t="s">
        <v>2194</v>
      </c>
      <c r="B124" s="9" t="s">
        <v>2195</v>
      </c>
      <c r="C124" s="9" t="s">
        <v>2430</v>
      </c>
      <c r="D124" s="9" t="s">
        <v>2432</v>
      </c>
      <c r="E124" s="9" t="s">
        <v>2296</v>
      </c>
      <c r="F124" s="9" t="s">
        <v>40</v>
      </c>
      <c r="G124" s="9" t="s">
        <v>2228</v>
      </c>
    </row>
    <row r="125" customFormat="false" ht="15" hidden="false" customHeight="true" outlineLevel="0" collapsed="false">
      <c r="A125" s="9" t="s">
        <v>2194</v>
      </c>
      <c r="B125" s="9" t="s">
        <v>2220</v>
      </c>
      <c r="C125" s="9" t="s">
        <v>2430</v>
      </c>
      <c r="D125" s="9" t="s">
        <v>2433</v>
      </c>
      <c r="E125" s="9" t="s">
        <v>2296</v>
      </c>
      <c r="F125" s="9" t="s">
        <v>40</v>
      </c>
      <c r="G125" s="9" t="s">
        <v>2228</v>
      </c>
    </row>
    <row r="126" customFormat="false" ht="15" hidden="false" customHeight="true" outlineLevel="0" collapsed="false">
      <c r="A126" s="9" t="s">
        <v>2194</v>
      </c>
      <c r="B126" s="9" t="s">
        <v>2195</v>
      </c>
      <c r="C126" s="9" t="s">
        <v>2430</v>
      </c>
      <c r="D126" s="9" t="s">
        <v>2434</v>
      </c>
      <c r="E126" s="9" t="s">
        <v>2314</v>
      </c>
      <c r="F126" s="9" t="s">
        <v>40</v>
      </c>
      <c r="G126" s="9" t="s">
        <v>2228</v>
      </c>
    </row>
    <row r="127" customFormat="false" ht="15" hidden="false" customHeight="true" outlineLevel="0" collapsed="false">
      <c r="A127" s="9" t="s">
        <v>2194</v>
      </c>
      <c r="B127" s="9" t="s">
        <v>2220</v>
      </c>
      <c r="C127" s="9" t="s">
        <v>2430</v>
      </c>
      <c r="D127" s="9" t="s">
        <v>2435</v>
      </c>
      <c r="E127" s="9" t="s">
        <v>2314</v>
      </c>
      <c r="F127" s="9" t="s">
        <v>40</v>
      </c>
      <c r="G127" s="9" t="s">
        <v>2228</v>
      </c>
    </row>
    <row r="128" customFormat="false" ht="15" hidden="false" customHeight="true" outlineLevel="0" collapsed="false">
      <c r="A128" s="9" t="s">
        <v>2206</v>
      </c>
      <c r="B128" s="9" t="s">
        <v>2220</v>
      </c>
      <c r="C128" s="9" t="s">
        <v>2430</v>
      </c>
      <c r="D128" s="9" t="s">
        <v>2436</v>
      </c>
      <c r="E128" s="9" t="s">
        <v>2296</v>
      </c>
      <c r="F128" s="9" t="s">
        <v>40</v>
      </c>
      <c r="G128" s="9" t="s">
        <v>2228</v>
      </c>
    </row>
    <row r="129" customFormat="false" ht="15" hidden="false" customHeight="true" outlineLevel="0" collapsed="false">
      <c r="A129" s="9" t="s">
        <v>2206</v>
      </c>
      <c r="B129" s="9" t="s">
        <v>2220</v>
      </c>
      <c r="C129" s="9" t="s">
        <v>2430</v>
      </c>
      <c r="D129" s="9" t="s">
        <v>2437</v>
      </c>
      <c r="E129" s="9" t="s">
        <v>2314</v>
      </c>
      <c r="F129" s="9" t="s">
        <v>40</v>
      </c>
      <c r="G129" s="9" t="s">
        <v>2228</v>
      </c>
    </row>
    <row r="130" customFormat="false" ht="15" hidden="false" customHeight="true" outlineLevel="0" collapsed="false">
      <c r="A130" s="9" t="s">
        <v>2282</v>
      </c>
      <c r="B130" s="9" t="s">
        <v>2207</v>
      </c>
      <c r="C130" s="9" t="s">
        <v>2430</v>
      </c>
      <c r="D130" s="9" t="s">
        <v>2438</v>
      </c>
      <c r="E130" s="9" t="s">
        <v>2314</v>
      </c>
      <c r="F130" s="9" t="s">
        <v>40</v>
      </c>
      <c r="G130" s="9" t="s">
        <v>2228</v>
      </c>
    </row>
    <row r="131" customFormat="false" ht="15" hidden="false" customHeight="true" outlineLevel="0" collapsed="false">
      <c r="A131" s="9" t="s">
        <v>2194</v>
      </c>
      <c r="B131" s="9" t="s">
        <v>2195</v>
      </c>
      <c r="C131" s="9" t="s">
        <v>2430</v>
      </c>
      <c r="D131" s="9" t="s">
        <v>2439</v>
      </c>
      <c r="E131" s="9" t="s">
        <v>2296</v>
      </c>
      <c r="F131" s="9" t="s">
        <v>40</v>
      </c>
      <c r="G131" s="9" t="s">
        <v>2228</v>
      </c>
    </row>
    <row r="132" customFormat="false" ht="15" hidden="false" customHeight="true" outlineLevel="0" collapsed="false">
      <c r="A132" s="9" t="s">
        <v>2224</v>
      </c>
      <c r="B132" s="9" t="s">
        <v>2220</v>
      </c>
      <c r="C132" s="9" t="s">
        <v>2430</v>
      </c>
      <c r="D132" s="9" t="s">
        <v>2440</v>
      </c>
      <c r="E132" s="9" t="s">
        <v>2332</v>
      </c>
      <c r="F132" s="9" t="s">
        <v>40</v>
      </c>
      <c r="G132" s="9" t="s">
        <v>2199</v>
      </c>
    </row>
    <row r="133" customFormat="false" ht="15" hidden="false" customHeight="true" outlineLevel="0" collapsed="false">
      <c r="A133" s="9" t="s">
        <v>2291</v>
      </c>
      <c r="B133" s="9" t="s">
        <v>2195</v>
      </c>
      <c r="C133" s="9" t="s">
        <v>2430</v>
      </c>
      <c r="D133" s="9" t="s">
        <v>2441</v>
      </c>
      <c r="E133" s="9" t="s">
        <v>2296</v>
      </c>
      <c r="F133" s="9" t="s">
        <v>40</v>
      </c>
      <c r="G133" s="9" t="s">
        <v>2228</v>
      </c>
    </row>
    <row r="134" customFormat="false" ht="15" hidden="false" customHeight="true" outlineLevel="0" collapsed="false">
      <c r="A134" s="9" t="s">
        <v>2242</v>
      </c>
      <c r="B134" s="9" t="s">
        <v>2220</v>
      </c>
      <c r="C134" s="9" t="s">
        <v>2430</v>
      </c>
      <c r="D134" s="9" t="s">
        <v>2442</v>
      </c>
      <c r="E134" s="9" t="s">
        <v>2296</v>
      </c>
      <c r="F134" s="9" t="s">
        <v>40</v>
      </c>
      <c r="G134" s="9" t="s">
        <v>2228</v>
      </c>
    </row>
    <row r="135" customFormat="false" ht="15" hidden="false" customHeight="true" outlineLevel="0" collapsed="false">
      <c r="A135" s="9" t="s">
        <v>2282</v>
      </c>
      <c r="B135" s="9" t="s">
        <v>2220</v>
      </c>
      <c r="C135" s="9" t="s">
        <v>2430</v>
      </c>
      <c r="D135" s="9" t="s">
        <v>2443</v>
      </c>
      <c r="E135" s="9" t="s">
        <v>2296</v>
      </c>
      <c r="F135" s="9" t="s">
        <v>40</v>
      </c>
      <c r="G135" s="9" t="s">
        <v>2228</v>
      </c>
    </row>
    <row r="136" customFormat="false" ht="15" hidden="false" customHeight="true" outlineLevel="0" collapsed="false">
      <c r="A136" s="9" t="s">
        <v>2282</v>
      </c>
      <c r="B136" s="9" t="s">
        <v>2207</v>
      </c>
      <c r="C136" s="9" t="s">
        <v>2430</v>
      </c>
      <c r="D136" s="9" t="s">
        <v>2444</v>
      </c>
      <c r="E136" s="9" t="s">
        <v>2296</v>
      </c>
      <c r="F136" s="9" t="s">
        <v>40</v>
      </c>
      <c r="G136" s="9" t="s">
        <v>2228</v>
      </c>
    </row>
    <row r="137" customFormat="false" ht="15" hidden="false" customHeight="true" outlineLevel="0" collapsed="false">
      <c r="A137" s="9" t="s">
        <v>2282</v>
      </c>
      <c r="B137" s="9" t="s">
        <v>2195</v>
      </c>
      <c r="C137" s="9" t="s">
        <v>2430</v>
      </c>
      <c r="D137" s="9" t="s">
        <v>2445</v>
      </c>
      <c r="E137" s="9" t="s">
        <v>2314</v>
      </c>
      <c r="F137" s="9" t="s">
        <v>40</v>
      </c>
      <c r="G137" s="9" t="s">
        <v>2228</v>
      </c>
    </row>
    <row r="138" customFormat="false" ht="15" hidden="false" customHeight="true" outlineLevel="0" collapsed="false">
      <c r="A138" s="9" t="s">
        <v>2282</v>
      </c>
      <c r="B138" s="9" t="s">
        <v>2220</v>
      </c>
      <c r="C138" s="9" t="s">
        <v>2430</v>
      </c>
      <c r="D138" s="9" t="s">
        <v>2446</v>
      </c>
      <c r="E138" s="9" t="s">
        <v>2314</v>
      </c>
      <c r="F138" s="9" t="s">
        <v>40</v>
      </c>
      <c r="G138" s="9" t="s">
        <v>2228</v>
      </c>
    </row>
    <row r="139" customFormat="false" ht="15" hidden="false" customHeight="true" outlineLevel="0" collapsed="false">
      <c r="A139" s="9" t="s">
        <v>2242</v>
      </c>
      <c r="B139" s="9" t="s">
        <v>2195</v>
      </c>
      <c r="C139" s="9" t="s">
        <v>2430</v>
      </c>
      <c r="D139" s="9" t="s">
        <v>2447</v>
      </c>
      <c r="E139" s="9" t="s">
        <v>2296</v>
      </c>
      <c r="F139" s="9" t="s">
        <v>40</v>
      </c>
      <c r="G139" s="9" t="s">
        <v>2228</v>
      </c>
    </row>
    <row r="140" customFormat="false" ht="15" hidden="false" customHeight="true" outlineLevel="0" collapsed="false">
      <c r="A140" s="9" t="s">
        <v>2242</v>
      </c>
      <c r="B140" s="9" t="s">
        <v>2220</v>
      </c>
      <c r="C140" s="9" t="s">
        <v>2430</v>
      </c>
      <c r="D140" s="9" t="s">
        <v>2256</v>
      </c>
      <c r="E140" s="9" t="s">
        <v>2296</v>
      </c>
      <c r="F140" s="9" t="s">
        <v>40</v>
      </c>
      <c r="G140" s="9" t="s">
        <v>2228</v>
      </c>
    </row>
    <row r="141" customFormat="false" ht="15" hidden="false" customHeight="true" outlineLevel="0" collapsed="false">
      <c r="A141" s="9" t="s">
        <v>2224</v>
      </c>
      <c r="B141" s="9" t="s">
        <v>2220</v>
      </c>
      <c r="C141" s="9" t="s">
        <v>2430</v>
      </c>
      <c r="D141" s="9" t="s">
        <v>2429</v>
      </c>
      <c r="E141" s="9" t="s">
        <v>2296</v>
      </c>
      <c r="F141" s="9" t="s">
        <v>40</v>
      </c>
      <c r="G141" s="9" t="s">
        <v>2228</v>
      </c>
    </row>
    <row r="142" customFormat="false" ht="15" hidden="false" customHeight="true" outlineLevel="0" collapsed="false">
      <c r="A142" s="9" t="s">
        <v>2224</v>
      </c>
      <c r="B142" s="9" t="s">
        <v>2220</v>
      </c>
      <c r="C142" s="9" t="s">
        <v>2430</v>
      </c>
      <c r="D142" s="9" t="s">
        <v>2261</v>
      </c>
      <c r="E142" s="9" t="s">
        <v>2296</v>
      </c>
      <c r="F142" s="9" t="s">
        <v>40</v>
      </c>
      <c r="G142" s="9" t="s">
        <v>2228</v>
      </c>
    </row>
    <row r="143" customFormat="false" ht="15" hidden="false" customHeight="true" outlineLevel="0" collapsed="false">
      <c r="A143" s="9" t="s">
        <v>2282</v>
      </c>
      <c r="B143" s="9" t="s">
        <v>2220</v>
      </c>
      <c r="C143" s="9" t="s">
        <v>2430</v>
      </c>
      <c r="D143" s="9" t="s">
        <v>2263</v>
      </c>
      <c r="E143" s="9" t="s">
        <v>2296</v>
      </c>
      <c r="F143" s="9" t="s">
        <v>40</v>
      </c>
      <c r="G143" s="9" t="s">
        <v>2228</v>
      </c>
    </row>
    <row r="144" customFormat="false" ht="15" hidden="false" customHeight="true" outlineLevel="0" collapsed="false">
      <c r="A144" s="9" t="s">
        <v>2282</v>
      </c>
      <c r="B144" s="9" t="s">
        <v>2207</v>
      </c>
      <c r="C144" s="9" t="s">
        <v>2430</v>
      </c>
      <c r="D144" s="9" t="s">
        <v>2265</v>
      </c>
      <c r="E144" s="9" t="s">
        <v>2296</v>
      </c>
      <c r="F144" s="9" t="s">
        <v>40</v>
      </c>
      <c r="G144" s="9" t="s">
        <v>2228</v>
      </c>
    </row>
    <row r="145" customFormat="false" ht="15" hidden="false" customHeight="true" outlineLevel="0" collapsed="false">
      <c r="A145" s="9" t="s">
        <v>2282</v>
      </c>
      <c r="B145" s="9" t="s">
        <v>2220</v>
      </c>
      <c r="C145" s="9" t="s">
        <v>2430</v>
      </c>
      <c r="D145" s="9" t="s">
        <v>2268</v>
      </c>
      <c r="E145" s="9" t="s">
        <v>2296</v>
      </c>
      <c r="F145" s="9" t="s">
        <v>40</v>
      </c>
      <c r="G145" s="9" t="s">
        <v>2228</v>
      </c>
    </row>
    <row r="146" customFormat="false" ht="15" hidden="false" customHeight="true" outlineLevel="0" collapsed="false">
      <c r="A146" s="9" t="s">
        <v>2282</v>
      </c>
      <c r="B146" s="9" t="s">
        <v>2207</v>
      </c>
      <c r="C146" s="9" t="s">
        <v>2430</v>
      </c>
      <c r="D146" s="9" t="s">
        <v>2270</v>
      </c>
      <c r="E146" s="9" t="s">
        <v>2296</v>
      </c>
      <c r="F146" s="9" t="s">
        <v>40</v>
      </c>
      <c r="G146" s="9" t="s">
        <v>2228</v>
      </c>
    </row>
    <row r="147" customFormat="false" ht="15" hidden="false" customHeight="true" outlineLevel="0" collapsed="false">
      <c r="A147" s="9" t="s">
        <v>2282</v>
      </c>
      <c r="B147" s="9" t="s">
        <v>2195</v>
      </c>
      <c r="C147" s="9" t="s">
        <v>2430</v>
      </c>
      <c r="D147" s="9" t="s">
        <v>2273</v>
      </c>
      <c r="E147" s="9" t="s">
        <v>2296</v>
      </c>
      <c r="F147" s="9" t="s">
        <v>40</v>
      </c>
      <c r="G147" s="9" t="s">
        <v>2228</v>
      </c>
    </row>
    <row r="148" customFormat="false" ht="15" hidden="false" customHeight="true" outlineLevel="0" collapsed="false">
      <c r="A148" s="9" t="s">
        <v>2219</v>
      </c>
      <c r="B148" s="9" t="s">
        <v>2220</v>
      </c>
      <c r="C148" s="9" t="s">
        <v>2430</v>
      </c>
      <c r="D148" s="9" t="s">
        <v>2276</v>
      </c>
      <c r="E148" s="9" t="s">
        <v>2448</v>
      </c>
      <c r="F148" s="9" t="s">
        <v>40</v>
      </c>
      <c r="G148" s="9" t="s">
        <v>2199</v>
      </c>
    </row>
    <row r="149" customFormat="false" ht="15" hidden="false" customHeight="true" outlineLevel="0" collapsed="false">
      <c r="A149" s="9" t="s">
        <v>2219</v>
      </c>
      <c r="B149" s="9" t="s">
        <v>2195</v>
      </c>
      <c r="C149" s="9" t="s">
        <v>2449</v>
      </c>
      <c r="D149" s="9" t="s">
        <v>2278</v>
      </c>
      <c r="E149" s="9" t="s">
        <v>2296</v>
      </c>
      <c r="F149" s="9" t="s">
        <v>40</v>
      </c>
      <c r="G149" s="9" t="s">
        <v>2228</v>
      </c>
    </row>
    <row r="150" customFormat="false" ht="15" hidden="false" customHeight="true" outlineLevel="0" collapsed="false">
      <c r="A150" s="9" t="s">
        <v>2219</v>
      </c>
      <c r="B150" s="9" t="s">
        <v>2220</v>
      </c>
      <c r="C150" s="9" t="s">
        <v>2449</v>
      </c>
      <c r="D150" s="9" t="s">
        <v>2280</v>
      </c>
      <c r="E150" s="9" t="s">
        <v>2296</v>
      </c>
      <c r="F150" s="9" t="s">
        <v>40</v>
      </c>
      <c r="G150" s="9" t="s">
        <v>2228</v>
      </c>
    </row>
    <row r="151" customFormat="false" ht="15" hidden="false" customHeight="true" outlineLevel="0" collapsed="false">
      <c r="A151" s="9" t="s">
        <v>2282</v>
      </c>
      <c r="B151" s="9" t="s">
        <v>2207</v>
      </c>
      <c r="C151" s="9" t="s">
        <v>2449</v>
      </c>
      <c r="D151" s="9" t="s">
        <v>2284</v>
      </c>
      <c r="E151" s="9" t="s">
        <v>2296</v>
      </c>
      <c r="F151" s="9" t="s">
        <v>40</v>
      </c>
      <c r="G151" s="9" t="s">
        <v>2228</v>
      </c>
    </row>
    <row r="152" customFormat="false" ht="15" hidden="false" customHeight="true" outlineLevel="0" collapsed="false">
      <c r="A152" s="9" t="s">
        <v>2219</v>
      </c>
      <c r="B152" s="9" t="s">
        <v>2220</v>
      </c>
      <c r="C152" s="9" t="s">
        <v>2449</v>
      </c>
      <c r="D152" s="9" t="s">
        <v>2450</v>
      </c>
      <c r="E152" s="9" t="s">
        <v>2332</v>
      </c>
      <c r="F152" s="9" t="s">
        <v>40</v>
      </c>
      <c r="G152" s="9" t="s">
        <v>2199</v>
      </c>
    </row>
    <row r="153" customFormat="false" ht="15" hidden="false" customHeight="true" outlineLevel="0" collapsed="false">
      <c r="A153" s="9" t="s">
        <v>2219</v>
      </c>
      <c r="B153" s="9" t="s">
        <v>2220</v>
      </c>
      <c r="C153" s="9" t="s">
        <v>2449</v>
      </c>
      <c r="D153" s="9" t="s">
        <v>2421</v>
      </c>
      <c r="E153" s="9" t="s">
        <v>2296</v>
      </c>
      <c r="F153" s="9" t="s">
        <v>40</v>
      </c>
      <c r="G153" s="9" t="s">
        <v>2228</v>
      </c>
    </row>
    <row r="154" customFormat="false" ht="15" hidden="false" customHeight="true" outlineLevel="0" collapsed="false">
      <c r="A154" s="9" t="s">
        <v>2336</v>
      </c>
      <c r="B154" s="9" t="s">
        <v>2207</v>
      </c>
      <c r="C154" s="9" t="s">
        <v>2449</v>
      </c>
      <c r="D154" s="9" t="s">
        <v>2217</v>
      </c>
      <c r="E154" s="9" t="s">
        <v>2296</v>
      </c>
      <c r="F154" s="9" t="s">
        <v>40</v>
      </c>
      <c r="G154" s="9" t="s">
        <v>2228</v>
      </c>
    </row>
    <row r="155" customFormat="false" ht="15" hidden="false" customHeight="true" outlineLevel="0" collapsed="false">
      <c r="A155" s="9" t="s">
        <v>2291</v>
      </c>
      <c r="B155" s="9" t="s">
        <v>2195</v>
      </c>
      <c r="C155" s="9" t="s">
        <v>2449</v>
      </c>
      <c r="D155" s="9" t="s">
        <v>2423</v>
      </c>
      <c r="E155" s="9" t="s">
        <v>2296</v>
      </c>
      <c r="F155" s="9" t="s">
        <v>40</v>
      </c>
      <c r="G155" s="9" t="s">
        <v>2228</v>
      </c>
    </row>
    <row r="156" customFormat="false" ht="15" hidden="false" customHeight="true" outlineLevel="0" collapsed="false">
      <c r="A156" s="9" t="s">
        <v>2206</v>
      </c>
      <c r="B156" s="9" t="s">
        <v>2220</v>
      </c>
      <c r="C156" s="9" t="s">
        <v>2449</v>
      </c>
      <c r="D156" s="9" t="s">
        <v>2424</v>
      </c>
      <c r="E156" s="9" t="s">
        <v>2451</v>
      </c>
      <c r="F156" s="9" t="s">
        <v>40</v>
      </c>
      <c r="G156" s="9" t="s">
        <v>2228</v>
      </c>
    </row>
    <row r="157" customFormat="false" ht="15" hidden="false" customHeight="true" outlineLevel="0" collapsed="false">
      <c r="A157" s="9" t="s">
        <v>2282</v>
      </c>
      <c r="B157" s="9" t="s">
        <v>2195</v>
      </c>
      <c r="C157" s="9" t="s">
        <v>2449</v>
      </c>
      <c r="D157" s="9" t="s">
        <v>2425</v>
      </c>
      <c r="E157" s="9" t="s">
        <v>2451</v>
      </c>
      <c r="F157" s="9" t="s">
        <v>40</v>
      </c>
      <c r="G157" s="9" t="s">
        <v>2228</v>
      </c>
    </row>
    <row r="158" customFormat="false" ht="15" hidden="false" customHeight="true" outlineLevel="0" collapsed="false">
      <c r="A158" s="9" t="s">
        <v>2194</v>
      </c>
      <c r="B158" s="9" t="s">
        <v>2220</v>
      </c>
      <c r="C158" s="9" t="s">
        <v>2449</v>
      </c>
      <c r="D158" s="9" t="s">
        <v>2232</v>
      </c>
      <c r="E158" s="9" t="s">
        <v>2451</v>
      </c>
      <c r="F158" s="9" t="s">
        <v>40</v>
      </c>
      <c r="G158" s="9" t="s">
        <v>2228</v>
      </c>
    </row>
    <row r="159" customFormat="false" ht="15" hidden="false" customHeight="true" outlineLevel="0" collapsed="false">
      <c r="A159" s="9" t="s">
        <v>2291</v>
      </c>
      <c r="B159" s="9" t="s">
        <v>2220</v>
      </c>
      <c r="C159" s="9" t="s">
        <v>2449</v>
      </c>
      <c r="D159" s="9" t="s">
        <v>2234</v>
      </c>
      <c r="E159" s="9" t="s">
        <v>2451</v>
      </c>
      <c r="F159" s="9" t="s">
        <v>40</v>
      </c>
      <c r="G159" s="9" t="s">
        <v>2228</v>
      </c>
    </row>
    <row r="160" customFormat="false" ht="15" hidden="false" customHeight="true" outlineLevel="0" collapsed="false">
      <c r="A160" s="9" t="s">
        <v>2291</v>
      </c>
      <c r="B160" s="9" t="s">
        <v>2220</v>
      </c>
      <c r="C160" s="9" t="s">
        <v>2449</v>
      </c>
      <c r="D160" s="9" t="s">
        <v>2237</v>
      </c>
      <c r="E160" s="9" t="s">
        <v>2451</v>
      </c>
      <c r="F160" s="9" t="s">
        <v>40</v>
      </c>
      <c r="G160" s="9" t="s">
        <v>2228</v>
      </c>
    </row>
    <row r="161" customFormat="false" ht="15" hidden="false" customHeight="true" outlineLevel="0" collapsed="false">
      <c r="A161" s="9" t="s">
        <v>2242</v>
      </c>
      <c r="B161" s="9" t="s">
        <v>2220</v>
      </c>
      <c r="C161" s="9" t="s">
        <v>2449</v>
      </c>
      <c r="D161" s="9" t="s">
        <v>2426</v>
      </c>
      <c r="E161" s="9" t="s">
        <v>2451</v>
      </c>
      <c r="F161" s="9" t="s">
        <v>40</v>
      </c>
      <c r="G161" s="9" t="s">
        <v>2228</v>
      </c>
    </row>
    <row r="162" customFormat="false" ht="15" hidden="false" customHeight="true" outlineLevel="0" collapsed="false">
      <c r="A162" s="9" t="s">
        <v>2242</v>
      </c>
      <c r="B162" s="9" t="s">
        <v>2207</v>
      </c>
      <c r="C162" s="9" t="s">
        <v>2449</v>
      </c>
      <c r="D162" s="9" t="s">
        <v>2427</v>
      </c>
      <c r="E162" s="9" t="s">
        <v>2451</v>
      </c>
      <c r="F162" s="9" t="s">
        <v>40</v>
      </c>
      <c r="G162" s="9" t="s">
        <v>2228</v>
      </c>
    </row>
    <row r="163" customFormat="false" ht="15" hidden="false" customHeight="true" outlineLevel="0" collapsed="false">
      <c r="A163" s="9" t="s">
        <v>2242</v>
      </c>
      <c r="B163" s="9" t="s">
        <v>2220</v>
      </c>
      <c r="C163" s="9" t="s">
        <v>2449</v>
      </c>
      <c r="D163" s="9" t="s">
        <v>2428</v>
      </c>
      <c r="E163" s="9" t="s">
        <v>2296</v>
      </c>
      <c r="F163" s="9" t="s">
        <v>40</v>
      </c>
      <c r="G163" s="9" t="s">
        <v>2228</v>
      </c>
    </row>
    <row r="164" customFormat="false" ht="15" hidden="false" customHeight="true" outlineLevel="0" collapsed="false">
      <c r="A164" s="9" t="s">
        <v>2242</v>
      </c>
      <c r="B164" s="9" t="s">
        <v>2207</v>
      </c>
      <c r="C164" s="9" t="s">
        <v>2449</v>
      </c>
      <c r="D164" s="9" t="s">
        <v>2249</v>
      </c>
      <c r="E164" s="9" t="s">
        <v>2296</v>
      </c>
      <c r="F164" s="9" t="s">
        <v>40</v>
      </c>
      <c r="G164" s="9" t="s">
        <v>2228</v>
      </c>
    </row>
    <row r="165" customFormat="false" ht="15" hidden="false" customHeight="true" outlineLevel="0" collapsed="false">
      <c r="A165" s="9" t="s">
        <v>2242</v>
      </c>
      <c r="B165" s="9" t="s">
        <v>2220</v>
      </c>
      <c r="C165" s="9" t="s">
        <v>2449</v>
      </c>
      <c r="D165" s="9" t="s">
        <v>2252</v>
      </c>
      <c r="E165" s="9" t="s">
        <v>2296</v>
      </c>
      <c r="F165" s="9" t="s">
        <v>40</v>
      </c>
      <c r="G165" s="9" t="s">
        <v>2228</v>
      </c>
    </row>
    <row r="166" customFormat="false" ht="15" hidden="false" customHeight="true" outlineLevel="0" collapsed="false">
      <c r="A166" s="9" t="s">
        <v>2242</v>
      </c>
      <c r="B166" s="9" t="s">
        <v>2220</v>
      </c>
      <c r="C166" s="9" t="s">
        <v>2449</v>
      </c>
      <c r="D166" s="9" t="s">
        <v>2254</v>
      </c>
      <c r="E166" s="9" t="s">
        <v>2296</v>
      </c>
      <c r="F166" s="9" t="s">
        <v>40</v>
      </c>
      <c r="G166" s="9" t="s">
        <v>2228</v>
      </c>
    </row>
    <row r="167" customFormat="false" ht="15" hidden="false" customHeight="true" outlineLevel="0" collapsed="false">
      <c r="A167" s="9" t="s">
        <v>2242</v>
      </c>
      <c r="B167" s="9" t="s">
        <v>2207</v>
      </c>
      <c r="C167" s="9" t="s">
        <v>2449</v>
      </c>
      <c r="D167" s="9" t="s">
        <v>2256</v>
      </c>
      <c r="E167" s="9" t="s">
        <v>2296</v>
      </c>
      <c r="F167" s="9" t="s">
        <v>40</v>
      </c>
      <c r="G167" s="9" t="s">
        <v>2228</v>
      </c>
    </row>
    <row r="168" customFormat="false" ht="15" hidden="false" customHeight="true" outlineLevel="0" collapsed="false">
      <c r="A168" s="9" t="s">
        <v>2242</v>
      </c>
      <c r="B168" s="9" t="s">
        <v>2195</v>
      </c>
      <c r="C168" s="9" t="s">
        <v>2449</v>
      </c>
      <c r="D168" s="9" t="s">
        <v>2429</v>
      </c>
      <c r="E168" s="9" t="s">
        <v>2296</v>
      </c>
      <c r="F168" s="9" t="s">
        <v>40</v>
      </c>
      <c r="G168" s="9" t="s">
        <v>2228</v>
      </c>
    </row>
    <row r="169" customFormat="false" ht="15" hidden="false" customHeight="true" outlineLevel="0" collapsed="false">
      <c r="A169" s="9" t="s">
        <v>2242</v>
      </c>
      <c r="B169" s="9" t="s">
        <v>2220</v>
      </c>
      <c r="C169" s="9" t="s">
        <v>2449</v>
      </c>
      <c r="D169" s="9" t="s">
        <v>2261</v>
      </c>
      <c r="E169" s="9" t="s">
        <v>2296</v>
      </c>
      <c r="F169" s="9" t="s">
        <v>40</v>
      </c>
      <c r="G169" s="9" t="s">
        <v>2228</v>
      </c>
    </row>
    <row r="170" customFormat="false" ht="15" hidden="false" customHeight="true" outlineLevel="0" collapsed="false">
      <c r="A170" s="9" t="s">
        <v>2242</v>
      </c>
      <c r="B170" s="9" t="s">
        <v>2195</v>
      </c>
      <c r="C170" s="9" t="s">
        <v>2449</v>
      </c>
      <c r="D170" s="9" t="s">
        <v>2263</v>
      </c>
      <c r="E170" s="9" t="s">
        <v>2296</v>
      </c>
      <c r="F170" s="9" t="s">
        <v>40</v>
      </c>
      <c r="G170" s="9" t="s">
        <v>2228</v>
      </c>
    </row>
    <row r="171" customFormat="false" ht="15" hidden="false" customHeight="true" outlineLevel="0" collapsed="false">
      <c r="A171" s="9" t="s">
        <v>2242</v>
      </c>
      <c r="B171" s="9" t="s">
        <v>2220</v>
      </c>
      <c r="C171" s="9" t="s">
        <v>2449</v>
      </c>
      <c r="D171" s="9" t="s">
        <v>2265</v>
      </c>
      <c r="E171" s="9" t="s">
        <v>2296</v>
      </c>
      <c r="F171" s="9" t="s">
        <v>40</v>
      </c>
      <c r="G171" s="9" t="s">
        <v>2228</v>
      </c>
    </row>
    <row r="172" customFormat="false" ht="15" hidden="false" customHeight="true" outlineLevel="0" collapsed="false">
      <c r="A172" s="9" t="s">
        <v>2242</v>
      </c>
      <c r="B172" s="9" t="s">
        <v>2220</v>
      </c>
      <c r="C172" s="9" t="s">
        <v>2449</v>
      </c>
      <c r="D172" s="9" t="s">
        <v>2268</v>
      </c>
      <c r="E172" s="9" t="s">
        <v>2296</v>
      </c>
      <c r="F172" s="9" t="s">
        <v>40</v>
      </c>
      <c r="G172" s="9" t="s">
        <v>2228</v>
      </c>
    </row>
    <row r="173" customFormat="false" ht="15" hidden="false" customHeight="true" outlineLevel="0" collapsed="false">
      <c r="A173" s="9" t="s">
        <v>2242</v>
      </c>
      <c r="B173" s="9" t="s">
        <v>2220</v>
      </c>
      <c r="C173" s="9" t="s">
        <v>2449</v>
      </c>
      <c r="D173" s="9" t="s">
        <v>2270</v>
      </c>
      <c r="E173" s="9" t="s">
        <v>2296</v>
      </c>
      <c r="F173" s="9" t="s">
        <v>40</v>
      </c>
      <c r="G173" s="9" t="s">
        <v>2228</v>
      </c>
    </row>
    <row r="174" customFormat="false" ht="15" hidden="false" customHeight="true" outlineLevel="0" collapsed="false">
      <c r="A174" s="9" t="s">
        <v>2242</v>
      </c>
      <c r="B174" s="9" t="s">
        <v>2220</v>
      </c>
      <c r="C174" s="9" t="s">
        <v>2449</v>
      </c>
      <c r="D174" s="9" t="s">
        <v>2273</v>
      </c>
      <c r="E174" s="9" t="s">
        <v>2296</v>
      </c>
      <c r="F174" s="9" t="s">
        <v>40</v>
      </c>
      <c r="G174" s="9" t="s">
        <v>2228</v>
      </c>
    </row>
    <row r="175" customFormat="false" ht="15" hidden="false" customHeight="true" outlineLevel="0" collapsed="false">
      <c r="A175" s="9" t="s">
        <v>2242</v>
      </c>
      <c r="B175" s="9" t="s">
        <v>2207</v>
      </c>
      <c r="C175" s="9" t="s">
        <v>2449</v>
      </c>
      <c r="D175" s="9" t="s">
        <v>2276</v>
      </c>
      <c r="E175" s="9" t="s">
        <v>2296</v>
      </c>
      <c r="F175" s="9" t="s">
        <v>40</v>
      </c>
      <c r="G175" s="9" t="s">
        <v>2228</v>
      </c>
    </row>
    <row r="176" customFormat="false" ht="15" hidden="false" customHeight="true" outlineLevel="0" collapsed="false">
      <c r="A176" s="9" t="s">
        <v>2242</v>
      </c>
      <c r="B176" s="9" t="s">
        <v>2195</v>
      </c>
      <c r="C176" s="9" t="s">
        <v>2452</v>
      </c>
      <c r="D176" s="9" t="s">
        <v>2278</v>
      </c>
      <c r="E176" s="9" t="s">
        <v>2296</v>
      </c>
      <c r="F176" s="9" t="s">
        <v>40</v>
      </c>
      <c r="G176" s="9" t="s">
        <v>2228</v>
      </c>
    </row>
    <row r="177" customFormat="false" ht="15" hidden="false" customHeight="true" outlineLevel="0" collapsed="false">
      <c r="A177" s="9" t="s">
        <v>2282</v>
      </c>
      <c r="B177" s="9" t="s">
        <v>2220</v>
      </c>
      <c r="C177" s="9" t="s">
        <v>2452</v>
      </c>
      <c r="D177" s="9" t="s">
        <v>2280</v>
      </c>
      <c r="E177" s="9" t="s">
        <v>2296</v>
      </c>
      <c r="F177" s="9" t="s">
        <v>40</v>
      </c>
      <c r="G177" s="9" t="s">
        <v>2228</v>
      </c>
    </row>
    <row r="178" customFormat="false" ht="15" hidden="false" customHeight="true" outlineLevel="0" collapsed="false">
      <c r="A178" s="9" t="s">
        <v>2242</v>
      </c>
      <c r="B178" s="9" t="s">
        <v>2195</v>
      </c>
      <c r="C178" s="9" t="s">
        <v>2452</v>
      </c>
      <c r="D178" s="9" t="s">
        <v>2284</v>
      </c>
      <c r="E178" s="9" t="s">
        <v>2296</v>
      </c>
      <c r="F178" s="9" t="s">
        <v>40</v>
      </c>
      <c r="G178" s="9" t="s">
        <v>2228</v>
      </c>
    </row>
    <row r="179" customFormat="false" ht="15" hidden="false" customHeight="true" outlineLevel="0" collapsed="false">
      <c r="A179" s="9" t="s">
        <v>2242</v>
      </c>
      <c r="B179" s="9" t="s">
        <v>2220</v>
      </c>
      <c r="C179" s="9" t="s">
        <v>2452</v>
      </c>
      <c r="D179" s="9" t="s">
        <v>2287</v>
      </c>
      <c r="E179" s="9" t="s">
        <v>2296</v>
      </c>
      <c r="F179" s="9" t="s">
        <v>40</v>
      </c>
      <c r="G179" s="9" t="s">
        <v>2228</v>
      </c>
    </row>
    <row r="180" customFormat="false" ht="15" hidden="false" customHeight="true" outlineLevel="0" collapsed="false">
      <c r="A180" s="9" t="s">
        <v>2242</v>
      </c>
      <c r="B180" s="9" t="s">
        <v>2220</v>
      </c>
      <c r="C180" s="9" t="s">
        <v>2452</v>
      </c>
      <c r="D180" s="9" t="s">
        <v>2263</v>
      </c>
      <c r="E180" s="9" t="s">
        <v>2332</v>
      </c>
      <c r="F180" s="9" t="s">
        <v>40</v>
      </c>
      <c r="G180" s="9" t="s">
        <v>2199</v>
      </c>
    </row>
    <row r="181" customFormat="false" ht="15" hidden="false" customHeight="true" outlineLevel="0" collapsed="false">
      <c r="A181" s="9" t="s">
        <v>2242</v>
      </c>
      <c r="B181" s="9" t="s">
        <v>2207</v>
      </c>
      <c r="C181" s="9" t="s">
        <v>2452</v>
      </c>
      <c r="D181" s="9" t="s">
        <v>2431</v>
      </c>
      <c r="E181" s="9" t="s">
        <v>2296</v>
      </c>
      <c r="F181" s="9" t="s">
        <v>40</v>
      </c>
      <c r="G181" s="9" t="s">
        <v>2228</v>
      </c>
    </row>
    <row r="182" customFormat="false" ht="15" hidden="false" customHeight="true" outlineLevel="0" collapsed="false">
      <c r="A182" s="9" t="s">
        <v>2242</v>
      </c>
      <c r="B182" s="9" t="s">
        <v>2195</v>
      </c>
      <c r="C182" s="9" t="s">
        <v>2452</v>
      </c>
      <c r="D182" s="9" t="s">
        <v>2432</v>
      </c>
      <c r="E182" s="9" t="s">
        <v>2296</v>
      </c>
      <c r="F182" s="9" t="s">
        <v>40</v>
      </c>
      <c r="G182" s="9" t="s">
        <v>2228</v>
      </c>
    </row>
    <row r="183" customFormat="false" ht="15" hidden="false" customHeight="true" outlineLevel="0" collapsed="false">
      <c r="A183" s="9" t="s">
        <v>2242</v>
      </c>
      <c r="B183" s="9" t="s">
        <v>2220</v>
      </c>
      <c r="C183" s="9" t="s">
        <v>2452</v>
      </c>
      <c r="D183" s="9" t="s">
        <v>2433</v>
      </c>
      <c r="E183" s="9" t="s">
        <v>2296</v>
      </c>
      <c r="F183" s="9" t="s">
        <v>40</v>
      </c>
      <c r="G183" s="9" t="s">
        <v>2228</v>
      </c>
    </row>
    <row r="184" customFormat="false" ht="15" hidden="false" customHeight="true" outlineLevel="0" collapsed="false">
      <c r="A184" s="9" t="s">
        <v>2242</v>
      </c>
      <c r="B184" s="9" t="s">
        <v>2195</v>
      </c>
      <c r="C184" s="9" t="s">
        <v>2452</v>
      </c>
      <c r="D184" s="9" t="s">
        <v>2434</v>
      </c>
      <c r="E184" s="9" t="s">
        <v>2296</v>
      </c>
      <c r="F184" s="9" t="s">
        <v>40</v>
      </c>
      <c r="G184" s="9" t="s">
        <v>2228</v>
      </c>
    </row>
    <row r="185" customFormat="false" ht="15" hidden="false" customHeight="true" outlineLevel="0" collapsed="false">
      <c r="A185" s="9" t="s">
        <v>2336</v>
      </c>
      <c r="B185" s="9" t="s">
        <v>2220</v>
      </c>
      <c r="C185" s="9" t="s">
        <v>2452</v>
      </c>
      <c r="D185" s="9" t="s">
        <v>2435</v>
      </c>
      <c r="E185" s="9" t="s">
        <v>2296</v>
      </c>
      <c r="F185" s="9" t="s">
        <v>40</v>
      </c>
      <c r="G185" s="9" t="s">
        <v>2228</v>
      </c>
    </row>
    <row r="186" customFormat="false" ht="15" hidden="false" customHeight="true" outlineLevel="0" collapsed="false">
      <c r="A186" s="9" t="s">
        <v>2242</v>
      </c>
      <c r="B186" s="9" t="s">
        <v>2220</v>
      </c>
      <c r="C186" s="9" t="s">
        <v>2452</v>
      </c>
      <c r="D186" s="9" t="s">
        <v>2436</v>
      </c>
      <c r="E186" s="9" t="s">
        <v>2296</v>
      </c>
      <c r="F186" s="9" t="s">
        <v>40</v>
      </c>
      <c r="G186" s="9" t="s">
        <v>2228</v>
      </c>
    </row>
    <row r="187" customFormat="false" ht="15" hidden="false" customHeight="true" outlineLevel="0" collapsed="false">
      <c r="A187" s="9" t="s">
        <v>2242</v>
      </c>
      <c r="B187" s="9" t="s">
        <v>2220</v>
      </c>
      <c r="C187" s="9" t="s">
        <v>2452</v>
      </c>
      <c r="D187" s="9" t="s">
        <v>2437</v>
      </c>
      <c r="E187" s="9" t="s">
        <v>2296</v>
      </c>
      <c r="F187" s="9" t="s">
        <v>40</v>
      </c>
      <c r="G187" s="9" t="s">
        <v>2228</v>
      </c>
    </row>
    <row r="188" customFormat="false" ht="15" hidden="false" customHeight="true" outlineLevel="0" collapsed="false">
      <c r="A188" s="9" t="s">
        <v>2242</v>
      </c>
      <c r="B188" s="9" t="s">
        <v>2220</v>
      </c>
      <c r="C188" s="9" t="s">
        <v>2452</v>
      </c>
      <c r="D188" s="9" t="s">
        <v>2438</v>
      </c>
      <c r="E188" s="9" t="s">
        <v>2332</v>
      </c>
      <c r="F188" s="9" t="s">
        <v>40</v>
      </c>
      <c r="G188" s="9" t="s">
        <v>2199</v>
      </c>
    </row>
    <row r="189" customFormat="false" ht="15" hidden="false" customHeight="true" outlineLevel="0" collapsed="false">
      <c r="A189" s="9" t="s">
        <v>2336</v>
      </c>
      <c r="B189" s="9" t="s">
        <v>2207</v>
      </c>
      <c r="C189" s="9" t="s">
        <v>2452</v>
      </c>
      <c r="D189" s="9" t="s">
        <v>2439</v>
      </c>
      <c r="E189" s="9" t="s">
        <v>2296</v>
      </c>
      <c r="F189" s="9" t="s">
        <v>40</v>
      </c>
      <c r="G189" s="9" t="s">
        <v>2228</v>
      </c>
    </row>
    <row r="190" customFormat="false" ht="15" hidden="false" customHeight="true" outlineLevel="0" collapsed="false">
      <c r="A190" s="9" t="s">
        <v>2336</v>
      </c>
      <c r="B190" s="9" t="s">
        <v>2220</v>
      </c>
      <c r="C190" s="9" t="s">
        <v>2452</v>
      </c>
      <c r="D190" s="9" t="s">
        <v>2440</v>
      </c>
      <c r="E190" s="9" t="s">
        <v>2296</v>
      </c>
      <c r="F190" s="9" t="s">
        <v>40</v>
      </c>
      <c r="G190" s="9" t="s">
        <v>2228</v>
      </c>
    </row>
    <row r="191" customFormat="false" ht="15" hidden="false" customHeight="true" outlineLevel="0" collapsed="false">
      <c r="A191" s="9" t="s">
        <v>2206</v>
      </c>
      <c r="B191" s="9" t="s">
        <v>2207</v>
      </c>
      <c r="C191" s="9" t="s">
        <v>2452</v>
      </c>
      <c r="D191" s="9" t="s">
        <v>2441</v>
      </c>
      <c r="E191" s="9" t="s">
        <v>2296</v>
      </c>
      <c r="F191" s="9" t="s">
        <v>40</v>
      </c>
      <c r="G191" s="9" t="s">
        <v>2228</v>
      </c>
    </row>
    <row r="192" customFormat="false" ht="15" hidden="false" customHeight="true" outlineLevel="0" collapsed="false">
      <c r="A192" s="9" t="s">
        <v>2242</v>
      </c>
      <c r="B192" s="9" t="s">
        <v>2195</v>
      </c>
      <c r="C192" s="9" t="s">
        <v>2452</v>
      </c>
      <c r="D192" s="9" t="s">
        <v>2442</v>
      </c>
      <c r="E192" s="9" t="s">
        <v>2296</v>
      </c>
      <c r="F192" s="9" t="s">
        <v>40</v>
      </c>
      <c r="G192" s="9" t="s">
        <v>2228</v>
      </c>
    </row>
    <row r="193" customFormat="false" ht="15" hidden="false" customHeight="true" outlineLevel="0" collapsed="false">
      <c r="A193" s="9" t="s">
        <v>2242</v>
      </c>
      <c r="B193" s="9" t="s">
        <v>2220</v>
      </c>
      <c r="C193" s="9" t="s">
        <v>2452</v>
      </c>
      <c r="D193" s="9" t="s">
        <v>2443</v>
      </c>
      <c r="E193" s="9" t="s">
        <v>2332</v>
      </c>
      <c r="F193" s="9" t="s">
        <v>40</v>
      </c>
      <c r="G193" s="9" t="s">
        <v>2199</v>
      </c>
    </row>
    <row r="194" customFormat="false" ht="15" hidden="false" customHeight="true" outlineLevel="0" collapsed="false">
      <c r="A194" s="9" t="s">
        <v>2242</v>
      </c>
      <c r="B194" s="9" t="s">
        <v>2195</v>
      </c>
      <c r="C194" s="9" t="s">
        <v>2452</v>
      </c>
      <c r="D194" s="9" t="s">
        <v>2444</v>
      </c>
      <c r="E194" s="9" t="s">
        <v>2296</v>
      </c>
      <c r="F194" s="9" t="s">
        <v>40</v>
      </c>
      <c r="G194" s="9" t="s">
        <v>2228</v>
      </c>
    </row>
    <row r="195" customFormat="false" ht="15" hidden="false" customHeight="true" outlineLevel="0" collapsed="false">
      <c r="A195" s="9" t="s">
        <v>2282</v>
      </c>
      <c r="B195" s="9" t="s">
        <v>2220</v>
      </c>
      <c r="C195" s="9" t="s">
        <v>2452</v>
      </c>
      <c r="D195" s="9" t="s">
        <v>2445</v>
      </c>
      <c r="E195" s="9" t="s">
        <v>2296</v>
      </c>
      <c r="F195" s="9" t="s">
        <v>40</v>
      </c>
      <c r="G195" s="9" t="s">
        <v>2228</v>
      </c>
    </row>
    <row r="196" customFormat="false" ht="15" hidden="false" customHeight="true" outlineLevel="0" collapsed="false">
      <c r="A196" s="9" t="s">
        <v>2282</v>
      </c>
      <c r="B196" s="9" t="s">
        <v>2207</v>
      </c>
      <c r="C196" s="9" t="s">
        <v>2452</v>
      </c>
      <c r="D196" s="9" t="s">
        <v>2446</v>
      </c>
      <c r="E196" s="9" t="s">
        <v>2296</v>
      </c>
      <c r="F196" s="9" t="s">
        <v>40</v>
      </c>
      <c r="G196" s="9" t="s">
        <v>2228</v>
      </c>
    </row>
    <row r="197" customFormat="false" ht="15" hidden="false" customHeight="true" outlineLevel="0" collapsed="false">
      <c r="A197" s="9" t="s">
        <v>2282</v>
      </c>
      <c r="B197" s="9" t="s">
        <v>2220</v>
      </c>
      <c r="C197" s="9" t="s">
        <v>2452</v>
      </c>
      <c r="D197" s="9" t="s">
        <v>2447</v>
      </c>
      <c r="E197" s="9" t="s">
        <v>2332</v>
      </c>
      <c r="F197" s="9" t="s">
        <v>40</v>
      </c>
      <c r="G197" s="9" t="s">
        <v>2199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W7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3"/>
    <col collapsed="false" customWidth="true" hidden="false" outlineLevel="0" max="3" min="3" style="1" width="10"/>
    <col collapsed="false" customWidth="true" hidden="false" outlineLevel="0" max="4" min="4" style="1" width="7"/>
    <col collapsed="false" customWidth="true" hidden="false" outlineLevel="0" max="5" min="5" style="1" width="13"/>
    <col collapsed="false" customWidth="true" hidden="false" outlineLevel="0" max="6" min="6" style="1" width="10"/>
    <col collapsed="false" customWidth="true" hidden="false" outlineLevel="0" max="7" min="7" style="1" width="18"/>
    <col collapsed="false" customWidth="true" hidden="false" outlineLevel="0" max="8" min="8" style="1" width="12"/>
    <col collapsed="false" customWidth="true" hidden="false" outlineLevel="0" max="9" min="9" style="1" width="14"/>
    <col collapsed="false" customWidth="true" hidden="false" outlineLevel="0" max="10" min="10" style="1" width="20"/>
    <col collapsed="false" customWidth="true" hidden="false" outlineLevel="0" max="11" min="11" style="1" width="10"/>
    <col collapsed="false" customWidth="true" hidden="false" outlineLevel="0" max="12" min="12" style="1" width="12"/>
    <col collapsed="false" customWidth="true" hidden="false" outlineLevel="0" max="17" min="13" style="1" width="11"/>
    <col collapsed="false" customWidth="true" hidden="false" outlineLevel="0" max="18" min="18" style="1" width="14"/>
    <col collapsed="false" customWidth="true" hidden="false" outlineLevel="0" max="19" min="19" style="1" width="9"/>
    <col collapsed="false" customWidth="true" hidden="false" outlineLevel="0" max="20" min="20" style="1" width="12"/>
    <col collapsed="false" customWidth="true" hidden="false" outlineLevel="0" max="22" min="21" style="1" width="16"/>
    <col collapsed="false" customWidth="true" hidden="false" outlineLevel="0" max="23" min="23" style="1" width="18"/>
  </cols>
  <sheetData>
    <row r="1" customFormat="false" ht="41.25" hidden="false" customHeight="true" outlineLevel="0" collapsed="false">
      <c r="A1" s="8" t="s">
        <v>18</v>
      </c>
      <c r="B1" s="8" t="s">
        <v>2453</v>
      </c>
      <c r="C1" s="8" t="s">
        <v>19</v>
      </c>
      <c r="D1" s="8" t="s">
        <v>20</v>
      </c>
      <c r="E1" s="8" t="s">
        <v>21</v>
      </c>
      <c r="F1" s="8" t="s">
        <v>22</v>
      </c>
      <c r="G1" s="8" t="s">
        <v>2454</v>
      </c>
      <c r="H1" s="8" t="s">
        <v>24</v>
      </c>
      <c r="I1" s="8" t="s">
        <v>25</v>
      </c>
      <c r="J1" s="8" t="s">
        <v>2455</v>
      </c>
      <c r="K1" s="8" t="s">
        <v>27</v>
      </c>
      <c r="L1" s="8" t="s">
        <v>28</v>
      </c>
      <c r="M1" s="8" t="s">
        <v>29</v>
      </c>
      <c r="N1" s="8" t="s">
        <v>30</v>
      </c>
      <c r="O1" s="8" t="s">
        <v>31</v>
      </c>
      <c r="P1" s="8" t="s">
        <v>32</v>
      </c>
      <c r="Q1" s="8" t="s">
        <v>33</v>
      </c>
      <c r="R1" s="8" t="s">
        <v>34</v>
      </c>
      <c r="S1" s="8" t="s">
        <v>35</v>
      </c>
      <c r="T1" s="8" t="s">
        <v>36</v>
      </c>
      <c r="U1" s="8" t="s">
        <v>2456</v>
      </c>
      <c r="V1" s="8" t="s">
        <v>2457</v>
      </c>
      <c r="W1" s="8" t="s">
        <v>2458</v>
      </c>
    </row>
    <row r="2" customFormat="false" ht="15" hidden="false" customHeight="true" outlineLevel="0" collapsed="false">
      <c r="A2" s="9" t="str">
        <f aca="false">Raw_Donors!A2</f>
        <v>D1000</v>
      </c>
      <c r="B2" s="9" t="str">
        <f aca="false">IF(ISNUMBER(SEARCH("-DUP",A2)),"Duplicate ID","")</f>
        <v/>
      </c>
      <c r="C2" s="9" t="n">
        <f aca="false">Raw_Donors!B2</f>
        <v>46743</v>
      </c>
      <c r="D2" s="9" t="n">
        <f aca="false">Raw_Donors!C2</f>
        <v>0</v>
      </c>
      <c r="E2" s="9" t="str">
        <f aca="false">IFERROR(IF(Raw_Donors!D2="","Unknown",Raw_Donors!D2),"Unknown")</f>
        <v>Unknown</v>
      </c>
      <c r="F2" s="9" t="str">
        <f aca="false">IFERROR(IF(Raw_Donors!E2="","Unknown",Raw_Donors!E2),"Unknown")</f>
        <v>Female</v>
      </c>
      <c r="G2" s="9" t="str">
        <f aca="false">PROPER(TRIM(Raw_Donors!F2))</f>
        <v>Individual Donor</v>
      </c>
      <c r="H2" s="9" t="str">
        <f aca="false">IFERROR(IF(Raw_Donors!G2="","N",Raw_Donors!G2),"N")</f>
        <v>N</v>
      </c>
      <c r="I2" s="9" t="str">
        <f aca="false">IF(Raw_Donors!H2="","Not Rated",Raw_Donors!H2)</f>
        <v>Not Rated</v>
      </c>
      <c r="J2" s="9" t="str">
        <f aca="false">IF(TRIM(Raw_Donors!I2)="","Unknown",TRIM(Raw_Donors!I2))</f>
        <v>HOME</v>
      </c>
      <c r="K2" s="9" t="str">
        <f aca="false">Raw_Donors!J2</f>
        <v>N</v>
      </c>
      <c r="L2" s="9" t="n">
        <f aca="false">Raw_Donors!K2</f>
        <v>1</v>
      </c>
      <c r="M2" s="10" t="n">
        <f aca="false">IFERROR(VALUE(SUBSTITUTE(SUBSTITUTE(Raw_Donors!L2,"$",""),",","")),0)</f>
        <v>0</v>
      </c>
      <c r="N2" s="10" t="n">
        <f aca="false">IFERROR(VALUE(SUBSTITUTE(SUBSTITUTE(Raw_Donors!M2,"$",""),",","")),0)</f>
        <v>0</v>
      </c>
      <c r="O2" s="10" t="n">
        <f aca="false">IFERROR(VALUE(SUBSTITUTE(SUBSTITUTE(Raw_Donors!N2,"$",""),",","")),0)</f>
        <v>0</v>
      </c>
      <c r="P2" s="10" t="n">
        <f aca="false">IFERROR(VALUE(SUBSTITUTE(SUBSTITUTE(Raw_Donors!O2,"$",""),",","")),0)</f>
        <v>0</v>
      </c>
      <c r="Q2" s="10" t="n">
        <f aca="false">IFERROR(VALUE(SUBSTITUTE(SUBSTITUTE(Raw_Donors!P2,"$",""),",","")),0)</f>
        <v>0</v>
      </c>
      <c r="R2" s="10" t="n">
        <f aca="false">Raw_Donors!Q2</f>
        <v>0</v>
      </c>
      <c r="S2" s="9" t="str">
        <f aca="false">Raw_Donors!R2</f>
        <v>N</v>
      </c>
      <c r="T2" s="9" t="str">
        <f aca="false">IF(Raw_Donors!S2="","",Raw_Donors!S2)</f>
        <v/>
      </c>
      <c r="U2" s="9" t="str">
        <f aca="false">IF(AND((O2+P2)&gt;0,Q2=0),"Lapsed - Follow Up","")</f>
        <v/>
      </c>
      <c r="V2" s="9" t="n">
        <f aca="false">RANK(R2,$R$2:$R$759)+COUNTIF($R$2:R2,R2)-1</f>
        <v>557</v>
      </c>
      <c r="W2" s="9" t="str">
        <f aca="false">IF(U2="Lapsed - Follow Up",COUNTIF($U$2:U2,"Lapsed - Follow Up"),"")</f>
        <v/>
      </c>
    </row>
    <row r="3" customFormat="false" ht="15" hidden="false" customHeight="true" outlineLevel="0" collapsed="false">
      <c r="A3" s="9" t="str">
        <f aca="false">Raw_Donors!A3</f>
        <v>D1001</v>
      </c>
      <c r="B3" s="9" t="str">
        <f aca="false">IF(ISNUMBER(SEARCH("-DUP",A3)),"Duplicate ID","")</f>
        <v/>
      </c>
      <c r="C3" s="9" t="n">
        <f aca="false">Raw_Donors!B3</f>
        <v>27054</v>
      </c>
      <c r="D3" s="9" t="n">
        <f aca="false">Raw_Donors!C3</f>
        <v>0</v>
      </c>
      <c r="E3" s="9" t="str">
        <f aca="false">IFERROR(IF(Raw_Donors!D3="","Unknown",Raw_Donors!D3),"Unknown")</f>
        <v>Unknown</v>
      </c>
      <c r="F3" s="9" t="str">
        <f aca="false">IFERROR(IF(Raw_Donors!E3="","Unknown",Raw_Donors!E3),"Unknown")</f>
        <v>Male</v>
      </c>
      <c r="G3" s="9" t="str">
        <f aca="false">PROPER(TRIM(Raw_Donors!F3))</f>
        <v>Family Donor</v>
      </c>
      <c r="H3" s="9" t="str">
        <f aca="false">IFERROR(IF(Raw_Donors!G3="","N",Raw_Donors!G3),"N")</f>
        <v>N</v>
      </c>
      <c r="I3" s="9" t="str">
        <f aca="false">IF(Raw_Donors!H3="","Not Rated",Raw_Donors!H3)</f>
        <v>Not Rated</v>
      </c>
      <c r="J3" s="9" t="str">
        <f aca="false">IF(TRIM(Raw_Donors!I3)="","Unknown",TRIM(Raw_Donors!I3))</f>
        <v>BUSN</v>
      </c>
      <c r="K3" s="9" t="str">
        <f aca="false">Raw_Donors!J3</f>
        <v>Y</v>
      </c>
      <c r="L3" s="9" t="n">
        <f aca="false">Raw_Donors!K3</f>
        <v>0</v>
      </c>
      <c r="M3" s="10" t="n">
        <f aca="false">IFERROR(VALUE(SUBSTITUTE(SUBSTITUTE(Raw_Donors!L3,"$",""),",","")),0)</f>
        <v>0</v>
      </c>
      <c r="N3" s="10" t="n">
        <f aca="false">IFERROR(VALUE(SUBSTITUTE(SUBSTITUTE(Raw_Donors!M3,"$",""),",","")),0)</f>
        <v>0</v>
      </c>
      <c r="O3" s="10" t="n">
        <f aca="false">IFERROR(VALUE(SUBSTITUTE(SUBSTITUTE(Raw_Donors!N3,"$",""),",","")),0)</f>
        <v>0</v>
      </c>
      <c r="P3" s="10" t="n">
        <f aca="false">IFERROR(VALUE(SUBSTITUTE(SUBSTITUTE(Raw_Donors!O3,"$",""),",","")),0)</f>
        <v>0</v>
      </c>
      <c r="Q3" s="10" t="n">
        <f aca="false">IFERROR(VALUE(SUBSTITUTE(SUBSTITUTE(Raw_Donors!P3,"$",""),",","")),0)</f>
        <v>0</v>
      </c>
      <c r="R3" s="10" t="n">
        <f aca="false">Raw_Donors!Q3</f>
        <v>334</v>
      </c>
      <c r="S3" s="9" t="str">
        <f aca="false">Raw_Donors!R3</f>
        <v>Y</v>
      </c>
      <c r="T3" s="9" t="str">
        <f aca="false">IF(Raw_Donors!S3="","",Raw_Donors!S3)</f>
        <v/>
      </c>
      <c r="U3" s="9" t="str">
        <f aca="false">IF(AND((O3+P3)&gt;0,Q3=0),"Lapsed - Follow Up","")</f>
        <v/>
      </c>
      <c r="V3" s="9" t="n">
        <f aca="false">RANK(R3,$R$2:$R$759)+COUNTIF($R$2:R3,R3)-1</f>
        <v>130</v>
      </c>
      <c r="W3" s="9" t="str">
        <f aca="false">IF(U3="Lapsed - Follow Up",COUNTIF($U$2:U3,"Lapsed - Follow Up"),"")</f>
        <v/>
      </c>
    </row>
    <row r="4" customFormat="false" ht="15" hidden="false" customHeight="true" outlineLevel="0" collapsed="false">
      <c r="A4" s="9" t="str">
        <f aca="false">Raw_Donors!A4</f>
        <v>D1002</v>
      </c>
      <c r="B4" s="9" t="str">
        <f aca="false">IF(ISNUMBER(SEARCH("-DUP",A4)),"Duplicate ID","")</f>
        <v/>
      </c>
      <c r="C4" s="9" t="n">
        <f aca="false">Raw_Donors!B4</f>
        <v>45843</v>
      </c>
      <c r="D4" s="9" t="n">
        <f aca="false">Raw_Donors!C4</f>
        <v>0</v>
      </c>
      <c r="E4" s="9" t="str">
        <f aca="false">IFERROR(IF(Raw_Donors!D4="","Unknown",Raw_Donors!D4),"Unknown")</f>
        <v>Unknown</v>
      </c>
      <c r="F4" s="9" t="str">
        <f aca="false">IFERROR(IF(Raw_Donors!E4="","Unknown",Raw_Donors!E4),"Unknown")</f>
        <v>Male</v>
      </c>
      <c r="G4" s="9" t="str">
        <f aca="false">PROPER(TRIM(Raw_Donors!F4))</f>
        <v>Individual Donor</v>
      </c>
      <c r="H4" s="9" t="str">
        <f aca="false">IFERROR(IF(Raw_Donors!G4="","N",Raw_Donors!G4),"N")</f>
        <v>N</v>
      </c>
      <c r="I4" s="9" t="str">
        <f aca="false">IF(Raw_Donors!H4="","Not Rated",Raw_Donors!H4)</f>
        <v>Not Rated</v>
      </c>
      <c r="J4" s="9" t="str">
        <f aca="false">IF(TRIM(Raw_Donors!I4)="","Unknown",TRIM(Raw_Donors!I4))</f>
        <v>HOME</v>
      </c>
      <c r="K4" s="9" t="str">
        <f aca="false">Raw_Donors!J4</f>
        <v>N</v>
      </c>
      <c r="L4" s="9" t="n">
        <f aca="false">Raw_Donors!K4</f>
        <v>1</v>
      </c>
      <c r="M4" s="10" t="n">
        <f aca="false">IFERROR(VALUE(SUBSTITUTE(SUBSTITUTE(Raw_Donors!L4,"$",""),",","")),0)</f>
        <v>0</v>
      </c>
      <c r="N4" s="10" t="n">
        <f aca="false">IFERROR(VALUE(SUBSTITUTE(SUBSTITUTE(Raw_Donors!M4,"$",""),",","")),0)</f>
        <v>0</v>
      </c>
      <c r="O4" s="10" t="n">
        <f aca="false">IFERROR(VALUE(SUBSTITUTE(SUBSTITUTE(Raw_Donors!N4,"$",""),",","")),0)</f>
        <v>0</v>
      </c>
      <c r="P4" s="10" t="n">
        <f aca="false">IFERROR(VALUE(SUBSTITUTE(SUBSTITUTE(Raw_Donors!O4,"$",""),",","")),0)</f>
        <v>0</v>
      </c>
      <c r="Q4" s="10" t="n">
        <f aca="false">IFERROR(VALUE(SUBSTITUTE(SUBSTITUTE(Raw_Donors!P4,"$",""),",","")),0)</f>
        <v>0</v>
      </c>
      <c r="R4" s="10" t="n">
        <f aca="false">Raw_Donors!Q4</f>
        <v>870</v>
      </c>
      <c r="S4" s="9" t="str">
        <f aca="false">Raw_Donors!R4</f>
        <v>Y</v>
      </c>
      <c r="T4" s="9" t="str">
        <f aca="false">IF(Raw_Donors!S4="","",Raw_Donors!S4)</f>
        <v/>
      </c>
      <c r="U4" s="9" t="str">
        <f aca="false">IF(AND((O4+P4)&gt;0,Q4=0),"Lapsed - Follow Up","")</f>
        <v/>
      </c>
      <c r="V4" s="9" t="n">
        <f aca="false">RANK(R4,$R$2:$R$759)+COUNTIF($R$2:R4,R4)-1</f>
        <v>63</v>
      </c>
      <c r="W4" s="9" t="str">
        <f aca="false">IF(U4="Lapsed - Follow Up",COUNTIF($U$2:U4,"Lapsed - Follow Up"),"")</f>
        <v/>
      </c>
    </row>
    <row r="5" customFormat="false" ht="15" hidden="false" customHeight="true" outlineLevel="0" collapsed="false">
      <c r="A5" s="9" t="str">
        <f aca="false">Raw_Donors!A5</f>
        <v>D1003</v>
      </c>
      <c r="B5" s="9" t="str">
        <f aca="false">IF(ISNUMBER(SEARCH("-DUP",A5)),"Duplicate ID","")</f>
        <v/>
      </c>
      <c r="C5" s="9" t="n">
        <f aca="false">Raw_Donors!B5</f>
        <v>33953</v>
      </c>
      <c r="D5" s="9" t="n">
        <f aca="false">Raw_Donors!C5</f>
        <v>0</v>
      </c>
      <c r="E5" s="9" t="str">
        <f aca="false">IFERROR(IF(Raw_Donors!D5="","Unknown",Raw_Donors!D5),"Unknown")</f>
        <v>Unknown</v>
      </c>
      <c r="F5" s="9" t="str">
        <f aca="false">IFERROR(IF(Raw_Donors!E5="","Unknown",Raw_Donors!E5),"Unknown")</f>
        <v>Uknown</v>
      </c>
      <c r="G5" s="9" t="str">
        <f aca="false">PROPER(TRIM(Raw_Donors!F5))</f>
        <v>Individual Donor</v>
      </c>
      <c r="H5" s="9" t="str">
        <f aca="false">IFERROR(IF(Raw_Donors!G5="","N",Raw_Donors!G5),"N")</f>
        <v>N</v>
      </c>
      <c r="I5" s="9" t="str">
        <f aca="false">IF(Raw_Donors!H5="","Not Rated",Raw_Donors!H5)</f>
        <v>Not Rated</v>
      </c>
      <c r="J5" s="9" t="str">
        <f aca="false">IF(TRIM(Raw_Donors!I5)="","Unknown",TRIM(Raw_Donors!I5))</f>
        <v>HOME</v>
      </c>
      <c r="K5" s="9" t="str">
        <f aca="false">Raw_Donors!J5</f>
        <v>N</v>
      </c>
      <c r="L5" s="9" t="n">
        <f aca="false">Raw_Donors!K5</f>
        <v>0</v>
      </c>
      <c r="M5" s="10" t="n">
        <f aca="false">IFERROR(VALUE(SUBSTITUTE(SUBSTITUTE(Raw_Donors!L5,"$",""),",","")),0)</f>
        <v>0</v>
      </c>
      <c r="N5" s="10" t="n">
        <f aca="false">IFERROR(VALUE(SUBSTITUTE(SUBSTITUTE(Raw_Donors!M5,"$",""),",","")),0)</f>
        <v>0</v>
      </c>
      <c r="O5" s="10" t="n">
        <f aca="false">IFERROR(VALUE(SUBSTITUTE(SUBSTITUTE(Raw_Donors!N5,"$",""),",","")),0)</f>
        <v>0</v>
      </c>
      <c r="P5" s="10" t="n">
        <f aca="false">IFERROR(VALUE(SUBSTITUTE(SUBSTITUTE(Raw_Donors!O5,"$",""),",","")),0)</f>
        <v>0</v>
      </c>
      <c r="Q5" s="10" t="n">
        <f aca="false">IFERROR(VALUE(SUBSTITUTE(SUBSTITUTE(Raw_Donors!P5,"$",""),",","")),0)</f>
        <v>0</v>
      </c>
      <c r="R5" s="10" t="n">
        <f aca="false">Raw_Donors!Q5</f>
        <v>0</v>
      </c>
      <c r="S5" s="9" t="str">
        <f aca="false">Raw_Donors!R5</f>
        <v>N</v>
      </c>
      <c r="T5" s="9" t="str">
        <f aca="false">IF(Raw_Donors!S5="","",Raw_Donors!S5)</f>
        <v/>
      </c>
      <c r="U5" s="9" t="str">
        <f aca="false">IF(AND((O5+P5)&gt;0,Q5=0),"Lapsed - Follow Up","")</f>
        <v/>
      </c>
      <c r="V5" s="9" t="n">
        <f aca="false">RANK(R5,$R$2:$R$759)+COUNTIF($R$2:R5,R5)-1</f>
        <v>558</v>
      </c>
      <c r="W5" s="9" t="str">
        <f aca="false">IF(U5="Lapsed - Follow Up",COUNTIF($U$2:U5,"Lapsed - Follow Up"),"")</f>
        <v/>
      </c>
    </row>
    <row r="6" customFormat="false" ht="15" hidden="false" customHeight="true" outlineLevel="0" collapsed="false">
      <c r="A6" s="9" t="str">
        <f aca="false">Raw_Donors!A6</f>
        <v>D1004</v>
      </c>
      <c r="B6" s="9" t="str">
        <f aca="false">IF(ISNUMBER(SEARCH("-DUP",A6)),"Duplicate ID","")</f>
        <v/>
      </c>
      <c r="C6" s="9" t="n">
        <f aca="false">Raw_Donors!B6</f>
        <v>63013</v>
      </c>
      <c r="D6" s="9" t="n">
        <f aca="false">Raw_Donors!C6</f>
        <v>39</v>
      </c>
      <c r="E6" s="9" t="str">
        <f aca="false">IFERROR(IF(Raw_Donors!D6="","Unknown",Raw_Donors!D6),"Unknown")</f>
        <v>Unknown</v>
      </c>
      <c r="F6" s="9" t="str">
        <f aca="false">IFERROR(IF(Raw_Donors!E6="","Unknown",Raw_Donors!E6),"Unknown")</f>
        <v>Female</v>
      </c>
      <c r="G6" s="9" t="str">
        <f aca="false">PROPER(TRIM(Raw_Donors!F6))</f>
        <v>Individual Donor</v>
      </c>
      <c r="H6" s="9" t="str">
        <f aca="false">IFERROR(IF(Raw_Donors!G6="","N",Raw_Donors!G6),"N")</f>
        <v>N</v>
      </c>
      <c r="I6" s="9" t="str">
        <f aca="false">IF(Raw_Donors!H6="","Not Rated",Raw_Donors!H6)</f>
        <v>Not Rated</v>
      </c>
      <c r="J6" s="9" t="str">
        <f aca="false">IF(TRIM(Raw_Donors!I6)="","Unknown",TRIM(Raw_Donors!I6))</f>
        <v>HOME</v>
      </c>
      <c r="K6" s="9" t="str">
        <f aca="false">Raw_Donors!J6</f>
        <v>N</v>
      </c>
      <c r="L6" s="9" t="n">
        <f aca="false">Raw_Donors!K6</f>
        <v>0</v>
      </c>
      <c r="M6" s="10" t="n">
        <f aca="false">IFERROR(VALUE(SUBSTITUTE(SUBSTITUTE(Raw_Donors!L6,"$",""),",","")),0)</f>
        <v>0</v>
      </c>
      <c r="N6" s="10" t="n">
        <f aca="false">IFERROR(VALUE(SUBSTITUTE(SUBSTITUTE(Raw_Donors!M6,"$",""),",","")),0)</f>
        <v>0</v>
      </c>
      <c r="O6" s="10" t="n">
        <f aca="false">IFERROR(VALUE(SUBSTITUTE(SUBSTITUTE(Raw_Donors!N6,"$",""),",","")),0)</f>
        <v>0</v>
      </c>
      <c r="P6" s="10" t="n">
        <f aca="false">IFERROR(VALUE(SUBSTITUTE(SUBSTITUTE(Raw_Donors!O6,"$",""),",","")),0)</f>
        <v>0</v>
      </c>
      <c r="Q6" s="10" t="n">
        <f aca="false">IFERROR(VALUE(SUBSTITUTE(SUBSTITUTE(Raw_Donors!P6,"$",""),",","")),0)</f>
        <v>0</v>
      </c>
      <c r="R6" s="10" t="n">
        <f aca="false">Raw_Donors!Q6</f>
        <v>490</v>
      </c>
      <c r="S6" s="9" t="str">
        <f aca="false">Raw_Donors!R6</f>
        <v>Y</v>
      </c>
      <c r="T6" s="9" t="str">
        <f aca="false">IF(Raw_Donors!S6="","",Raw_Donors!S6)</f>
        <v>1978-05-22</v>
      </c>
      <c r="U6" s="9" t="str">
        <f aca="false">IF(AND((O6+P6)&gt;0,Q6=0),"Lapsed - Follow Up","")</f>
        <v/>
      </c>
      <c r="V6" s="9" t="n">
        <f aca="false">RANK(R6,$R$2:$R$759)+COUNTIF($R$2:R6,R6)-1</f>
        <v>98</v>
      </c>
      <c r="W6" s="9" t="str">
        <f aca="false">IF(U6="Lapsed - Follow Up",COUNTIF($U$2:U6,"Lapsed - Follow Up"),"")</f>
        <v/>
      </c>
    </row>
    <row r="7" customFormat="false" ht="15" hidden="false" customHeight="true" outlineLevel="0" collapsed="false">
      <c r="A7" s="9" t="str">
        <f aca="false">Raw_Donors!A7</f>
        <v>D1005</v>
      </c>
      <c r="B7" s="9" t="str">
        <f aca="false">IF(ISNUMBER(SEARCH("-DUP",A7)),"Duplicate ID","")</f>
        <v/>
      </c>
      <c r="C7" s="9" t="n">
        <f aca="false">Raw_Donors!B7</f>
        <v>41832</v>
      </c>
      <c r="D7" s="9" t="n">
        <f aca="false">Raw_Donors!C7</f>
        <v>55</v>
      </c>
      <c r="E7" s="9" t="str">
        <f aca="false">IFERROR(IF(Raw_Donors!D7="","Unknown",Raw_Donors!D7),"Unknown")</f>
        <v>Unknown</v>
      </c>
      <c r="F7" s="9" t="str">
        <f aca="false">IFERROR(IF(Raw_Donors!E7="","Unknown",Raw_Donors!E7),"Unknown")</f>
        <v>Male</v>
      </c>
      <c r="G7" s="9" t="str">
        <f aca="false">PROPER(TRIM(Raw_Donors!F7))</f>
        <v>Community Partner</v>
      </c>
      <c r="H7" s="9" t="str">
        <f aca="false">IFERROR(IF(Raw_Donors!G7="","N",Raw_Donors!G7),"N")</f>
        <v>N</v>
      </c>
      <c r="I7" s="9" t="str">
        <f aca="false">IF(Raw_Donors!H7="","Not Rated",Raw_Donors!H7)</f>
        <v>Not Rated</v>
      </c>
      <c r="J7" s="9" t="str">
        <f aca="false">IF(TRIM(Raw_Donors!I7)="","Unknown",TRIM(Raw_Donors!I7))</f>
        <v>HOME</v>
      </c>
      <c r="K7" s="9" t="str">
        <f aca="false">Raw_Donors!J7</f>
        <v>N</v>
      </c>
      <c r="L7" s="9" t="n">
        <f aca="false">Raw_Donors!K7</f>
        <v>1</v>
      </c>
      <c r="M7" s="10" t="n">
        <f aca="false">IFERROR(VALUE(SUBSTITUTE(SUBSTITUTE(Raw_Donors!L7,"$",""),",","")),0)</f>
        <v>0</v>
      </c>
      <c r="N7" s="10" t="n">
        <f aca="false">IFERROR(VALUE(SUBSTITUTE(SUBSTITUTE(Raw_Donors!M7,"$",""),",","")),0)</f>
        <v>0</v>
      </c>
      <c r="O7" s="10" t="n">
        <f aca="false">IFERROR(VALUE(SUBSTITUTE(SUBSTITUTE(Raw_Donors!N7,"$",""),",","")),0)</f>
        <v>0</v>
      </c>
      <c r="P7" s="10" t="n">
        <f aca="false">IFERROR(VALUE(SUBSTITUTE(SUBSTITUTE(Raw_Donors!O7,"$",""),",","")),0)</f>
        <v>0</v>
      </c>
      <c r="Q7" s="10" t="n">
        <f aca="false">IFERROR(VALUE(SUBSTITUTE(SUBSTITUTE(Raw_Donors!P7,"$",""),",","")),0)</f>
        <v>0</v>
      </c>
      <c r="R7" s="10" t="n">
        <f aca="false">Raw_Donors!Q7</f>
        <v>0</v>
      </c>
      <c r="S7" s="9" t="str">
        <f aca="false">Raw_Donors!R7</f>
        <v>N</v>
      </c>
      <c r="T7" s="9" t="str">
        <f aca="false">IF(Raw_Donors!S7="","",Raw_Donors!S7)</f>
        <v>1962-01-21</v>
      </c>
      <c r="U7" s="9" t="str">
        <f aca="false">IF(AND((O7+P7)&gt;0,Q7=0),"Lapsed - Follow Up","")</f>
        <v/>
      </c>
      <c r="V7" s="9" t="n">
        <f aca="false">RANK(R7,$R$2:$R$759)+COUNTIF($R$2:R7,R7)-1</f>
        <v>559</v>
      </c>
      <c r="W7" s="9" t="str">
        <f aca="false">IF(U7="Lapsed - Follow Up",COUNTIF($U$2:U7,"Lapsed - Follow Up"),"")</f>
        <v/>
      </c>
    </row>
    <row r="8" customFormat="false" ht="15" hidden="false" customHeight="true" outlineLevel="0" collapsed="false">
      <c r="A8" s="9" t="str">
        <f aca="false">Raw_Donors!A8</f>
        <v>D1006</v>
      </c>
      <c r="B8" s="9" t="str">
        <f aca="false">IF(ISNUMBER(SEARCH("-DUP",A8)),"Duplicate ID","")</f>
        <v/>
      </c>
      <c r="C8" s="9" t="n">
        <f aca="false">Raw_Donors!B8</f>
        <v>35402</v>
      </c>
      <c r="D8" s="9" t="n">
        <f aca="false">Raw_Donors!C8</f>
        <v>0</v>
      </c>
      <c r="E8" s="9" t="str">
        <f aca="false">IFERROR(IF(Raw_Donors!D8="","Unknown",Raw_Donors!D8),"Unknown")</f>
        <v>Unknown</v>
      </c>
      <c r="F8" s="9" t="str">
        <f aca="false">IFERROR(IF(Raw_Donors!E8="","Unknown",Raw_Donors!E8),"Unknown")</f>
        <v>Male</v>
      </c>
      <c r="G8" s="9" t="str">
        <f aca="false">PROPER(TRIM(Raw_Donors!F8))</f>
        <v>Individual Donor</v>
      </c>
      <c r="H8" s="9" t="str">
        <f aca="false">IFERROR(IF(Raw_Donors!G8="","N",Raw_Donors!G8),"N")</f>
        <v>Y</v>
      </c>
      <c r="I8" s="9" t="str">
        <f aca="false">IF(Raw_Donors!H8="","Not Rated",Raw_Donors!H8)</f>
        <v>Not Rated</v>
      </c>
      <c r="J8" s="9" t="str">
        <f aca="false">IF(TRIM(Raw_Donors!I8)="","Unknown",TRIM(Raw_Donors!I8))</f>
        <v>HOME</v>
      </c>
      <c r="K8" s="9" t="str">
        <f aca="false">Raw_Donors!J8</f>
        <v>N</v>
      </c>
      <c r="L8" s="9" t="n">
        <f aca="false">Raw_Donors!K8</f>
        <v>0</v>
      </c>
      <c r="M8" s="10" t="n">
        <f aca="false">IFERROR(VALUE(SUBSTITUTE(SUBSTITUTE(Raw_Donors!L8,"$",""),",","")),0)</f>
        <v>0</v>
      </c>
      <c r="N8" s="10" t="n">
        <f aca="false">IFERROR(VALUE(SUBSTITUTE(SUBSTITUTE(Raw_Donors!M8,"$",""),",","")),0)</f>
        <v>0</v>
      </c>
      <c r="O8" s="10" t="n">
        <f aca="false">IFERROR(VALUE(SUBSTITUTE(SUBSTITUTE(Raw_Donors!N8,"$",""),",","")),0)</f>
        <v>0</v>
      </c>
      <c r="P8" s="10" t="n">
        <f aca="false">IFERROR(VALUE(SUBSTITUTE(SUBSTITUTE(Raw_Donors!O8,"$",""),",","")),0)</f>
        <v>0</v>
      </c>
      <c r="Q8" s="10" t="n">
        <f aca="false">IFERROR(VALUE(SUBSTITUTE(SUBSTITUTE(Raw_Donors!P8,"$",""),",","")),0)</f>
        <v>1</v>
      </c>
      <c r="R8" s="10" t="n">
        <f aca="false">Raw_Donors!Q8</f>
        <v>50</v>
      </c>
      <c r="S8" s="9" t="str">
        <f aca="false">Raw_Donors!R8</f>
        <v>Y</v>
      </c>
      <c r="T8" s="9" t="str">
        <f aca="false">IF(Raw_Donors!S8="","",Raw_Donors!S8)</f>
        <v/>
      </c>
      <c r="U8" s="9" t="str">
        <f aca="false">IF(AND((O8+P8)&gt;0,Q8=0),"Lapsed - Follow Up","")</f>
        <v/>
      </c>
      <c r="V8" s="9" t="n">
        <f aca="false">RANK(R8,$R$2:$R$759)+COUNTIF($R$2:R8,R8)-1</f>
        <v>364</v>
      </c>
      <c r="W8" s="9" t="str">
        <f aca="false">IF(U8="Lapsed - Follow Up",COUNTIF($U$2:U8,"Lapsed - Follow Up"),"")</f>
        <v/>
      </c>
    </row>
    <row r="9" customFormat="false" ht="15" hidden="false" customHeight="true" outlineLevel="0" collapsed="false">
      <c r="A9" s="9" t="str">
        <f aca="false">Raw_Donors!A9</f>
        <v>D1007</v>
      </c>
      <c r="B9" s="9" t="str">
        <f aca="false">IF(ISNUMBER(SEARCH("-DUP",A9)),"Duplicate ID","")</f>
        <v/>
      </c>
      <c r="C9" s="9" t="n">
        <f aca="false">Raw_Donors!B9</f>
        <v>25714</v>
      </c>
      <c r="D9" s="9" t="n">
        <f aca="false">Raw_Donors!C9</f>
        <v>23</v>
      </c>
      <c r="E9" s="9" t="str">
        <f aca="false">IFERROR(IF(Raw_Donors!D9="","Unknown",Raw_Donors!D9),"Unknown")</f>
        <v>Unknown</v>
      </c>
      <c r="F9" s="9" t="str">
        <f aca="false">IFERROR(IF(Raw_Donors!E9="","Unknown",Raw_Donors!E9),"Unknown")</f>
        <v>Female</v>
      </c>
      <c r="G9" s="9" t="str">
        <f aca="false">PROPER(TRIM(Raw_Donors!F9))</f>
        <v>Individual Donor</v>
      </c>
      <c r="H9" s="9" t="str">
        <f aca="false">IFERROR(IF(Raw_Donors!G9="","N",Raw_Donors!G9),"N")</f>
        <v>N</v>
      </c>
      <c r="I9" s="9" t="str">
        <f aca="false">IF(Raw_Donors!H9="","Not Rated",Raw_Donors!H9)</f>
        <v>Not Rated</v>
      </c>
      <c r="J9" s="9" t="str">
        <f aca="false">IF(TRIM(Raw_Donors!I9)="","Unknown",TRIM(Raw_Donors!I9))</f>
        <v>HOME</v>
      </c>
      <c r="K9" s="9" t="str">
        <f aca="false">Raw_Donors!J9</f>
        <v>N</v>
      </c>
      <c r="L9" s="9" t="n">
        <f aca="false">Raw_Donors!K9</f>
        <v>0</v>
      </c>
      <c r="M9" s="10" t="n">
        <f aca="false">IFERROR(VALUE(SUBSTITUTE(SUBSTITUTE(Raw_Donors!L9,"$",""),",","")),0)</f>
        <v>0</v>
      </c>
      <c r="N9" s="10" t="n">
        <f aca="false">IFERROR(VALUE(SUBSTITUTE(SUBSTITUTE(Raw_Donors!M9,"$",""),",","")),0)</f>
        <v>0</v>
      </c>
      <c r="O9" s="10" t="n">
        <f aca="false">IFERROR(VALUE(SUBSTITUTE(SUBSTITUTE(Raw_Donors!N9,"$",""),",","")),0)</f>
        <v>0</v>
      </c>
      <c r="P9" s="10" t="n">
        <f aca="false">IFERROR(VALUE(SUBSTITUTE(SUBSTITUTE(Raw_Donors!O9,"$",""),",","")),0)</f>
        <v>0</v>
      </c>
      <c r="Q9" s="10" t="n">
        <f aca="false">IFERROR(VALUE(SUBSTITUTE(SUBSTITUTE(Raw_Donors!P9,"$",""),",","")),0)</f>
        <v>0</v>
      </c>
      <c r="R9" s="10" t="n">
        <f aca="false">Raw_Donors!Q9</f>
        <v>1000</v>
      </c>
      <c r="S9" s="9" t="str">
        <f aca="false">Raw_Donors!R9</f>
        <v>Y</v>
      </c>
      <c r="T9" s="9" t="str">
        <f aca="false">IF(Raw_Donors!S9="","",Raw_Donors!S9)</f>
        <v>1994-05-13</v>
      </c>
      <c r="U9" s="9" t="str">
        <f aca="false">IF(AND((O9+P9)&gt;0,Q9=0),"Lapsed - Follow Up","")</f>
        <v/>
      </c>
      <c r="V9" s="9" t="n">
        <f aca="false">RANK(R9,$R$2:$R$759)+COUNTIF($R$2:R9,R9)-1</f>
        <v>58</v>
      </c>
      <c r="W9" s="9" t="str">
        <f aca="false">IF(U9="Lapsed - Follow Up",COUNTIF($U$2:U9,"Lapsed - Follow Up"),"")</f>
        <v/>
      </c>
    </row>
    <row r="10" customFormat="false" ht="15" hidden="false" customHeight="true" outlineLevel="0" collapsed="false">
      <c r="A10" s="9" t="str">
        <f aca="false">Raw_Donors!A10</f>
        <v>D1008</v>
      </c>
      <c r="B10" s="9" t="str">
        <f aca="false">IF(ISNUMBER(SEARCH("-DUP",A10)),"Duplicate ID","")</f>
        <v/>
      </c>
      <c r="C10" s="9" t="n">
        <f aca="false">Raw_Donors!B10</f>
        <v>71635</v>
      </c>
      <c r="D10" s="9" t="n">
        <f aca="false">Raw_Donors!C10</f>
        <v>0</v>
      </c>
      <c r="E10" s="9" t="str">
        <f aca="false">IFERROR(IF(Raw_Donors!D10="","Unknown",Raw_Donors!D10),"Unknown")</f>
        <v>Unknown</v>
      </c>
      <c r="F10" s="9" t="str">
        <f aca="false">IFERROR(IF(Raw_Donors!E10="","Unknown",Raw_Donors!E10),"Unknown")</f>
        <v>Male</v>
      </c>
      <c r="G10" s="9" t="str">
        <f aca="false">PROPER(TRIM(Raw_Donors!F10))</f>
        <v>Individual Donor</v>
      </c>
      <c r="H10" s="9" t="str">
        <f aca="false">IFERROR(IF(Raw_Donors!G10="","N",Raw_Donors!G10),"N")</f>
        <v>N</v>
      </c>
      <c r="I10" s="9" t="str">
        <f aca="false">IF(Raw_Donors!H10="","Not Rated",Raw_Donors!H10)</f>
        <v>Not Rated</v>
      </c>
      <c r="J10" s="9" t="str">
        <f aca="false">IF(TRIM(Raw_Donors!I10)="","Unknown",TRIM(Raw_Donors!I10))</f>
        <v>HOME</v>
      </c>
      <c r="K10" s="9" t="str">
        <f aca="false">Raw_Donors!J10</f>
        <v>N</v>
      </c>
      <c r="L10" s="9" t="n">
        <f aca="false">Raw_Donors!K10</f>
        <v>1</v>
      </c>
      <c r="M10" s="10" t="n">
        <f aca="false">IFERROR(VALUE(SUBSTITUTE(SUBSTITUTE(Raw_Donors!L10,"$",""),",","")),0)</f>
        <v>0</v>
      </c>
      <c r="N10" s="10" t="n">
        <f aca="false">IFERROR(VALUE(SUBSTITUTE(SUBSTITUTE(Raw_Donors!M10,"$",""),",","")),0)</f>
        <v>0</v>
      </c>
      <c r="O10" s="10" t="n">
        <f aca="false">IFERROR(VALUE(SUBSTITUTE(SUBSTITUTE(Raw_Donors!N10,"$",""),",","")),0)</f>
        <v>0</v>
      </c>
      <c r="P10" s="10" t="n">
        <f aca="false">IFERROR(VALUE(SUBSTITUTE(SUBSTITUTE(Raw_Donors!O10,"$",""),",","")),0)</f>
        <v>0</v>
      </c>
      <c r="Q10" s="10" t="n">
        <f aca="false">IFERROR(VALUE(SUBSTITUTE(SUBSTITUTE(Raw_Donors!P10,"$",""),",","")),0)</f>
        <v>0</v>
      </c>
      <c r="R10" s="10" t="n">
        <f aca="false">Raw_Donors!Q10</f>
        <v>0</v>
      </c>
      <c r="S10" s="9" t="str">
        <f aca="false">Raw_Donors!R10</f>
        <v>N</v>
      </c>
      <c r="T10" s="9" t="str">
        <f aca="false">IF(Raw_Donors!S10="","",Raw_Donors!S10)</f>
        <v/>
      </c>
      <c r="U10" s="9" t="str">
        <f aca="false">IF(AND((O10+P10)&gt;0,Q10=0),"Lapsed - Follow Up","")</f>
        <v/>
      </c>
      <c r="V10" s="9" t="n">
        <f aca="false">RANK(R10,$R$2:$R$759)+COUNTIF($R$2:R10,R10)-1</f>
        <v>560</v>
      </c>
      <c r="W10" s="9" t="str">
        <f aca="false">IF(U10="Lapsed - Follow Up",COUNTIF($U$2:U10,"Lapsed - Follow Up"),"")</f>
        <v/>
      </c>
    </row>
    <row r="11" customFormat="false" ht="15" hidden="false" customHeight="true" outlineLevel="0" collapsed="false">
      <c r="A11" s="9" t="str">
        <f aca="false">Raw_Donors!A11</f>
        <v>D1009</v>
      </c>
      <c r="B11" s="9" t="str">
        <f aca="false">IF(ISNUMBER(SEARCH("-DUP",A11)),"Duplicate ID","")</f>
        <v/>
      </c>
      <c r="C11" s="9" t="n">
        <f aca="false">Raw_Donors!B11</f>
        <v>29062</v>
      </c>
      <c r="D11" s="9" t="n">
        <f aca="false">Raw_Donors!C11</f>
        <v>0</v>
      </c>
      <c r="E11" s="9" t="str">
        <f aca="false">IFERROR(IF(Raw_Donors!D11="","Unknown",Raw_Donors!D11),"Unknown")</f>
        <v>Married</v>
      </c>
      <c r="F11" s="9" t="str">
        <f aca="false">IFERROR(IF(Raw_Donors!E11="","Unknown",Raw_Donors!E11),"Unknown")</f>
        <v>Male</v>
      </c>
      <c r="G11" s="9" t="str">
        <f aca="false">PROPER(TRIM(Raw_Donors!F11))</f>
        <v>Individual Donor</v>
      </c>
      <c r="H11" s="9" t="str">
        <f aca="false">IFERROR(IF(Raw_Donors!G11="","N",Raw_Donors!G11),"N")</f>
        <v>N</v>
      </c>
      <c r="I11" s="9" t="str">
        <f aca="false">IF(Raw_Donors!H11="","Not Rated",Raw_Donors!H11)</f>
        <v>Not Rated</v>
      </c>
      <c r="J11" s="9" t="str">
        <f aca="false">IF(TRIM(Raw_Donors!I11)="","Unknown",TRIM(Raw_Donors!I11))</f>
        <v>HOME</v>
      </c>
      <c r="K11" s="9" t="str">
        <f aca="false">Raw_Donors!J11</f>
        <v>Y</v>
      </c>
      <c r="L11" s="9" t="n">
        <f aca="false">Raw_Donors!K11</f>
        <v>1</v>
      </c>
      <c r="M11" s="10" t="n">
        <f aca="false">IFERROR(VALUE(SUBSTITUTE(SUBSTITUTE(Raw_Donors!L11,"$",""),",","")),0)</f>
        <v>0</v>
      </c>
      <c r="N11" s="10" t="n">
        <f aca="false">IFERROR(VALUE(SUBSTITUTE(SUBSTITUTE(Raw_Donors!M11,"$",""),",","")),0)</f>
        <v>0</v>
      </c>
      <c r="O11" s="10" t="n">
        <f aca="false">IFERROR(VALUE(SUBSTITUTE(SUBSTITUTE(Raw_Donors!N11,"$",""),",","")),0)</f>
        <v>0</v>
      </c>
      <c r="P11" s="10" t="n">
        <f aca="false">IFERROR(VALUE(SUBSTITUTE(SUBSTITUTE(Raw_Donors!O11,"$",""),",","")),0)</f>
        <v>0</v>
      </c>
      <c r="Q11" s="10" t="n">
        <f aca="false">IFERROR(VALUE(SUBSTITUTE(SUBSTITUTE(Raw_Donors!P11,"$",""),",","")),0)</f>
        <v>100</v>
      </c>
      <c r="R11" s="10" t="n">
        <f aca="false">Raw_Donors!Q11</f>
        <v>100</v>
      </c>
      <c r="S11" s="9" t="str">
        <f aca="false">Raw_Donors!R11</f>
        <v>Y</v>
      </c>
      <c r="T11" s="9" t="str">
        <f aca="false">IF(Raw_Donors!S11="","",Raw_Donors!S11)</f>
        <v/>
      </c>
      <c r="U11" s="9" t="str">
        <f aca="false">IF(AND((O11+P11)&gt;0,Q11=0),"Lapsed - Follow Up","")</f>
        <v/>
      </c>
      <c r="V11" s="9" t="n">
        <f aca="false">RANK(R11,$R$2:$R$759)+COUNTIF($R$2:R11,R11)-1</f>
        <v>271</v>
      </c>
      <c r="W11" s="9" t="str">
        <f aca="false">IF(U11="Lapsed - Follow Up",COUNTIF($U$2:U11,"Lapsed - Follow Up"),"")</f>
        <v/>
      </c>
    </row>
    <row r="12" customFormat="false" ht="15" hidden="false" customHeight="true" outlineLevel="0" collapsed="false">
      <c r="A12" s="9" t="str">
        <f aca="false">Raw_Donors!A12</f>
        <v>D1010</v>
      </c>
      <c r="B12" s="9" t="str">
        <f aca="false">IF(ISNUMBER(SEARCH("-DUP",A12)),"Duplicate ID","")</f>
        <v/>
      </c>
      <c r="C12" s="9" t="n">
        <f aca="false">Raw_Donors!B12</f>
        <v>40224</v>
      </c>
      <c r="D12" s="9" t="n">
        <f aca="false">Raw_Donors!C12</f>
        <v>0</v>
      </c>
      <c r="E12" s="9" t="str">
        <f aca="false">IFERROR(IF(Raw_Donors!D12="","Unknown",Raw_Donors!D12),"Unknown")</f>
        <v>Unknown</v>
      </c>
      <c r="F12" s="9" t="str">
        <f aca="false">IFERROR(IF(Raw_Donors!E12="","Unknown",Raw_Donors!E12),"Unknown")</f>
        <v>Male</v>
      </c>
      <c r="G12" s="9" t="str">
        <f aca="false">PROPER(TRIM(Raw_Donors!F12))</f>
        <v>Individual Donor</v>
      </c>
      <c r="H12" s="9" t="str">
        <f aca="false">IFERROR(IF(Raw_Donors!G12="","N",Raw_Donors!G12),"N")</f>
        <v>N</v>
      </c>
      <c r="I12" s="9" t="str">
        <f aca="false">IF(Raw_Donors!H12="","Not Rated",Raw_Donors!H12)</f>
        <v>Not Rated</v>
      </c>
      <c r="J12" s="9" t="str">
        <f aca="false">IF(TRIM(Raw_Donors!I12)="","Unknown",TRIM(Raw_Donors!I12))</f>
        <v>HOME</v>
      </c>
      <c r="K12" s="9" t="str">
        <f aca="false">Raw_Donors!J12</f>
        <v>N</v>
      </c>
      <c r="L12" s="9" t="n">
        <f aca="false">Raw_Donors!K12</f>
        <v>1</v>
      </c>
      <c r="M12" s="10" t="n">
        <f aca="false">IFERROR(VALUE(SUBSTITUTE(SUBSTITUTE(Raw_Donors!L12,"$",""),",","")),0)</f>
        <v>0</v>
      </c>
      <c r="N12" s="10" t="n">
        <f aca="false">IFERROR(VALUE(SUBSTITUTE(SUBSTITUTE(Raw_Donors!M12,"$",""),",","")),0)</f>
        <v>0</v>
      </c>
      <c r="O12" s="10" t="n">
        <f aca="false">IFERROR(VALUE(SUBSTITUTE(SUBSTITUTE(Raw_Donors!N12,"$",""),",","")),0)</f>
        <v>0</v>
      </c>
      <c r="P12" s="10" t="n">
        <f aca="false">IFERROR(VALUE(SUBSTITUTE(SUBSTITUTE(Raw_Donors!O12,"$",""),",","")),0)</f>
        <v>0</v>
      </c>
      <c r="Q12" s="10" t="n">
        <f aca="false">IFERROR(VALUE(SUBSTITUTE(SUBSTITUTE(Raw_Donors!P12,"$",""),",","")),0)</f>
        <v>0</v>
      </c>
      <c r="R12" s="10" t="n">
        <f aca="false">Raw_Donors!Q12</f>
        <v>0</v>
      </c>
      <c r="S12" s="9" t="str">
        <f aca="false">Raw_Donors!R12</f>
        <v>N</v>
      </c>
      <c r="T12" s="9" t="str">
        <f aca="false">IF(Raw_Donors!S12="","",Raw_Donors!S12)</f>
        <v/>
      </c>
      <c r="U12" s="9" t="str">
        <f aca="false">IF(AND((O12+P12)&gt;0,Q12=0),"Lapsed - Follow Up","")</f>
        <v/>
      </c>
      <c r="V12" s="9" t="n">
        <f aca="false">RANK(R12,$R$2:$R$759)+COUNTIF($R$2:R12,R12)-1</f>
        <v>561</v>
      </c>
      <c r="W12" s="9" t="str">
        <f aca="false">IF(U12="Lapsed - Follow Up",COUNTIF($U$2:U12,"Lapsed - Follow Up"),"")</f>
        <v/>
      </c>
    </row>
    <row r="13" customFormat="false" ht="15" hidden="false" customHeight="true" outlineLevel="0" collapsed="false">
      <c r="A13" s="9" t="str">
        <f aca="false">Raw_Donors!A13</f>
        <v>D1011</v>
      </c>
      <c r="B13" s="9" t="str">
        <f aca="false">IF(ISNUMBER(SEARCH("-DUP",A13)),"Duplicate ID","")</f>
        <v/>
      </c>
      <c r="C13" s="9" t="n">
        <f aca="false">Raw_Donors!B13</f>
        <v>5481</v>
      </c>
      <c r="D13" s="9" t="n">
        <f aca="false">Raw_Donors!C13</f>
        <v>0</v>
      </c>
      <c r="E13" s="9" t="str">
        <f aca="false">IFERROR(IF(Raw_Donors!D13="","Unknown",Raw_Donors!D13),"Unknown")</f>
        <v>Unknown</v>
      </c>
      <c r="F13" s="9" t="str">
        <f aca="false">IFERROR(IF(Raw_Donors!E13="","Unknown",Raw_Donors!E13),"Unknown")</f>
        <v>Male</v>
      </c>
      <c r="G13" s="9" t="str">
        <f aca="false">PROPER(TRIM(Raw_Donors!F13))</f>
        <v>Community Partner</v>
      </c>
      <c r="H13" s="9" t="str">
        <f aca="false">IFERROR(IF(Raw_Donors!G13="","N",Raw_Donors!G13),"N")</f>
        <v>Y</v>
      </c>
      <c r="I13" s="9" t="str">
        <f aca="false">IF(Raw_Donors!H13="","Not Rated",Raw_Donors!H13)</f>
        <v>Not Rated</v>
      </c>
      <c r="J13" s="9" t="str">
        <f aca="false">IF(TRIM(Raw_Donors!I13)="","Unknown",TRIM(Raw_Donors!I13))</f>
        <v>HOME</v>
      </c>
      <c r="K13" s="9" t="str">
        <f aca="false">Raw_Donors!J13</f>
        <v>Y</v>
      </c>
      <c r="L13" s="9" t="n">
        <f aca="false">Raw_Donors!K13</f>
        <v>3</v>
      </c>
      <c r="M13" s="10" t="n">
        <f aca="false">IFERROR(VALUE(SUBSTITUTE(SUBSTITUTE(Raw_Donors!L13,"$",""),",","")),0)</f>
        <v>0</v>
      </c>
      <c r="N13" s="10" t="n">
        <f aca="false">IFERROR(VALUE(SUBSTITUTE(SUBSTITUTE(Raw_Donors!M13,"$",""),",","")),0)</f>
        <v>0</v>
      </c>
      <c r="O13" s="10" t="n">
        <f aca="false">IFERROR(VALUE(SUBSTITUTE(SUBSTITUTE(Raw_Donors!N13,"$",""),",","")),0)</f>
        <v>0</v>
      </c>
      <c r="P13" s="10" t="n">
        <f aca="false">IFERROR(VALUE(SUBSTITUTE(SUBSTITUTE(Raw_Donors!O13,"$",""),",","")),0)</f>
        <v>0</v>
      </c>
      <c r="Q13" s="10" t="n">
        <f aca="false">IFERROR(VALUE(SUBSTITUTE(SUBSTITUTE(Raw_Donors!P13,"$",""),",","")),0)</f>
        <v>0</v>
      </c>
      <c r="R13" s="10" t="n">
        <f aca="false">Raw_Donors!Q13</f>
        <v>0</v>
      </c>
      <c r="S13" s="9" t="str">
        <f aca="false">Raw_Donors!R13</f>
        <v>N</v>
      </c>
      <c r="T13" s="9" t="str">
        <f aca="false">IF(Raw_Donors!S13="","",Raw_Donors!S13)</f>
        <v/>
      </c>
      <c r="U13" s="9" t="str">
        <f aca="false">IF(AND((O13+P13)&gt;0,Q13=0),"Lapsed - Follow Up","")</f>
        <v/>
      </c>
      <c r="V13" s="9" t="n">
        <f aca="false">RANK(R13,$R$2:$R$759)+COUNTIF($R$2:R13,R13)-1</f>
        <v>562</v>
      </c>
      <c r="W13" s="9" t="str">
        <f aca="false">IF(U13="Lapsed - Follow Up",COUNTIF($U$2:U13,"Lapsed - Follow Up"),"")</f>
        <v/>
      </c>
    </row>
    <row r="14" customFormat="false" ht="15" hidden="false" customHeight="true" outlineLevel="0" collapsed="false">
      <c r="A14" s="9" t="str">
        <f aca="false">Raw_Donors!A14</f>
        <v>D1012</v>
      </c>
      <c r="B14" s="9" t="str">
        <f aca="false">IF(ISNUMBER(SEARCH("-DUP",A14)),"Duplicate ID","")</f>
        <v/>
      </c>
      <c r="C14" s="9" t="n">
        <f aca="false">Raw_Donors!B14</f>
        <v>11366</v>
      </c>
      <c r="D14" s="9" t="n">
        <f aca="false">Raw_Donors!C14</f>
        <v>74</v>
      </c>
      <c r="E14" s="9" t="str">
        <f aca="false">IFERROR(IF(Raw_Donors!D14="","Unknown",Raw_Donors!D14),"Unknown")</f>
        <v>Unknown</v>
      </c>
      <c r="F14" s="9" t="str">
        <f aca="false">IFERROR(IF(Raw_Donors!E14="","Unknown",Raw_Donors!E14),"Unknown")</f>
        <v>Male</v>
      </c>
      <c r="G14" s="9" t="str">
        <f aca="false">PROPER(TRIM(Raw_Donors!F14))</f>
        <v>Individual Donor</v>
      </c>
      <c r="H14" s="9" t="str">
        <f aca="false">IFERROR(IF(Raw_Donors!G14="","N",Raw_Donors!G14),"N")</f>
        <v>N</v>
      </c>
      <c r="I14" s="9" t="str">
        <f aca="false">IF(Raw_Donors!H14="","Not Rated",Raw_Donors!H14)</f>
        <v>Not Rated</v>
      </c>
      <c r="J14" s="9" t="str">
        <f aca="false">IF(TRIM(Raw_Donors!I14)="","Unknown",TRIM(Raw_Donors!I14))</f>
        <v>HOME</v>
      </c>
      <c r="K14" s="9" t="str">
        <f aca="false">Raw_Donors!J14</f>
        <v>N</v>
      </c>
      <c r="L14" s="9" t="n">
        <f aca="false">Raw_Donors!K14</f>
        <v>0</v>
      </c>
      <c r="M14" s="10" t="n">
        <f aca="false">IFERROR(VALUE(SUBSTITUTE(SUBSTITUTE(Raw_Donors!L14,"$",""),",","")),0)</f>
        <v>0</v>
      </c>
      <c r="N14" s="10" t="n">
        <f aca="false">IFERROR(VALUE(SUBSTITUTE(SUBSTITUTE(Raw_Donors!M14,"$",""),",","")),0)</f>
        <v>0</v>
      </c>
      <c r="O14" s="10" t="n">
        <f aca="false">IFERROR(VALUE(SUBSTITUTE(SUBSTITUTE(Raw_Donors!N14,"$",""),",","")),0)</f>
        <v>0</v>
      </c>
      <c r="P14" s="10" t="n">
        <f aca="false">IFERROR(VALUE(SUBSTITUTE(SUBSTITUTE(Raw_Donors!O14,"$",""),",","")),0)</f>
        <v>0</v>
      </c>
      <c r="Q14" s="10" t="n">
        <f aca="false">IFERROR(VALUE(SUBSTITUTE(SUBSTITUTE(Raw_Donors!P14,"$",""),",","")),0)</f>
        <v>1</v>
      </c>
      <c r="R14" s="10" t="n">
        <f aca="false">Raw_Donors!Q14</f>
        <v>81</v>
      </c>
      <c r="S14" s="9" t="str">
        <f aca="false">Raw_Donors!R14</f>
        <v>Y</v>
      </c>
      <c r="T14" s="9" t="str">
        <f aca="false">IF(Raw_Donors!S14="","",Raw_Donors!S14)</f>
        <v>1943-05-23</v>
      </c>
      <c r="U14" s="9" t="str">
        <f aca="false">IF(AND((O14+P14)&gt;0,Q14=0),"Lapsed - Follow Up","")</f>
        <v/>
      </c>
      <c r="V14" s="9" t="n">
        <f aca="false">RANK(R14,$R$2:$R$759)+COUNTIF($R$2:R14,R14)-1</f>
        <v>323</v>
      </c>
      <c r="W14" s="9" t="str">
        <f aca="false">IF(U14="Lapsed - Follow Up",COUNTIF($U$2:U14,"Lapsed - Follow Up"),"")</f>
        <v/>
      </c>
    </row>
    <row r="15" customFormat="false" ht="15" hidden="false" customHeight="true" outlineLevel="0" collapsed="false">
      <c r="A15" s="9" t="str">
        <f aca="false">Raw_Donors!A15</f>
        <v>D1013</v>
      </c>
      <c r="B15" s="9" t="str">
        <f aca="false">IF(ISNUMBER(SEARCH("-DUP",A15)),"Duplicate ID","")</f>
        <v/>
      </c>
      <c r="C15" s="9" t="n">
        <f aca="false">Raw_Donors!B15</f>
        <v>1106</v>
      </c>
      <c r="D15" s="9" t="n">
        <f aca="false">Raw_Donors!C15</f>
        <v>26</v>
      </c>
      <c r="E15" s="9" t="str">
        <f aca="false">IFERROR(IF(Raw_Donors!D15="","Unknown",Raw_Donors!D15),"Unknown")</f>
        <v>Unknown</v>
      </c>
      <c r="F15" s="9" t="str">
        <f aca="false">IFERROR(IF(Raw_Donors!E15="","Unknown",Raw_Donors!E15),"Unknown")</f>
        <v>Female</v>
      </c>
      <c r="G15" s="9" t="str">
        <f aca="false">PROPER(TRIM(Raw_Donors!F15))</f>
        <v>Individual Donor</v>
      </c>
      <c r="H15" s="9" t="str">
        <f aca="false">IFERROR(IF(Raw_Donors!G15="","N",Raw_Donors!G15),"N")</f>
        <v>N</v>
      </c>
      <c r="I15" s="9" t="str">
        <f aca="false">IF(Raw_Donors!H15="","Not Rated",Raw_Donors!H15)</f>
        <v>Not Rated</v>
      </c>
      <c r="J15" s="9" t="str">
        <f aca="false">IF(TRIM(Raw_Donors!I15)="","Unknown",TRIM(Raw_Donors!I15))</f>
        <v>HOME</v>
      </c>
      <c r="K15" s="9" t="str">
        <f aca="false">Raw_Donors!J15</f>
        <v>N</v>
      </c>
      <c r="L15" s="9" t="n">
        <f aca="false">Raw_Donors!K15</f>
        <v>0</v>
      </c>
      <c r="M15" s="10" t="n">
        <f aca="false">IFERROR(VALUE(SUBSTITUTE(SUBSTITUTE(Raw_Donors!L15,"$",""),",","")),0)</f>
        <v>0</v>
      </c>
      <c r="N15" s="10" t="n">
        <f aca="false">IFERROR(VALUE(SUBSTITUTE(SUBSTITUTE(Raw_Donors!M15,"$",""),",","")),0)</f>
        <v>0</v>
      </c>
      <c r="O15" s="10" t="n">
        <f aca="false">IFERROR(VALUE(SUBSTITUTE(SUBSTITUTE(Raw_Donors!N15,"$",""),",","")),0)</f>
        <v>0</v>
      </c>
      <c r="P15" s="10" t="n">
        <f aca="false">IFERROR(VALUE(SUBSTITUTE(SUBSTITUTE(Raw_Donors!O15,"$",""),",","")),0)</f>
        <v>0</v>
      </c>
      <c r="Q15" s="10" t="n">
        <f aca="false">IFERROR(VALUE(SUBSTITUTE(SUBSTITUTE(Raw_Donors!P15,"$",""),",","")),0)</f>
        <v>0</v>
      </c>
      <c r="R15" s="10" t="n">
        <f aca="false">Raw_Donors!Q15</f>
        <v>40</v>
      </c>
      <c r="S15" s="9" t="str">
        <f aca="false">Raw_Donors!R15</f>
        <v>Y</v>
      </c>
      <c r="T15" s="9" t="str">
        <f aca="false">IF(Raw_Donors!S15="","",Raw_Donors!S15)</f>
        <v>1991-12-13</v>
      </c>
      <c r="U15" s="9" t="str">
        <f aca="false">IF(AND((O15+P15)&gt;0,Q15=0),"Lapsed - Follow Up","")</f>
        <v/>
      </c>
      <c r="V15" s="9" t="n">
        <f aca="false">RANK(R15,$R$2:$R$759)+COUNTIF($R$2:R15,R15)-1</f>
        <v>391</v>
      </c>
      <c r="W15" s="9" t="str">
        <f aca="false">IF(U15="Lapsed - Follow Up",COUNTIF($U$2:U15,"Lapsed - Follow Up"),"")</f>
        <v/>
      </c>
    </row>
    <row r="16" customFormat="false" ht="15" hidden="false" customHeight="true" outlineLevel="0" collapsed="false">
      <c r="A16" s="9" t="str">
        <f aca="false">Raw_Donors!A16</f>
        <v>D1014</v>
      </c>
      <c r="B16" s="9" t="str">
        <f aca="false">IF(ISNUMBER(SEARCH("-DUP",A16)),"Duplicate ID","")</f>
        <v/>
      </c>
      <c r="C16" s="9" t="n">
        <f aca="false">Raw_Donors!B16</f>
        <v>7720</v>
      </c>
      <c r="D16" s="9" t="n">
        <f aca="false">Raw_Donors!C16</f>
        <v>50</v>
      </c>
      <c r="E16" s="9" t="str">
        <f aca="false">IFERROR(IF(Raw_Donors!D16="","Unknown",Raw_Donors!D16),"Unknown")</f>
        <v>Unknown</v>
      </c>
      <c r="F16" s="9" t="str">
        <f aca="false">IFERROR(IF(Raw_Donors!E16="","Unknown",Raw_Donors!E16),"Unknown")</f>
        <v>Female</v>
      </c>
      <c r="G16" s="9" t="str">
        <f aca="false">PROPER(TRIM(Raw_Donors!F16))</f>
        <v>Community Partner</v>
      </c>
      <c r="H16" s="9" t="str">
        <f aca="false">IFERROR(IF(Raw_Donors!G16="","N",Raw_Donors!G16),"N")</f>
        <v>Y</v>
      </c>
      <c r="I16" s="9" t="str">
        <f aca="false">IF(Raw_Donors!H16="","Not Rated",Raw_Donors!H16)</f>
        <v>Not Rated</v>
      </c>
      <c r="J16" s="9" t="str">
        <f aca="false">IF(TRIM(Raw_Donors!I16)="","Unknown",TRIM(Raw_Donors!I16))</f>
        <v>HOME</v>
      </c>
      <c r="K16" s="9" t="str">
        <f aca="false">Raw_Donors!J16</f>
        <v>Y</v>
      </c>
      <c r="L16" s="9" t="n">
        <f aca="false">Raw_Donors!K16</f>
        <v>1</v>
      </c>
      <c r="M16" s="10" t="n">
        <f aca="false">IFERROR(VALUE(SUBSTITUTE(SUBSTITUTE(Raw_Donors!L16,"$",""),",","")),0)</f>
        <v>0</v>
      </c>
      <c r="N16" s="10" t="n">
        <f aca="false">IFERROR(VALUE(SUBSTITUTE(SUBSTITUTE(Raw_Donors!M16,"$",""),",","")),0)</f>
        <v>0</v>
      </c>
      <c r="O16" s="10" t="n">
        <f aca="false">IFERROR(VALUE(SUBSTITUTE(SUBSTITUTE(Raw_Donors!N16,"$",""),",","")),0)</f>
        <v>0</v>
      </c>
      <c r="P16" s="10" t="n">
        <f aca="false">IFERROR(VALUE(SUBSTITUTE(SUBSTITUTE(Raw_Donors!O16,"$",""),",","")),0)</f>
        <v>25</v>
      </c>
      <c r="Q16" s="10" t="n">
        <f aca="false">IFERROR(VALUE(SUBSTITUTE(SUBSTITUTE(Raw_Donors!P16,"$",""),",","")),0)</f>
        <v>0</v>
      </c>
      <c r="R16" s="10" t="n">
        <f aca="false">Raw_Donors!Q16</f>
        <v>25</v>
      </c>
      <c r="S16" s="9" t="str">
        <f aca="false">Raw_Donors!R16</f>
        <v>Y</v>
      </c>
      <c r="T16" s="9" t="str">
        <f aca="false">IF(Raw_Donors!S16="","",Raw_Donors!S16)</f>
        <v>1967-09-01</v>
      </c>
      <c r="U16" s="9" t="str">
        <f aca="false">IF(AND((O16+P16)&gt;0,Q16=0),"Lapsed - Follow Up","")</f>
        <v>Lapsed - Follow Up</v>
      </c>
      <c r="V16" s="9" t="n">
        <f aca="false">RANK(R16,$R$2:$R$759)+COUNTIF($R$2:R16,R16)-1</f>
        <v>426</v>
      </c>
      <c r="W16" s="9" t="n">
        <f aca="false">IF(U16="Lapsed - Follow Up",COUNTIF($U$2:U16,"Lapsed - Follow Up"),"")</f>
        <v>1</v>
      </c>
    </row>
    <row r="17" customFormat="false" ht="15" hidden="false" customHeight="true" outlineLevel="0" collapsed="false">
      <c r="A17" s="9" t="str">
        <f aca="false">Raw_Donors!A17</f>
        <v>D1015</v>
      </c>
      <c r="B17" s="9" t="str">
        <f aca="false">IF(ISNUMBER(SEARCH("-DUP",A17)),"Duplicate ID","")</f>
        <v/>
      </c>
      <c r="C17" s="9" t="n">
        <f aca="false">Raw_Donors!B17</f>
        <v>17864</v>
      </c>
      <c r="D17" s="9" t="n">
        <f aca="false">Raw_Donors!C17</f>
        <v>0</v>
      </c>
      <c r="E17" s="9" t="str">
        <f aca="false">IFERROR(IF(Raw_Donors!D17="","Unknown",Raw_Donors!D17),"Unknown")</f>
        <v>Married</v>
      </c>
      <c r="F17" s="9" t="str">
        <f aca="false">IFERROR(IF(Raw_Donors!E17="","Unknown",Raw_Donors!E17),"Unknown")</f>
        <v>Male</v>
      </c>
      <c r="G17" s="9" t="str">
        <f aca="false">PROPER(TRIM(Raw_Donors!F17))</f>
        <v>Individual Donor</v>
      </c>
      <c r="H17" s="9" t="str">
        <f aca="false">IFERROR(IF(Raw_Donors!G17="","N",Raw_Donors!G17),"N")</f>
        <v>N</v>
      </c>
      <c r="I17" s="9" t="str">
        <f aca="false">IF(Raw_Donors!H17="","Not Rated",Raw_Donors!H17)</f>
        <v>Not Rated</v>
      </c>
      <c r="J17" s="9" t="str">
        <f aca="false">IF(TRIM(Raw_Donors!I17)="","Unknown",TRIM(Raw_Donors!I17))</f>
        <v>HOME</v>
      </c>
      <c r="K17" s="9" t="str">
        <f aca="false">Raw_Donors!J17</f>
        <v>Y</v>
      </c>
      <c r="L17" s="9" t="n">
        <f aca="false">Raw_Donors!K17</f>
        <v>0</v>
      </c>
      <c r="M17" s="10" t="n">
        <f aca="false">IFERROR(VALUE(SUBSTITUTE(SUBSTITUTE(Raw_Donors!L17,"$",""),",","")),0)</f>
        <v>0</v>
      </c>
      <c r="N17" s="10" t="n">
        <f aca="false">IFERROR(VALUE(SUBSTITUTE(SUBSTITUTE(Raw_Donors!M17,"$",""),",","")),0)</f>
        <v>0</v>
      </c>
      <c r="O17" s="10" t="n">
        <f aca="false">IFERROR(VALUE(SUBSTITUTE(SUBSTITUTE(Raw_Donors!N17,"$",""),",","")),0)</f>
        <v>0</v>
      </c>
      <c r="P17" s="10" t="n">
        <f aca="false">IFERROR(VALUE(SUBSTITUTE(SUBSTITUTE(Raw_Donors!O17,"$",""),",","")),0)</f>
        <v>0</v>
      </c>
      <c r="Q17" s="10" t="n">
        <f aca="false">IFERROR(VALUE(SUBSTITUTE(SUBSTITUTE(Raw_Donors!P17,"$",""),",","")),0)</f>
        <v>0</v>
      </c>
      <c r="R17" s="10" t="n">
        <f aca="false">Raw_Donors!Q17</f>
        <v>300</v>
      </c>
      <c r="S17" s="9" t="str">
        <f aca="false">Raw_Donors!R17</f>
        <v>Y</v>
      </c>
      <c r="T17" s="9" t="str">
        <f aca="false">IF(Raw_Donors!S17="","",Raw_Donors!S17)</f>
        <v/>
      </c>
      <c r="U17" s="9" t="str">
        <f aca="false">IF(AND((O17+P17)&gt;0,Q17=0),"Lapsed - Follow Up","")</f>
        <v/>
      </c>
      <c r="V17" s="9" t="n">
        <f aca="false">RANK(R17,$R$2:$R$759)+COUNTIF($R$2:R17,R17)-1</f>
        <v>141</v>
      </c>
      <c r="W17" s="9" t="str">
        <f aca="false">IF(U17="Lapsed - Follow Up",COUNTIF($U$2:U17,"Lapsed - Follow Up"),"")</f>
        <v/>
      </c>
    </row>
    <row r="18" customFormat="false" ht="15" hidden="false" customHeight="true" outlineLevel="0" collapsed="false">
      <c r="A18" s="9" t="str">
        <f aca="false">Raw_Donors!A18</f>
        <v>D1016</v>
      </c>
      <c r="B18" s="9" t="str">
        <f aca="false">IF(ISNUMBER(SEARCH("-DUP",A18)),"Duplicate ID","")</f>
        <v/>
      </c>
      <c r="C18" s="9" t="n">
        <f aca="false">Raw_Donors!B18</f>
        <v>96809</v>
      </c>
      <c r="D18" s="9" t="n">
        <f aca="false">Raw_Donors!C18</f>
        <v>26</v>
      </c>
      <c r="E18" s="9" t="str">
        <f aca="false">IFERROR(IF(Raw_Donors!D18="","Unknown",Raw_Donors!D18),"Unknown")</f>
        <v>Unknown</v>
      </c>
      <c r="F18" s="9" t="str">
        <f aca="false">IFERROR(IF(Raw_Donors!E18="","Unknown",Raw_Donors!E18),"Unknown")</f>
        <v>Female</v>
      </c>
      <c r="G18" s="9" t="str">
        <f aca="false">PROPER(TRIM(Raw_Donors!F18))</f>
        <v>Community Partner</v>
      </c>
      <c r="H18" s="9" t="str">
        <f aca="false">IFERROR(IF(Raw_Donors!G18="","N",Raw_Donors!G18),"N")</f>
        <v>Y</v>
      </c>
      <c r="I18" s="9" t="str">
        <f aca="false">IF(Raw_Donors!H18="","Not Rated",Raw_Donors!H18)</f>
        <v>Not Rated</v>
      </c>
      <c r="J18" s="9" t="str">
        <f aca="false">IF(TRIM(Raw_Donors!I18)="","Unknown",TRIM(Raw_Donors!I18))</f>
        <v>HOME</v>
      </c>
      <c r="K18" s="9" t="str">
        <f aca="false">Raw_Donors!J18</f>
        <v>Y</v>
      </c>
      <c r="L18" s="9" t="n">
        <f aca="false">Raw_Donors!K18</f>
        <v>2</v>
      </c>
      <c r="M18" s="10" t="n">
        <f aca="false">IFERROR(VALUE(SUBSTITUTE(SUBSTITUTE(Raw_Donors!L18,"$",""),",","")),0)</f>
        <v>0</v>
      </c>
      <c r="N18" s="10" t="n">
        <f aca="false">IFERROR(VALUE(SUBSTITUTE(SUBSTITUTE(Raw_Donors!M18,"$",""),",","")),0)</f>
        <v>0</v>
      </c>
      <c r="O18" s="10" t="n">
        <f aca="false">IFERROR(VALUE(SUBSTITUTE(SUBSTITUTE(Raw_Donors!N18,"$",""),",","")),0)</f>
        <v>0</v>
      </c>
      <c r="P18" s="10" t="n">
        <f aca="false">IFERROR(VALUE(SUBSTITUTE(SUBSTITUTE(Raw_Donors!O18,"$",""),",","")),0)</f>
        <v>0</v>
      </c>
      <c r="Q18" s="10" t="n">
        <f aca="false">IFERROR(VALUE(SUBSTITUTE(SUBSTITUTE(Raw_Donors!P18,"$",""),",","")),0)</f>
        <v>0</v>
      </c>
      <c r="R18" s="10" t="n">
        <f aca="false">Raw_Donors!Q18</f>
        <v>3000</v>
      </c>
      <c r="S18" s="9" t="str">
        <f aca="false">Raw_Donors!R18</f>
        <v>Y</v>
      </c>
      <c r="T18" s="9" t="str">
        <f aca="false">IF(Raw_Donors!S18="","",Raw_Donors!S18)</f>
        <v>1991-03-19</v>
      </c>
      <c r="U18" s="9" t="str">
        <f aca="false">IF(AND((O18+P18)&gt;0,Q18=0),"Lapsed - Follow Up","")</f>
        <v/>
      </c>
      <c r="V18" s="9" t="n">
        <f aca="false">RANK(R18,$R$2:$R$759)+COUNTIF($R$2:R18,R18)-1</f>
        <v>20</v>
      </c>
      <c r="W18" s="9" t="str">
        <f aca="false">IF(U18="Lapsed - Follow Up",COUNTIF($U$2:U18,"Lapsed - Follow Up"),"")</f>
        <v/>
      </c>
    </row>
    <row r="19" customFormat="false" ht="15" hidden="false" customHeight="true" outlineLevel="0" collapsed="false">
      <c r="A19" s="9" t="str">
        <f aca="false">Raw_Donors!A19</f>
        <v>D1017</v>
      </c>
      <c r="B19" s="9" t="str">
        <f aca="false">IF(ISNUMBER(SEARCH("-DUP",A19)),"Duplicate ID","")</f>
        <v/>
      </c>
      <c r="C19" s="9" t="n">
        <f aca="false">Raw_Donors!B19</f>
        <v>40355</v>
      </c>
      <c r="D19" s="9" t="n">
        <f aca="false">Raw_Donors!C19</f>
        <v>0</v>
      </c>
      <c r="E19" s="9" t="str">
        <f aca="false">IFERROR(IF(Raw_Donors!D19="","Unknown",Raw_Donors!D19),"Unknown")</f>
        <v>Married</v>
      </c>
      <c r="F19" s="9" t="str">
        <f aca="false">IFERROR(IF(Raw_Donors!E19="","Unknown",Raw_Donors!E19),"Unknown")</f>
        <v>Female</v>
      </c>
      <c r="G19" s="9" t="str">
        <f aca="false">PROPER(TRIM(Raw_Donors!F19))</f>
        <v>Individual Donor</v>
      </c>
      <c r="H19" s="9" t="str">
        <f aca="false">IFERROR(IF(Raw_Donors!G19="","N",Raw_Donors!G19),"N")</f>
        <v>Y</v>
      </c>
      <c r="I19" s="9" t="str">
        <f aca="false">IF(Raw_Donors!H19="","Not Rated",Raw_Donors!H19)</f>
        <v>Not Rated</v>
      </c>
      <c r="J19" s="9" t="str">
        <f aca="false">IF(TRIM(Raw_Donors!I19)="","Unknown",TRIM(Raw_Donors!I19))</f>
        <v>HOME</v>
      </c>
      <c r="K19" s="9" t="str">
        <f aca="false">Raw_Donors!J19</f>
        <v>Y</v>
      </c>
      <c r="L19" s="9" t="n">
        <f aca="false">Raw_Donors!K19</f>
        <v>4</v>
      </c>
      <c r="M19" s="10" t="n">
        <f aca="false">IFERROR(VALUE(SUBSTITUTE(SUBSTITUTE(Raw_Donors!L19,"$",""),",","")),0)</f>
        <v>400</v>
      </c>
      <c r="N19" s="10" t="n">
        <f aca="false">IFERROR(VALUE(SUBSTITUTE(SUBSTITUTE(Raw_Donors!M19,"$",""),",","")),0)</f>
        <v>0</v>
      </c>
      <c r="O19" s="10" t="n">
        <f aca="false">IFERROR(VALUE(SUBSTITUTE(SUBSTITUTE(Raw_Donors!N19,"$",""),",","")),0)</f>
        <v>0</v>
      </c>
      <c r="P19" s="10" t="n">
        <f aca="false">IFERROR(VALUE(SUBSTITUTE(SUBSTITUTE(Raw_Donors!O19,"$",""),",","")),0)</f>
        <v>0</v>
      </c>
      <c r="Q19" s="10" t="n">
        <f aca="false">IFERROR(VALUE(SUBSTITUTE(SUBSTITUTE(Raw_Donors!P19,"$",""),",","")),0)</f>
        <v>0</v>
      </c>
      <c r="R19" s="10" t="n">
        <f aca="false">Raw_Donors!Q19</f>
        <v>400</v>
      </c>
      <c r="S19" s="9" t="str">
        <f aca="false">Raw_Donors!R19</f>
        <v>Y</v>
      </c>
      <c r="T19" s="9" t="str">
        <f aca="false">IF(Raw_Donors!S19="","",Raw_Donors!S19)</f>
        <v/>
      </c>
      <c r="U19" s="9" t="str">
        <f aca="false">IF(AND((O19+P19)&gt;0,Q19=0),"Lapsed - Follow Up","")</f>
        <v/>
      </c>
      <c r="V19" s="9" t="n">
        <f aca="false">RANK(R19,$R$2:$R$759)+COUNTIF($R$2:R19,R19)-1</f>
        <v>109</v>
      </c>
      <c r="W19" s="9" t="str">
        <f aca="false">IF(U19="Lapsed - Follow Up",COUNTIF($U$2:U19,"Lapsed - Follow Up"),"")</f>
        <v/>
      </c>
    </row>
    <row r="20" customFormat="false" ht="15" hidden="false" customHeight="true" outlineLevel="0" collapsed="false">
      <c r="A20" s="9" t="str">
        <f aca="false">Raw_Donors!A20</f>
        <v>D1018</v>
      </c>
      <c r="B20" s="9" t="str">
        <f aca="false">IF(ISNUMBER(SEARCH("-DUP",A20)),"Duplicate ID","")</f>
        <v/>
      </c>
      <c r="C20" s="9" t="n">
        <f aca="false">Raw_Donors!B20</f>
        <v>36275</v>
      </c>
      <c r="D20" s="9" t="n">
        <f aca="false">Raw_Donors!C20</f>
        <v>0</v>
      </c>
      <c r="E20" s="9" t="str">
        <f aca="false">IFERROR(IF(Raw_Donors!D20="","Unknown",Raw_Donors!D20),"Unknown")</f>
        <v>Divorced</v>
      </c>
      <c r="F20" s="9" t="str">
        <f aca="false">IFERROR(IF(Raw_Donors!E20="","Unknown",Raw_Donors!E20),"Unknown")</f>
        <v>Male</v>
      </c>
      <c r="G20" s="9" t="str">
        <f aca="false">PROPER(TRIM(Raw_Donors!F20))</f>
        <v>Family Donor</v>
      </c>
      <c r="H20" s="9" t="str">
        <f aca="false">IFERROR(IF(Raw_Donors!G20="","N",Raw_Donors!G20),"N")</f>
        <v>N</v>
      </c>
      <c r="I20" s="9" t="str">
        <f aca="false">IF(Raw_Donors!H20="","Not Rated",Raw_Donors!H20)</f>
        <v>$1-$24,999</v>
      </c>
      <c r="J20" s="9" t="str">
        <f aca="false">IF(TRIM(Raw_Donors!I20)="","Unknown",TRIM(Raw_Donors!I20))</f>
        <v>HOME</v>
      </c>
      <c r="K20" s="9" t="str">
        <f aca="false">Raw_Donors!J20</f>
        <v>Y</v>
      </c>
      <c r="L20" s="9" t="n">
        <f aca="false">Raw_Donors!K20</f>
        <v>0</v>
      </c>
      <c r="M20" s="10" t="n">
        <f aca="false">IFERROR(VALUE(SUBSTITUTE(SUBSTITUTE(Raw_Donors!L20,"$",""),",","")),0)</f>
        <v>0</v>
      </c>
      <c r="N20" s="10" t="n">
        <f aca="false">IFERROR(VALUE(SUBSTITUTE(SUBSTITUTE(Raw_Donors!M20,"$",""),",","")),0)</f>
        <v>0</v>
      </c>
      <c r="O20" s="10" t="n">
        <f aca="false">IFERROR(VALUE(SUBSTITUTE(SUBSTITUTE(Raw_Donors!N20,"$",""),",","")),0)</f>
        <v>0</v>
      </c>
      <c r="P20" s="10" t="n">
        <f aca="false">IFERROR(VALUE(SUBSTITUTE(SUBSTITUTE(Raw_Donors!O20,"$",""),",","")),0)</f>
        <v>0</v>
      </c>
      <c r="Q20" s="10" t="n">
        <f aca="false">IFERROR(VALUE(SUBSTITUTE(SUBSTITUTE(Raw_Donors!P20,"$",""),",","")),0)</f>
        <v>0</v>
      </c>
      <c r="R20" s="10" t="n">
        <f aca="false">Raw_Donors!Q20</f>
        <v>120</v>
      </c>
      <c r="S20" s="9" t="str">
        <f aca="false">Raw_Donors!R20</f>
        <v>Y</v>
      </c>
      <c r="T20" s="9" t="str">
        <f aca="false">IF(Raw_Donors!S20="","",Raw_Donors!S20)</f>
        <v/>
      </c>
      <c r="U20" s="9" t="str">
        <f aca="false">IF(AND((O20+P20)&gt;0,Q20=0),"Lapsed - Follow Up","")</f>
        <v/>
      </c>
      <c r="V20" s="9" t="n">
        <f aca="false">RANK(R20,$R$2:$R$759)+COUNTIF($R$2:R20,R20)-1</f>
        <v>249</v>
      </c>
      <c r="W20" s="9" t="str">
        <f aca="false">IF(U20="Lapsed - Follow Up",COUNTIF($U$2:U20,"Lapsed - Follow Up"),"")</f>
        <v/>
      </c>
    </row>
    <row r="21" customFormat="false" ht="15" hidden="false" customHeight="true" outlineLevel="0" collapsed="false">
      <c r="A21" s="9" t="str">
        <f aca="false">Raw_Donors!A21</f>
        <v>D1019</v>
      </c>
      <c r="B21" s="9" t="str">
        <f aca="false">IF(ISNUMBER(SEARCH("-DUP",A21)),"Duplicate ID","")</f>
        <v/>
      </c>
      <c r="C21" s="9" t="n">
        <f aca="false">Raw_Donors!B21</f>
        <v>90302</v>
      </c>
      <c r="D21" s="9" t="n">
        <f aca="false">Raw_Donors!C21</f>
        <v>0</v>
      </c>
      <c r="E21" s="9" t="str">
        <f aca="false">IFERROR(IF(Raw_Donors!D21="","Unknown",Raw_Donors!D21),"Unknown")</f>
        <v>Single</v>
      </c>
      <c r="F21" s="9" t="str">
        <f aca="false">IFERROR(IF(Raw_Donors!E21="","Unknown",Raw_Donors!E21),"Unknown")</f>
        <v>Male</v>
      </c>
      <c r="G21" s="9" t="str">
        <f aca="false">PROPER(TRIM(Raw_Donors!F21))</f>
        <v>Individual Donor</v>
      </c>
      <c r="H21" s="9" t="str">
        <f aca="false">IFERROR(IF(Raw_Donors!G21="","N",Raw_Donors!G21),"N")</f>
        <v>N</v>
      </c>
      <c r="I21" s="9" t="str">
        <f aca="false">IF(Raw_Donors!H21="","Not Rated",Raw_Donors!H21)</f>
        <v>Not Rated</v>
      </c>
      <c r="J21" s="9" t="str">
        <f aca="false">IF(TRIM(Raw_Donors!I21)="","Unknown",TRIM(Raw_Donors!I21))</f>
        <v>Unknown</v>
      </c>
      <c r="K21" s="9" t="str">
        <f aca="false">Raw_Donors!J21</f>
        <v>Y</v>
      </c>
      <c r="L21" s="9" t="n">
        <f aca="false">Raw_Donors!K21</f>
        <v>0</v>
      </c>
      <c r="M21" s="10" t="n">
        <f aca="false">IFERROR(VALUE(SUBSTITUTE(SUBSTITUTE(Raw_Donors!L21,"$",""),",","")),0)</f>
        <v>0</v>
      </c>
      <c r="N21" s="10" t="n">
        <f aca="false">IFERROR(VALUE(SUBSTITUTE(SUBSTITUTE(Raw_Donors!M21,"$",""),",","")),0)</f>
        <v>0</v>
      </c>
      <c r="O21" s="10" t="n">
        <f aca="false">IFERROR(VALUE(SUBSTITUTE(SUBSTITUTE(Raw_Donors!N21,"$",""),",","")),0)</f>
        <v>0</v>
      </c>
      <c r="P21" s="10" t="n">
        <f aca="false">IFERROR(VALUE(SUBSTITUTE(SUBSTITUTE(Raw_Donors!O21,"$",""),",","")),0)</f>
        <v>0</v>
      </c>
      <c r="Q21" s="10" t="n">
        <f aca="false">IFERROR(VALUE(SUBSTITUTE(SUBSTITUTE(Raw_Donors!P21,"$",""),",","")),0)</f>
        <v>0</v>
      </c>
      <c r="R21" s="10" t="n">
        <f aca="false">Raw_Donors!Q21</f>
        <v>0</v>
      </c>
      <c r="S21" s="9" t="str">
        <f aca="false">Raw_Donors!R21</f>
        <v>N</v>
      </c>
      <c r="T21" s="9" t="str">
        <f aca="false">IF(Raw_Donors!S21="","",Raw_Donors!S21)</f>
        <v/>
      </c>
      <c r="U21" s="9" t="str">
        <f aca="false">IF(AND((O21+P21)&gt;0,Q21=0),"Lapsed - Follow Up","")</f>
        <v/>
      </c>
      <c r="V21" s="9" t="n">
        <f aca="false">RANK(R21,$R$2:$R$759)+COUNTIF($R$2:R21,R21)-1</f>
        <v>563</v>
      </c>
      <c r="W21" s="9" t="str">
        <f aca="false">IF(U21="Lapsed - Follow Up",COUNTIF($U$2:U21,"Lapsed - Follow Up"),"")</f>
        <v/>
      </c>
    </row>
    <row r="22" customFormat="false" ht="15" hidden="false" customHeight="true" outlineLevel="0" collapsed="false">
      <c r="A22" s="9" t="str">
        <f aca="false">Raw_Donors!A22</f>
        <v>D1020</v>
      </c>
      <c r="B22" s="9" t="str">
        <f aca="false">IF(ISNUMBER(SEARCH("-DUP",A22)),"Duplicate ID","")</f>
        <v/>
      </c>
      <c r="C22" s="9" t="n">
        <f aca="false">Raw_Donors!B22</f>
        <v>32420</v>
      </c>
      <c r="D22" s="9" t="n">
        <f aca="false">Raw_Donors!C22</f>
        <v>0</v>
      </c>
      <c r="E22" s="9" t="str">
        <f aca="false">IFERROR(IF(Raw_Donors!D22="","Unknown",Raw_Donors!D22),"Unknown")</f>
        <v>Unknown</v>
      </c>
      <c r="F22" s="9" t="str">
        <f aca="false">IFERROR(IF(Raw_Donors!E22="","Unknown",Raw_Donors!E22),"Unknown")</f>
        <v>Female</v>
      </c>
      <c r="G22" s="9" t="str">
        <f aca="false">PROPER(TRIM(Raw_Donors!F22))</f>
        <v>Community Partner</v>
      </c>
      <c r="H22" s="9" t="str">
        <f aca="false">IFERROR(IF(Raw_Donors!G22="","N",Raw_Donors!G22),"N")</f>
        <v>N</v>
      </c>
      <c r="I22" s="9" t="str">
        <f aca="false">IF(Raw_Donors!H22="","Not Rated",Raw_Donors!H22)</f>
        <v>Not Rated</v>
      </c>
      <c r="J22" s="9" t="str">
        <f aca="false">IF(TRIM(Raw_Donors!I22)="","Unknown",TRIM(Raw_Donors!I22))</f>
        <v>HOME</v>
      </c>
      <c r="K22" s="9" t="str">
        <f aca="false">Raw_Donors!J22</f>
        <v>Y</v>
      </c>
      <c r="L22" s="9" t="n">
        <f aca="false">Raw_Donors!K22</f>
        <v>0</v>
      </c>
      <c r="M22" s="10" t="n">
        <f aca="false">IFERROR(VALUE(SUBSTITUTE(SUBSTITUTE(Raw_Donors!L22,"$",""),",","")),0)</f>
        <v>0</v>
      </c>
      <c r="N22" s="10" t="n">
        <f aca="false">IFERROR(VALUE(SUBSTITUTE(SUBSTITUTE(Raw_Donors!M22,"$",""),",","")),0)</f>
        <v>0</v>
      </c>
      <c r="O22" s="10" t="n">
        <f aca="false">IFERROR(VALUE(SUBSTITUTE(SUBSTITUTE(Raw_Donors!N22,"$",""),",","")),0)</f>
        <v>0</v>
      </c>
      <c r="P22" s="10" t="n">
        <f aca="false">IFERROR(VALUE(SUBSTITUTE(SUBSTITUTE(Raw_Donors!O22,"$",""),",","")),0)</f>
        <v>0</v>
      </c>
      <c r="Q22" s="10" t="n">
        <f aca="false">IFERROR(VALUE(SUBSTITUTE(SUBSTITUTE(Raw_Donors!P22,"$",""),",","")),0)</f>
        <v>0</v>
      </c>
      <c r="R22" s="10" t="n">
        <f aca="false">Raw_Donors!Q22</f>
        <v>0</v>
      </c>
      <c r="S22" s="9" t="str">
        <f aca="false">Raw_Donors!R22</f>
        <v>N</v>
      </c>
      <c r="T22" s="9" t="str">
        <f aca="false">IF(Raw_Donors!S22="","",Raw_Donors!S22)</f>
        <v/>
      </c>
      <c r="U22" s="9" t="str">
        <f aca="false">IF(AND((O22+P22)&gt;0,Q22=0),"Lapsed - Follow Up","")</f>
        <v/>
      </c>
      <c r="V22" s="9" t="n">
        <f aca="false">RANK(R22,$R$2:$R$759)+COUNTIF($R$2:R22,R22)-1</f>
        <v>564</v>
      </c>
      <c r="W22" s="9" t="str">
        <f aca="false">IF(U22="Lapsed - Follow Up",COUNTIF($U$2:U22,"Lapsed - Follow Up"),"")</f>
        <v/>
      </c>
    </row>
    <row r="23" customFormat="false" ht="15" hidden="false" customHeight="true" outlineLevel="0" collapsed="false">
      <c r="A23" s="9" t="str">
        <f aca="false">Raw_Donors!A23</f>
        <v>D1021</v>
      </c>
      <c r="B23" s="9" t="str">
        <f aca="false">IF(ISNUMBER(SEARCH("-DUP",A23)),"Duplicate ID","")</f>
        <v/>
      </c>
      <c r="C23" s="9" t="n">
        <f aca="false">Raw_Donors!B23</f>
        <v>90265</v>
      </c>
      <c r="D23" s="9" t="n">
        <f aca="false">Raw_Donors!C23</f>
        <v>0</v>
      </c>
      <c r="E23" s="9" t="str">
        <f aca="false">IFERROR(IF(Raw_Donors!D23="","Unknown",Raw_Donors!D23),"Unknown")</f>
        <v>Unknown</v>
      </c>
      <c r="F23" s="9" t="str">
        <f aca="false">IFERROR(IF(Raw_Donors!E23="","Unknown",Raw_Donors!E23),"Unknown")</f>
        <v>Male</v>
      </c>
      <c r="G23" s="9" t="str">
        <f aca="false">PROPER(TRIM(Raw_Donors!F23))</f>
        <v>Individual Donor</v>
      </c>
      <c r="H23" s="9" t="str">
        <f aca="false">IFERROR(IF(Raw_Donors!G23="","N",Raw_Donors!G23),"N")</f>
        <v>N</v>
      </c>
      <c r="I23" s="9" t="str">
        <f aca="false">IF(Raw_Donors!H23="","Not Rated",Raw_Donors!H23)</f>
        <v>Not Rated</v>
      </c>
      <c r="J23" s="9" t="str">
        <f aca="false">IF(TRIM(Raw_Donors!I23)="","Unknown",TRIM(Raw_Donors!I23))</f>
        <v>Unknown</v>
      </c>
      <c r="K23" s="9" t="str">
        <f aca="false">Raw_Donors!J23</f>
        <v>N</v>
      </c>
      <c r="L23" s="9" t="n">
        <f aca="false">Raw_Donors!K23</f>
        <v>1</v>
      </c>
      <c r="M23" s="10" t="n">
        <f aca="false">IFERROR(VALUE(SUBSTITUTE(SUBSTITUTE(Raw_Donors!L23,"$",""),",","")),0)</f>
        <v>0</v>
      </c>
      <c r="N23" s="10" t="n">
        <f aca="false">IFERROR(VALUE(SUBSTITUTE(SUBSTITUTE(Raw_Donors!M23,"$",""),",","")),0)</f>
        <v>0</v>
      </c>
      <c r="O23" s="10" t="n">
        <f aca="false">IFERROR(VALUE(SUBSTITUTE(SUBSTITUTE(Raw_Donors!N23,"$",""),",","")),0)</f>
        <v>136</v>
      </c>
      <c r="P23" s="10" t="n">
        <f aca="false">IFERROR(VALUE(SUBSTITUTE(SUBSTITUTE(Raw_Donors!O23,"$",""),",","")),0)</f>
        <v>200</v>
      </c>
      <c r="Q23" s="10" t="n">
        <f aca="false">IFERROR(VALUE(SUBSTITUTE(SUBSTITUTE(Raw_Donors!P23,"$",""),",","")),0)</f>
        <v>0</v>
      </c>
      <c r="R23" s="10" t="n">
        <f aca="false">Raw_Donors!Q23</f>
        <v>2375</v>
      </c>
      <c r="S23" s="9" t="str">
        <f aca="false">Raw_Donors!R23</f>
        <v>Y</v>
      </c>
      <c r="T23" s="9" t="str">
        <f aca="false">IF(Raw_Donors!S23="","",Raw_Donors!S23)</f>
        <v/>
      </c>
      <c r="U23" s="9" t="str">
        <f aca="false">IF(AND((O23+P23)&gt;0,Q23=0),"Lapsed - Follow Up","")</f>
        <v>Lapsed - Follow Up</v>
      </c>
      <c r="V23" s="9" t="n">
        <f aca="false">RANK(R23,$R$2:$R$759)+COUNTIF($R$2:R23,R23)-1</f>
        <v>25</v>
      </c>
      <c r="W23" s="9" t="n">
        <f aca="false">IF(U23="Lapsed - Follow Up",COUNTIF($U$2:U23,"Lapsed - Follow Up"),"")</f>
        <v>2</v>
      </c>
    </row>
    <row r="24" customFormat="false" ht="15" hidden="false" customHeight="true" outlineLevel="0" collapsed="false">
      <c r="A24" s="9" t="str">
        <f aca="false">Raw_Donors!A24</f>
        <v>D1022</v>
      </c>
      <c r="B24" s="9" t="str">
        <f aca="false">IF(ISNUMBER(SEARCH("-DUP",A24)),"Duplicate ID","")</f>
        <v/>
      </c>
      <c r="C24" s="9" t="n">
        <f aca="false">Raw_Donors!B24</f>
        <v>0</v>
      </c>
      <c r="D24" s="9" t="n">
        <f aca="false">Raw_Donors!C24</f>
        <v>0</v>
      </c>
      <c r="E24" s="9" t="str">
        <f aca="false">IFERROR(IF(Raw_Donors!D24="","Unknown",Raw_Donors!D24),"Unknown")</f>
        <v>Unknown</v>
      </c>
      <c r="F24" s="9" t="str">
        <f aca="false">IFERROR(IF(Raw_Donors!E24="","Unknown",Raw_Donors!E24),"Unknown")</f>
        <v>Male</v>
      </c>
      <c r="G24" s="9" t="str">
        <f aca="false">PROPER(TRIM(Raw_Donors!F24))</f>
        <v>Individual Donor</v>
      </c>
      <c r="H24" s="9" t="str">
        <f aca="false">IFERROR(IF(Raw_Donors!G24="","N",Raw_Donors!G24),"N")</f>
        <v>N</v>
      </c>
      <c r="I24" s="9" t="str">
        <f aca="false">IF(Raw_Donors!H24="","Not Rated",Raw_Donors!H24)</f>
        <v>Not Rated</v>
      </c>
      <c r="J24" s="9" t="str">
        <f aca="false">IF(TRIM(Raw_Donors!I24)="","Unknown",TRIM(Raw_Donors!I24))</f>
        <v>Unknown</v>
      </c>
      <c r="K24" s="9" t="str">
        <f aca="false">Raw_Donors!J24</f>
        <v>N</v>
      </c>
      <c r="L24" s="9" t="n">
        <f aca="false">Raw_Donors!K24</f>
        <v>1</v>
      </c>
      <c r="M24" s="10" t="n">
        <f aca="false">IFERROR(VALUE(SUBSTITUTE(SUBSTITUTE(Raw_Donors!L24,"$",""),",","")),0)</f>
        <v>0</v>
      </c>
      <c r="N24" s="10" t="n">
        <f aca="false">IFERROR(VALUE(SUBSTITUTE(SUBSTITUTE(Raw_Donors!M24,"$",""),",","")),0)</f>
        <v>50</v>
      </c>
      <c r="O24" s="10" t="n">
        <f aca="false">IFERROR(VALUE(SUBSTITUTE(SUBSTITUTE(Raw_Donors!N24,"$",""),",","")),0)</f>
        <v>1</v>
      </c>
      <c r="P24" s="10" t="n">
        <f aca="false">IFERROR(VALUE(SUBSTITUTE(SUBSTITUTE(Raw_Donors!O24,"$",""),",","")),0)</f>
        <v>251</v>
      </c>
      <c r="Q24" s="10" t="n">
        <f aca="false">IFERROR(VALUE(SUBSTITUTE(SUBSTITUTE(Raw_Donors!P24,"$",""),",","")),0)</f>
        <v>0</v>
      </c>
      <c r="R24" s="10" t="n">
        <f aca="false">Raw_Donors!Q24</f>
        <v>870</v>
      </c>
      <c r="S24" s="9" t="str">
        <f aca="false">Raw_Donors!R24</f>
        <v>Y</v>
      </c>
      <c r="T24" s="9" t="str">
        <f aca="false">IF(Raw_Donors!S24="","",Raw_Donors!S24)</f>
        <v/>
      </c>
      <c r="U24" s="9" t="str">
        <f aca="false">IF(AND((O24+P24)&gt;0,Q24=0),"Lapsed - Follow Up","")</f>
        <v>Lapsed - Follow Up</v>
      </c>
      <c r="V24" s="9" t="n">
        <f aca="false">RANK(R24,$R$2:$R$759)+COUNTIF($R$2:R24,R24)-1</f>
        <v>64</v>
      </c>
      <c r="W24" s="9" t="n">
        <f aca="false">IF(U24="Lapsed - Follow Up",COUNTIF($U$2:U24,"Lapsed - Follow Up"),"")</f>
        <v>3</v>
      </c>
    </row>
    <row r="25" customFormat="false" ht="15" hidden="false" customHeight="true" outlineLevel="0" collapsed="false">
      <c r="A25" s="9" t="str">
        <f aca="false">Raw_Donors!A25</f>
        <v>D1023</v>
      </c>
      <c r="B25" s="9" t="str">
        <f aca="false">IF(ISNUMBER(SEARCH("-DUP",A25)),"Duplicate ID","")</f>
        <v/>
      </c>
      <c r="C25" s="9" t="n">
        <f aca="false">Raw_Donors!B25</f>
        <v>47987</v>
      </c>
      <c r="D25" s="9" t="n">
        <f aca="false">Raw_Donors!C25</f>
        <v>0</v>
      </c>
      <c r="E25" s="9" t="str">
        <f aca="false">IFERROR(IF(Raw_Donors!D25="","Unknown",Raw_Donors!D25),"Unknown")</f>
        <v>Unknown</v>
      </c>
      <c r="F25" s="9" t="str">
        <f aca="false">IFERROR(IF(Raw_Donors!E25="","Unknown",Raw_Donors!E25),"Unknown")</f>
        <v>Male</v>
      </c>
      <c r="G25" s="9" t="str">
        <f aca="false">PROPER(TRIM(Raw_Donors!F25))</f>
        <v>Individual Donor</v>
      </c>
      <c r="H25" s="9" t="str">
        <f aca="false">IFERROR(IF(Raw_Donors!G25="","N",Raw_Donors!G25),"N")</f>
        <v>N</v>
      </c>
      <c r="I25" s="9" t="str">
        <f aca="false">IF(Raw_Donors!H25="","Not Rated",Raw_Donors!H25)</f>
        <v>Not Rated</v>
      </c>
      <c r="J25" s="9" t="str">
        <f aca="false">IF(TRIM(Raw_Donors!I25)="","Unknown",TRIM(Raw_Donors!I25))</f>
        <v>HOME</v>
      </c>
      <c r="K25" s="9" t="str">
        <f aca="false">Raw_Donors!J25</f>
        <v>Y</v>
      </c>
      <c r="L25" s="9" t="n">
        <f aca="false">Raw_Donors!K25</f>
        <v>1</v>
      </c>
      <c r="M25" s="10" t="n">
        <f aca="false">IFERROR(VALUE(SUBSTITUTE(SUBSTITUTE(Raw_Donors!L25,"$",""),",","")),0)</f>
        <v>0</v>
      </c>
      <c r="N25" s="10" t="n">
        <f aca="false">IFERROR(VALUE(SUBSTITUTE(SUBSTITUTE(Raw_Donors!M25,"$",""),",","")),0)</f>
        <v>0</v>
      </c>
      <c r="O25" s="10" t="n">
        <f aca="false">IFERROR(VALUE(SUBSTITUTE(SUBSTITUTE(Raw_Donors!N25,"$",""),",","")),0)</f>
        <v>1</v>
      </c>
      <c r="P25" s="10" t="n">
        <f aca="false">IFERROR(VALUE(SUBSTITUTE(SUBSTITUTE(Raw_Donors!O25,"$",""),",","")),0)</f>
        <v>0</v>
      </c>
      <c r="Q25" s="10" t="n">
        <f aca="false">IFERROR(VALUE(SUBSTITUTE(SUBSTITUTE(Raw_Donors!P25,"$",""),",","")),0)</f>
        <v>0</v>
      </c>
      <c r="R25" s="10" t="n">
        <f aca="false">Raw_Donors!Q25</f>
        <v>1</v>
      </c>
      <c r="S25" s="9" t="str">
        <f aca="false">Raw_Donors!R25</f>
        <v>Y</v>
      </c>
      <c r="T25" s="9" t="str">
        <f aca="false">IF(Raw_Donors!S25="","",Raw_Donors!S25)</f>
        <v/>
      </c>
      <c r="U25" s="9" t="str">
        <f aca="false">IF(AND((O25+P25)&gt;0,Q25=0),"Lapsed - Follow Up","")</f>
        <v>Lapsed - Follow Up</v>
      </c>
      <c r="V25" s="9" t="n">
        <f aca="false">RANK(R25,$R$2:$R$759)+COUNTIF($R$2:R25,R25)-1</f>
        <v>526</v>
      </c>
      <c r="W25" s="9" t="n">
        <f aca="false">IF(U25="Lapsed - Follow Up",COUNTIF($U$2:U25,"Lapsed - Follow Up"),"")</f>
        <v>4</v>
      </c>
    </row>
    <row r="26" customFormat="false" ht="15" hidden="false" customHeight="true" outlineLevel="0" collapsed="false">
      <c r="A26" s="9" t="str">
        <f aca="false">Raw_Donors!A26</f>
        <v>D1024</v>
      </c>
      <c r="B26" s="9" t="str">
        <f aca="false">IF(ISNUMBER(SEARCH("-DUP",A26)),"Duplicate ID","")</f>
        <v/>
      </c>
      <c r="C26" s="9" t="n">
        <f aca="false">Raw_Donors!B26</f>
        <v>28472</v>
      </c>
      <c r="D26" s="9" t="n">
        <f aca="false">Raw_Donors!C26</f>
        <v>63</v>
      </c>
      <c r="E26" s="9" t="str">
        <f aca="false">IFERROR(IF(Raw_Donors!D26="","Unknown",Raw_Donors!D26),"Unknown")</f>
        <v>Married</v>
      </c>
      <c r="F26" s="9" t="str">
        <f aca="false">IFERROR(IF(Raw_Donors!E26="","Unknown",Raw_Donors!E26),"Unknown")</f>
        <v>Male</v>
      </c>
      <c r="G26" s="9" t="str">
        <f aca="false">PROPER(TRIM(Raw_Donors!F26))</f>
        <v>Community Partner</v>
      </c>
      <c r="H26" s="9" t="str">
        <f aca="false">IFERROR(IF(Raw_Donors!G26="","N",Raw_Donors!G26),"N")</f>
        <v>Y</v>
      </c>
      <c r="I26" s="9" t="str">
        <f aca="false">IF(Raw_Donors!H26="","Not Rated",Raw_Donors!H26)</f>
        <v>Not Rated</v>
      </c>
      <c r="J26" s="9" t="str">
        <f aca="false">IF(TRIM(Raw_Donors!I26)="","Unknown",TRIM(Raw_Donors!I26))</f>
        <v>Unknown</v>
      </c>
      <c r="K26" s="9" t="str">
        <f aca="false">Raw_Donors!J26</f>
        <v>Y</v>
      </c>
      <c r="L26" s="9" t="n">
        <f aca="false">Raw_Donors!K26</f>
        <v>1</v>
      </c>
      <c r="M26" s="10" t="n">
        <f aca="false">IFERROR(VALUE(SUBSTITUTE(SUBSTITUTE(Raw_Donors!L26,"$",""),",","")),0)</f>
        <v>0</v>
      </c>
      <c r="N26" s="10" t="n">
        <f aca="false">IFERROR(VALUE(SUBSTITUTE(SUBSTITUTE(Raw_Donors!M26,"$",""),",","")),0)</f>
        <v>0</v>
      </c>
      <c r="O26" s="10" t="n">
        <f aca="false">IFERROR(VALUE(SUBSTITUTE(SUBSTITUTE(Raw_Donors!N26,"$",""),",","")),0)</f>
        <v>0</v>
      </c>
      <c r="P26" s="10" t="n">
        <f aca="false">IFERROR(VALUE(SUBSTITUTE(SUBSTITUTE(Raw_Donors!O26,"$",""),",","")),0)</f>
        <v>0</v>
      </c>
      <c r="Q26" s="10" t="n">
        <f aca="false">IFERROR(VALUE(SUBSTITUTE(SUBSTITUTE(Raw_Donors!P26,"$",""),",","")),0)</f>
        <v>0</v>
      </c>
      <c r="R26" s="10" t="n">
        <f aca="false">Raw_Donors!Q26</f>
        <v>0</v>
      </c>
      <c r="S26" s="9" t="str">
        <f aca="false">Raw_Donors!R26</f>
        <v>N</v>
      </c>
      <c r="T26" s="9" t="str">
        <f aca="false">IF(Raw_Donors!S26="","",Raw_Donors!S26)</f>
        <v>1954-01-11</v>
      </c>
      <c r="U26" s="9" t="str">
        <f aca="false">IF(AND((O26+P26)&gt;0,Q26=0),"Lapsed - Follow Up","")</f>
        <v/>
      </c>
      <c r="V26" s="9" t="n">
        <f aca="false">RANK(R26,$R$2:$R$759)+COUNTIF($R$2:R26,R26)-1</f>
        <v>565</v>
      </c>
      <c r="W26" s="9" t="str">
        <f aca="false">IF(U26="Lapsed - Follow Up",COUNTIF($U$2:U26,"Lapsed - Follow Up"),"")</f>
        <v/>
      </c>
    </row>
    <row r="27" customFormat="false" ht="15" hidden="false" customHeight="true" outlineLevel="0" collapsed="false">
      <c r="A27" s="9" t="str">
        <f aca="false">Raw_Donors!A27</f>
        <v>D1025</v>
      </c>
      <c r="B27" s="9" t="str">
        <f aca="false">IF(ISNUMBER(SEARCH("-DUP",A27)),"Duplicate ID","")</f>
        <v/>
      </c>
      <c r="C27" s="9" t="n">
        <f aca="false">Raw_Donors!B27</f>
        <v>6411</v>
      </c>
      <c r="D27" s="9" t="n">
        <f aca="false">Raw_Donors!C27</f>
        <v>51</v>
      </c>
      <c r="E27" s="9" t="str">
        <f aca="false">IFERROR(IF(Raw_Donors!D27="","Unknown",Raw_Donors!D27),"Unknown")</f>
        <v>Unknown</v>
      </c>
      <c r="F27" s="9" t="str">
        <f aca="false">IFERROR(IF(Raw_Donors!E27="","Unknown",Raw_Donors!E27),"Unknown")</f>
        <v>Male</v>
      </c>
      <c r="G27" s="9" t="str">
        <f aca="false">PROPER(TRIM(Raw_Donors!F27))</f>
        <v>Community Partner</v>
      </c>
      <c r="H27" s="9" t="str">
        <f aca="false">IFERROR(IF(Raw_Donors!G27="","N",Raw_Donors!G27),"N")</f>
        <v>N</v>
      </c>
      <c r="I27" s="9" t="str">
        <f aca="false">IF(Raw_Donors!H27="","Not Rated",Raw_Donors!H27)</f>
        <v>Not Rated</v>
      </c>
      <c r="J27" s="9" t="str">
        <f aca="false">IF(TRIM(Raw_Donors!I27)="","Unknown",TRIM(Raw_Donors!I27))</f>
        <v>Unknown</v>
      </c>
      <c r="K27" s="9" t="str">
        <f aca="false">Raw_Donors!J27</f>
        <v>N</v>
      </c>
      <c r="L27" s="9" t="n">
        <f aca="false">Raw_Donors!K27</f>
        <v>0</v>
      </c>
      <c r="M27" s="10" t="n">
        <f aca="false">IFERROR(VALUE(SUBSTITUTE(SUBSTITUTE(Raw_Donors!L27,"$",""),",","")),0)</f>
        <v>0</v>
      </c>
      <c r="N27" s="10" t="n">
        <f aca="false">IFERROR(VALUE(SUBSTITUTE(SUBSTITUTE(Raw_Donors!M27,"$",""),",","")),0)</f>
        <v>0</v>
      </c>
      <c r="O27" s="10" t="n">
        <f aca="false">IFERROR(VALUE(SUBSTITUTE(SUBSTITUTE(Raw_Donors!N27,"$",""),",","")),0)</f>
        <v>0</v>
      </c>
      <c r="P27" s="10" t="n">
        <f aca="false">IFERROR(VALUE(SUBSTITUTE(SUBSTITUTE(Raw_Donors!O27,"$",""),",","")),0)</f>
        <v>0</v>
      </c>
      <c r="Q27" s="10" t="n">
        <f aca="false">IFERROR(VALUE(SUBSTITUTE(SUBSTITUTE(Raw_Donors!P27,"$",""),",","")),0)</f>
        <v>0</v>
      </c>
      <c r="R27" s="10" t="n">
        <f aca="false">Raw_Donors!Q27</f>
        <v>169</v>
      </c>
      <c r="S27" s="9" t="str">
        <f aca="false">Raw_Donors!R27</f>
        <v>Y</v>
      </c>
      <c r="T27" s="9" t="str">
        <f aca="false">IF(Raw_Donors!S27="","",Raw_Donors!S27)</f>
        <v>1966-08-21</v>
      </c>
      <c r="U27" s="9" t="str">
        <f aca="false">IF(AND((O27+P27)&gt;0,Q27=0),"Lapsed - Follow Up","")</f>
        <v/>
      </c>
      <c r="V27" s="9" t="n">
        <f aca="false">RANK(R27,$R$2:$R$759)+COUNTIF($R$2:R27,R27)-1</f>
        <v>222</v>
      </c>
      <c r="W27" s="9" t="str">
        <f aca="false">IF(U27="Lapsed - Follow Up",COUNTIF($U$2:U27,"Lapsed - Follow Up"),"")</f>
        <v/>
      </c>
    </row>
    <row r="28" customFormat="false" ht="15" hidden="false" customHeight="true" outlineLevel="0" collapsed="false">
      <c r="A28" s="9" t="str">
        <f aca="false">Raw_Donors!A28</f>
        <v>D1026</v>
      </c>
      <c r="B28" s="9" t="str">
        <f aca="false">IF(ISNUMBER(SEARCH("-DUP",A28)),"Duplicate ID","")</f>
        <v/>
      </c>
      <c r="C28" s="9" t="n">
        <f aca="false">Raw_Donors!B28</f>
        <v>41540</v>
      </c>
      <c r="D28" s="9" t="n">
        <f aca="false">Raw_Donors!C28</f>
        <v>30</v>
      </c>
      <c r="E28" s="9" t="str">
        <f aca="false">IFERROR(IF(Raw_Donors!D28="","Unknown",Raw_Donors!D28),"Unknown")</f>
        <v>Unknown</v>
      </c>
      <c r="F28" s="9" t="str">
        <f aca="false">IFERROR(IF(Raw_Donors!E28="","Unknown",Raw_Donors!E28),"Unknown")</f>
        <v>Male</v>
      </c>
      <c r="G28" s="9" t="str">
        <f aca="false">PROPER(TRIM(Raw_Donors!F28))</f>
        <v>Community Partner</v>
      </c>
      <c r="H28" s="9" t="str">
        <f aca="false">IFERROR(IF(Raw_Donors!G28="","N",Raw_Donors!G28),"N")</f>
        <v>Y</v>
      </c>
      <c r="I28" s="9" t="str">
        <f aca="false">IF(Raw_Donors!H28="","Not Rated",Raw_Donors!H28)</f>
        <v>Not Rated</v>
      </c>
      <c r="J28" s="9" t="str">
        <f aca="false">IF(TRIM(Raw_Donors!I28)="","Unknown",TRIM(Raw_Donors!I28))</f>
        <v>HOME</v>
      </c>
      <c r="K28" s="9" t="str">
        <f aca="false">Raw_Donors!J28</f>
        <v>Y</v>
      </c>
      <c r="L28" s="9" t="n">
        <f aca="false">Raw_Donors!K28</f>
        <v>1</v>
      </c>
      <c r="M28" s="10" t="n">
        <f aca="false">IFERROR(VALUE(SUBSTITUTE(SUBSTITUTE(Raw_Donors!L28,"$",""),",","")),0)</f>
        <v>0</v>
      </c>
      <c r="N28" s="10" t="n">
        <f aca="false">IFERROR(VALUE(SUBSTITUTE(SUBSTITUTE(Raw_Donors!M28,"$",""),",","")),0)</f>
        <v>0</v>
      </c>
      <c r="O28" s="10" t="n">
        <f aca="false">IFERROR(VALUE(SUBSTITUTE(SUBSTITUTE(Raw_Donors!N28,"$",""),",","")),0)</f>
        <v>0</v>
      </c>
      <c r="P28" s="10" t="n">
        <f aca="false">IFERROR(VALUE(SUBSTITUTE(SUBSTITUTE(Raw_Donors!O28,"$",""),",","")),0)</f>
        <v>0</v>
      </c>
      <c r="Q28" s="10" t="n">
        <f aca="false">IFERROR(VALUE(SUBSTITUTE(SUBSTITUTE(Raw_Donors!P28,"$",""),",","")),0)</f>
        <v>0</v>
      </c>
      <c r="R28" s="10" t="n">
        <f aca="false">Raw_Donors!Q28</f>
        <v>100</v>
      </c>
      <c r="S28" s="9" t="str">
        <f aca="false">Raw_Donors!R28</f>
        <v>Y</v>
      </c>
      <c r="T28" s="9" t="str">
        <f aca="false">IF(Raw_Donors!S28="","",Raw_Donors!S28)</f>
        <v>1987-05-13</v>
      </c>
      <c r="U28" s="9" t="str">
        <f aca="false">IF(AND((O28+P28)&gt;0,Q28=0),"Lapsed - Follow Up","")</f>
        <v/>
      </c>
      <c r="V28" s="9" t="n">
        <f aca="false">RANK(R28,$R$2:$R$759)+COUNTIF($R$2:R28,R28)-1</f>
        <v>272</v>
      </c>
      <c r="W28" s="9" t="str">
        <f aca="false">IF(U28="Lapsed - Follow Up",COUNTIF($U$2:U28,"Lapsed - Follow Up"),"")</f>
        <v/>
      </c>
    </row>
    <row r="29" customFormat="false" ht="15" hidden="false" customHeight="true" outlineLevel="0" collapsed="false">
      <c r="A29" s="9" t="str">
        <f aca="false">Raw_Donors!A29</f>
        <v>D1027</v>
      </c>
      <c r="B29" s="9" t="str">
        <f aca="false">IF(ISNUMBER(SEARCH("-DUP",A29)),"Duplicate ID","")</f>
        <v/>
      </c>
      <c r="C29" s="9" t="n">
        <f aca="false">Raw_Donors!B29</f>
        <v>36353</v>
      </c>
      <c r="D29" s="9" t="n">
        <f aca="false">Raw_Donors!C29</f>
        <v>0</v>
      </c>
      <c r="E29" s="9" t="str">
        <f aca="false">IFERROR(IF(Raw_Donors!D29="","Unknown",Raw_Donors!D29),"Unknown")</f>
        <v>Unknown</v>
      </c>
      <c r="F29" s="9" t="str">
        <f aca="false">IFERROR(IF(Raw_Donors!E29="","Unknown",Raw_Donors!E29),"Unknown")</f>
        <v>Male</v>
      </c>
      <c r="G29" s="9" t="str">
        <f aca="false">PROPER(TRIM(Raw_Donors!F29))</f>
        <v>Individual Donor</v>
      </c>
      <c r="H29" s="9" t="str">
        <f aca="false">IFERROR(IF(Raw_Donors!G29="","N",Raw_Donors!G29),"N")</f>
        <v>N</v>
      </c>
      <c r="I29" s="9" t="str">
        <f aca="false">IF(Raw_Donors!H29="","Not Rated",Raw_Donors!H29)</f>
        <v>Not Rated</v>
      </c>
      <c r="J29" s="9" t="str">
        <f aca="false">IF(TRIM(Raw_Donors!I29)="","Unknown",TRIM(Raw_Donors!I29))</f>
        <v>HOME</v>
      </c>
      <c r="K29" s="9" t="str">
        <f aca="false">Raw_Donors!J29</f>
        <v>Y</v>
      </c>
      <c r="L29" s="9" t="n">
        <f aca="false">Raw_Donors!K29</f>
        <v>1</v>
      </c>
      <c r="M29" s="10" t="n">
        <f aca="false">IFERROR(VALUE(SUBSTITUTE(SUBSTITUTE(Raw_Donors!L29,"$",""),",","")),0)</f>
        <v>0</v>
      </c>
      <c r="N29" s="10" t="n">
        <f aca="false">IFERROR(VALUE(SUBSTITUTE(SUBSTITUTE(Raw_Donors!M29,"$",""),",","")),0)</f>
        <v>410</v>
      </c>
      <c r="O29" s="10" t="n">
        <f aca="false">IFERROR(VALUE(SUBSTITUTE(SUBSTITUTE(Raw_Donors!N29,"$",""),",","")),0)</f>
        <v>300</v>
      </c>
      <c r="P29" s="10" t="n">
        <f aca="false">IFERROR(VALUE(SUBSTITUTE(SUBSTITUTE(Raw_Donors!O29,"$",""),",","")),0)</f>
        <v>0</v>
      </c>
      <c r="Q29" s="10" t="n">
        <f aca="false">IFERROR(VALUE(SUBSTITUTE(SUBSTITUTE(Raw_Donors!P29,"$",""),",","")),0)</f>
        <v>0</v>
      </c>
      <c r="R29" s="10" t="n">
        <f aca="false">Raw_Donors!Q29</f>
        <v>710</v>
      </c>
      <c r="S29" s="9" t="str">
        <f aca="false">Raw_Donors!R29</f>
        <v>Y</v>
      </c>
      <c r="T29" s="9" t="str">
        <f aca="false">IF(Raw_Donors!S29="","",Raw_Donors!S29)</f>
        <v/>
      </c>
      <c r="U29" s="9" t="str">
        <f aca="false">IF(AND((O29+P29)&gt;0,Q29=0),"Lapsed - Follow Up","")</f>
        <v>Lapsed - Follow Up</v>
      </c>
      <c r="V29" s="9" t="n">
        <f aca="false">RANK(R29,$R$2:$R$759)+COUNTIF($R$2:R29,R29)-1</f>
        <v>71</v>
      </c>
      <c r="W29" s="9" t="n">
        <f aca="false">IF(U29="Lapsed - Follow Up",COUNTIF($U$2:U29,"Lapsed - Follow Up"),"")</f>
        <v>5</v>
      </c>
    </row>
    <row r="30" customFormat="false" ht="15" hidden="false" customHeight="true" outlineLevel="0" collapsed="false">
      <c r="A30" s="9" t="str">
        <f aca="false">Raw_Donors!A30</f>
        <v>D1028</v>
      </c>
      <c r="B30" s="9" t="str">
        <f aca="false">IF(ISNUMBER(SEARCH("-DUP",A30)),"Duplicate ID","")</f>
        <v/>
      </c>
      <c r="C30" s="9" t="n">
        <f aca="false">Raw_Donors!B30</f>
        <v>42408</v>
      </c>
      <c r="D30" s="9" t="n">
        <f aca="false">Raw_Donors!C30</f>
        <v>0</v>
      </c>
      <c r="E30" s="9" t="str">
        <f aca="false">IFERROR(IF(Raw_Donors!D30="","Unknown",Raw_Donors!D30),"Unknown")</f>
        <v>Unknown</v>
      </c>
      <c r="F30" s="9" t="str">
        <f aca="false">IFERROR(IF(Raw_Donors!E30="","Unknown",Raw_Donors!E30),"Unknown")</f>
        <v>Female</v>
      </c>
      <c r="G30" s="9" t="str">
        <f aca="false">PROPER(TRIM(Raw_Donors!F30))</f>
        <v>Individual Donor</v>
      </c>
      <c r="H30" s="9" t="str">
        <f aca="false">IFERROR(IF(Raw_Donors!G30="","N",Raw_Donors!G30),"N")</f>
        <v>N</v>
      </c>
      <c r="I30" s="9" t="str">
        <f aca="false">IF(Raw_Donors!H30="","Not Rated",Raw_Donors!H30)</f>
        <v>Not Rated</v>
      </c>
      <c r="J30" s="9" t="str">
        <f aca="false">IF(TRIM(Raw_Donors!I30)="","Unknown",TRIM(Raw_Donors!I30))</f>
        <v>HOME</v>
      </c>
      <c r="K30" s="9" t="str">
        <f aca="false">Raw_Donors!J30</f>
        <v>N</v>
      </c>
      <c r="L30" s="9" t="n">
        <f aca="false">Raw_Donors!K30</f>
        <v>1</v>
      </c>
      <c r="M30" s="10" t="n">
        <f aca="false">IFERROR(VALUE(SUBSTITUTE(SUBSTITUTE(Raw_Donors!L30,"$",""),",","")),0)</f>
        <v>0</v>
      </c>
      <c r="N30" s="10" t="n">
        <f aca="false">IFERROR(VALUE(SUBSTITUTE(SUBSTITUTE(Raw_Donors!M30,"$",""),",","")),0)</f>
        <v>0</v>
      </c>
      <c r="O30" s="10" t="n">
        <f aca="false">IFERROR(VALUE(SUBSTITUTE(SUBSTITUTE(Raw_Donors!N30,"$",""),",","")),0)</f>
        <v>0</v>
      </c>
      <c r="P30" s="10" t="n">
        <f aca="false">IFERROR(VALUE(SUBSTITUTE(SUBSTITUTE(Raw_Donors!O30,"$",""),",","")),0)</f>
        <v>0</v>
      </c>
      <c r="Q30" s="10" t="n">
        <f aca="false">IFERROR(VALUE(SUBSTITUTE(SUBSTITUTE(Raw_Donors!P30,"$",""),",","")),0)</f>
        <v>0</v>
      </c>
      <c r="R30" s="10" t="n">
        <f aca="false">Raw_Donors!Q30</f>
        <v>325</v>
      </c>
      <c r="S30" s="9" t="str">
        <f aca="false">Raw_Donors!R30</f>
        <v>Y</v>
      </c>
      <c r="T30" s="9" t="str">
        <f aca="false">IF(Raw_Donors!S30="","",Raw_Donors!S30)</f>
        <v/>
      </c>
      <c r="U30" s="9" t="str">
        <f aca="false">IF(AND((O30+P30)&gt;0,Q30=0),"Lapsed - Follow Up","")</f>
        <v/>
      </c>
      <c r="V30" s="9" t="n">
        <f aca="false">RANK(R30,$R$2:$R$759)+COUNTIF($R$2:R30,R30)-1</f>
        <v>133</v>
      </c>
      <c r="W30" s="9" t="str">
        <f aca="false">IF(U30="Lapsed - Follow Up",COUNTIF($U$2:U30,"Lapsed - Follow Up"),"")</f>
        <v/>
      </c>
    </row>
    <row r="31" customFormat="false" ht="15" hidden="false" customHeight="true" outlineLevel="0" collapsed="false">
      <c r="A31" s="9" t="str">
        <f aca="false">Raw_Donors!A31</f>
        <v>D1029</v>
      </c>
      <c r="B31" s="9" t="str">
        <f aca="false">IF(ISNUMBER(SEARCH("-DUP",A31)),"Duplicate ID","")</f>
        <v/>
      </c>
      <c r="C31" s="9" t="n">
        <f aca="false">Raw_Donors!B31</f>
        <v>0</v>
      </c>
      <c r="D31" s="9" t="n">
        <f aca="false">Raw_Donors!C31</f>
        <v>43</v>
      </c>
      <c r="E31" s="9" t="str">
        <f aca="false">IFERROR(IF(Raw_Donors!D31="","Unknown",Raw_Donors!D31),"Unknown")</f>
        <v>Unknown</v>
      </c>
      <c r="F31" s="9" t="str">
        <f aca="false">IFERROR(IF(Raw_Donors!E31="","Unknown",Raw_Donors!E31),"Unknown")</f>
        <v>Male</v>
      </c>
      <c r="G31" s="9" t="str">
        <f aca="false">PROPER(TRIM(Raw_Donors!F31))</f>
        <v>Community Partner</v>
      </c>
      <c r="H31" s="9" t="str">
        <f aca="false">IFERROR(IF(Raw_Donors!G31="","N",Raw_Donors!G31),"N")</f>
        <v>Y</v>
      </c>
      <c r="I31" s="9" t="str">
        <f aca="false">IF(Raw_Donors!H31="","Not Rated",Raw_Donors!H31)</f>
        <v>Not Rated</v>
      </c>
      <c r="J31" s="9" t="str">
        <f aca="false">IF(TRIM(Raw_Donors!I31)="","Unknown",TRIM(Raw_Donors!I31))</f>
        <v>HOME</v>
      </c>
      <c r="K31" s="9" t="str">
        <f aca="false">Raw_Donors!J31</f>
        <v>N</v>
      </c>
      <c r="L31" s="9" t="n">
        <f aca="false">Raw_Donors!K31</f>
        <v>1</v>
      </c>
      <c r="M31" s="10" t="n">
        <f aca="false">IFERROR(VALUE(SUBSTITUTE(SUBSTITUTE(Raw_Donors!L31,"$",""),",","")),0)</f>
        <v>0</v>
      </c>
      <c r="N31" s="10" t="n">
        <f aca="false">IFERROR(VALUE(SUBSTITUTE(SUBSTITUTE(Raw_Donors!M31,"$",""),",","")),0)</f>
        <v>0</v>
      </c>
      <c r="O31" s="10" t="n">
        <f aca="false">IFERROR(VALUE(SUBSTITUTE(SUBSTITUTE(Raw_Donors!N31,"$",""),",","")),0)</f>
        <v>0</v>
      </c>
      <c r="P31" s="10" t="n">
        <f aca="false">IFERROR(VALUE(SUBSTITUTE(SUBSTITUTE(Raw_Donors!O31,"$",""),",","")),0)</f>
        <v>0</v>
      </c>
      <c r="Q31" s="10" t="n">
        <f aca="false">IFERROR(VALUE(SUBSTITUTE(SUBSTITUTE(Raw_Donors!P31,"$",""),",","")),0)</f>
        <v>0</v>
      </c>
      <c r="R31" s="10" t="n">
        <f aca="false">Raw_Donors!Q31</f>
        <v>0</v>
      </c>
      <c r="S31" s="9" t="str">
        <f aca="false">Raw_Donors!R31</f>
        <v>N</v>
      </c>
      <c r="T31" s="9" t="str">
        <f aca="false">IF(Raw_Donors!S31="","",Raw_Donors!S31)</f>
        <v>1974-08-08</v>
      </c>
      <c r="U31" s="9" t="str">
        <f aca="false">IF(AND((O31+P31)&gt;0,Q31=0),"Lapsed - Follow Up","")</f>
        <v/>
      </c>
      <c r="V31" s="9" t="n">
        <f aca="false">RANK(R31,$R$2:$R$759)+COUNTIF($R$2:R31,R31)-1</f>
        <v>566</v>
      </c>
      <c r="W31" s="9" t="str">
        <f aca="false">IF(U31="Lapsed - Follow Up",COUNTIF($U$2:U31,"Lapsed - Follow Up"),"")</f>
        <v/>
      </c>
    </row>
    <row r="32" customFormat="false" ht="15" hidden="false" customHeight="true" outlineLevel="0" collapsed="false">
      <c r="A32" s="9" t="str">
        <f aca="false">Raw_Donors!A32</f>
        <v>D1030</v>
      </c>
      <c r="B32" s="9" t="str">
        <f aca="false">IF(ISNUMBER(SEARCH("-DUP",A32)),"Duplicate ID","")</f>
        <v/>
      </c>
      <c r="C32" s="9" t="n">
        <f aca="false">Raw_Donors!B32</f>
        <v>90265</v>
      </c>
      <c r="D32" s="9" t="n">
        <f aca="false">Raw_Donors!C32</f>
        <v>0</v>
      </c>
      <c r="E32" s="9" t="str">
        <f aca="false">IFERROR(IF(Raw_Donors!D32="","Unknown",Raw_Donors!D32),"Unknown")</f>
        <v>Unknown</v>
      </c>
      <c r="F32" s="9" t="str">
        <f aca="false">IFERROR(IF(Raw_Donors!E32="","Unknown",Raw_Donors!E32),"Unknown")</f>
        <v>Male</v>
      </c>
      <c r="G32" s="9" t="str">
        <f aca="false">PROPER(TRIM(Raw_Donors!F32))</f>
        <v>Individual Donor</v>
      </c>
      <c r="H32" s="9" t="str">
        <f aca="false">IFERROR(IF(Raw_Donors!G32="","N",Raw_Donors!G32),"N")</f>
        <v>N</v>
      </c>
      <c r="I32" s="9" t="str">
        <f aca="false">IF(Raw_Donors!H32="","Not Rated",Raw_Donors!H32)</f>
        <v>Not Rated</v>
      </c>
      <c r="J32" s="9" t="str">
        <f aca="false">IF(TRIM(Raw_Donors!I32)="","Unknown",TRIM(Raw_Donors!I32))</f>
        <v>HOME</v>
      </c>
      <c r="K32" s="9" t="str">
        <f aca="false">Raw_Donors!J32</f>
        <v>N</v>
      </c>
      <c r="L32" s="9" t="n">
        <f aca="false">Raw_Donors!K32</f>
        <v>1</v>
      </c>
      <c r="M32" s="10" t="n">
        <f aca="false">IFERROR(VALUE(SUBSTITUTE(SUBSTITUTE(Raw_Donors!L32,"$",""),",","")),0)</f>
        <v>0</v>
      </c>
      <c r="N32" s="10" t="n">
        <f aca="false">IFERROR(VALUE(SUBSTITUTE(SUBSTITUTE(Raw_Donors!M32,"$",""),",","")),0)</f>
        <v>0</v>
      </c>
      <c r="O32" s="10" t="n">
        <f aca="false">IFERROR(VALUE(SUBSTITUTE(SUBSTITUTE(Raw_Donors!N32,"$",""),",","")),0)</f>
        <v>0</v>
      </c>
      <c r="P32" s="10" t="n">
        <f aca="false">IFERROR(VALUE(SUBSTITUTE(SUBSTITUTE(Raw_Donors!O32,"$",""),",","")),0)</f>
        <v>0</v>
      </c>
      <c r="Q32" s="10" t="n">
        <f aca="false">IFERROR(VALUE(SUBSTITUTE(SUBSTITUTE(Raw_Donors!P32,"$",""),",","")),0)</f>
        <v>0</v>
      </c>
      <c r="R32" s="10" t="n">
        <f aca="false">Raw_Donors!Q32</f>
        <v>0</v>
      </c>
      <c r="S32" s="9" t="str">
        <f aca="false">Raw_Donors!R32</f>
        <v>N</v>
      </c>
      <c r="T32" s="9" t="str">
        <f aca="false">IF(Raw_Donors!S32="","",Raw_Donors!S32)</f>
        <v/>
      </c>
      <c r="U32" s="9" t="str">
        <f aca="false">IF(AND((O32+P32)&gt;0,Q32=0),"Lapsed - Follow Up","")</f>
        <v/>
      </c>
      <c r="V32" s="9" t="n">
        <f aca="false">RANK(R32,$R$2:$R$759)+COUNTIF($R$2:R32,R32)-1</f>
        <v>567</v>
      </c>
      <c r="W32" s="9" t="str">
        <f aca="false">IF(U32="Lapsed - Follow Up",COUNTIF($U$2:U32,"Lapsed - Follow Up"),"")</f>
        <v/>
      </c>
    </row>
    <row r="33" customFormat="false" ht="15" hidden="false" customHeight="true" outlineLevel="0" collapsed="false">
      <c r="A33" s="9" t="str">
        <f aca="false">Raw_Donors!A33</f>
        <v>D1031</v>
      </c>
      <c r="B33" s="9" t="str">
        <f aca="false">IF(ISNUMBER(SEARCH("-DUP",A33)),"Duplicate ID","")</f>
        <v/>
      </c>
      <c r="C33" s="9" t="n">
        <f aca="false">Raw_Donors!B33</f>
        <v>33811</v>
      </c>
      <c r="D33" s="9" t="n">
        <f aca="false">Raw_Donors!C33</f>
        <v>0</v>
      </c>
      <c r="E33" s="9" t="str">
        <f aca="false">IFERROR(IF(Raw_Donors!D33="","Unknown",Raw_Donors!D33),"Unknown")</f>
        <v>Unknown</v>
      </c>
      <c r="F33" s="9" t="str">
        <f aca="false">IFERROR(IF(Raw_Donors!E33="","Unknown",Raw_Donors!E33),"Unknown")</f>
        <v>Male</v>
      </c>
      <c r="G33" s="9" t="str">
        <f aca="false">PROPER(TRIM(Raw_Donors!F33))</f>
        <v>Community Partner</v>
      </c>
      <c r="H33" s="9" t="str">
        <f aca="false">IFERROR(IF(Raw_Donors!G33="","N",Raw_Donors!G33),"N")</f>
        <v>N</v>
      </c>
      <c r="I33" s="9" t="str">
        <f aca="false">IF(Raw_Donors!H33="","Not Rated",Raw_Donors!H33)</f>
        <v>Not Rated</v>
      </c>
      <c r="J33" s="9" t="str">
        <f aca="false">IF(TRIM(Raw_Donors!I33)="","Unknown",TRIM(Raw_Donors!I33))</f>
        <v>HOME</v>
      </c>
      <c r="K33" s="9" t="str">
        <f aca="false">Raw_Donors!J33</f>
        <v>N</v>
      </c>
      <c r="L33" s="9" t="n">
        <f aca="false">Raw_Donors!K33</f>
        <v>1</v>
      </c>
      <c r="M33" s="10" t="n">
        <f aca="false">IFERROR(VALUE(SUBSTITUTE(SUBSTITUTE(Raw_Donors!L33,"$",""),",","")),0)</f>
        <v>0</v>
      </c>
      <c r="N33" s="10" t="n">
        <f aca="false">IFERROR(VALUE(SUBSTITUTE(SUBSTITUTE(Raw_Donors!M33,"$",""),",","")),0)</f>
        <v>0</v>
      </c>
      <c r="O33" s="10" t="n">
        <f aca="false">IFERROR(VALUE(SUBSTITUTE(SUBSTITUTE(Raw_Donors!N33,"$",""),",","")),0)</f>
        <v>0</v>
      </c>
      <c r="P33" s="10" t="n">
        <f aca="false">IFERROR(VALUE(SUBSTITUTE(SUBSTITUTE(Raw_Donors!O33,"$",""),",","")),0)</f>
        <v>0</v>
      </c>
      <c r="Q33" s="10" t="n">
        <f aca="false">IFERROR(VALUE(SUBSTITUTE(SUBSTITUTE(Raw_Donors!P33,"$",""),",","")),0)</f>
        <v>122</v>
      </c>
      <c r="R33" s="10" t="n">
        <f aca="false">Raw_Donors!Q33</f>
        <v>122</v>
      </c>
      <c r="S33" s="9" t="str">
        <f aca="false">Raw_Donors!R33</f>
        <v>Y</v>
      </c>
      <c r="T33" s="9" t="str">
        <f aca="false">IF(Raw_Donors!S33="","",Raw_Donors!S33)</f>
        <v/>
      </c>
      <c r="U33" s="9" t="str">
        <f aca="false">IF(AND((O33+P33)&gt;0,Q33=0),"Lapsed - Follow Up","")</f>
        <v/>
      </c>
      <c r="V33" s="9" t="n">
        <f aca="false">RANK(R33,$R$2:$R$759)+COUNTIF($R$2:R33,R33)-1</f>
        <v>247</v>
      </c>
      <c r="W33" s="9" t="str">
        <f aca="false">IF(U33="Lapsed - Follow Up",COUNTIF($U$2:U33,"Lapsed - Follow Up"),"")</f>
        <v/>
      </c>
    </row>
    <row r="34" customFormat="false" ht="15" hidden="false" customHeight="true" outlineLevel="0" collapsed="false">
      <c r="A34" s="9" t="str">
        <f aca="false">Raw_Donors!A34</f>
        <v>D1032</v>
      </c>
      <c r="B34" s="9" t="str">
        <f aca="false">IF(ISNUMBER(SEARCH("-DUP",A34)),"Duplicate ID","")</f>
        <v/>
      </c>
      <c r="C34" s="9" t="n">
        <f aca="false">Raw_Donors!B34</f>
        <v>90265</v>
      </c>
      <c r="D34" s="9" t="n">
        <f aca="false">Raw_Donors!C34</f>
        <v>36</v>
      </c>
      <c r="E34" s="9" t="str">
        <f aca="false">IFERROR(IF(Raw_Donors!D34="","Unknown",Raw_Donors!D34),"Unknown")</f>
        <v>Unknown</v>
      </c>
      <c r="F34" s="9" t="str">
        <f aca="false">IFERROR(IF(Raw_Donors!E34="","Unknown",Raw_Donors!E34),"Unknown")</f>
        <v>Female</v>
      </c>
      <c r="G34" s="9" t="str">
        <f aca="false">PROPER(TRIM(Raw_Donors!F34))</f>
        <v>Individual Donor</v>
      </c>
      <c r="H34" s="9" t="str">
        <f aca="false">IFERROR(IF(Raw_Donors!G34="","N",Raw_Donors!G34),"N")</f>
        <v>N</v>
      </c>
      <c r="I34" s="9" t="str">
        <f aca="false">IF(Raw_Donors!H34="","Not Rated",Raw_Donors!H34)</f>
        <v>Not Rated</v>
      </c>
      <c r="J34" s="9" t="str">
        <f aca="false">IF(TRIM(Raw_Donors!I34)="","Unknown",TRIM(Raw_Donors!I34))</f>
        <v>HOME</v>
      </c>
      <c r="K34" s="9" t="str">
        <f aca="false">Raw_Donors!J34</f>
        <v>N</v>
      </c>
      <c r="L34" s="9" t="n">
        <f aca="false">Raw_Donors!K34</f>
        <v>0</v>
      </c>
      <c r="M34" s="10" t="n">
        <f aca="false">IFERROR(VALUE(SUBSTITUTE(SUBSTITUTE(Raw_Donors!L34,"$",""),",","")),0)</f>
        <v>0</v>
      </c>
      <c r="N34" s="10" t="n">
        <f aca="false">IFERROR(VALUE(SUBSTITUTE(SUBSTITUTE(Raw_Donors!M34,"$",""),",","")),0)</f>
        <v>0</v>
      </c>
      <c r="O34" s="10" t="n">
        <f aca="false">IFERROR(VALUE(SUBSTITUTE(SUBSTITUTE(Raw_Donors!N34,"$",""),",","")),0)</f>
        <v>0</v>
      </c>
      <c r="P34" s="10" t="n">
        <f aca="false">IFERROR(VALUE(SUBSTITUTE(SUBSTITUTE(Raw_Donors!O34,"$",""),",","")),0)</f>
        <v>0</v>
      </c>
      <c r="Q34" s="10" t="n">
        <f aca="false">IFERROR(VALUE(SUBSTITUTE(SUBSTITUTE(Raw_Donors!P34,"$",""),",","")),0)</f>
        <v>0</v>
      </c>
      <c r="R34" s="10" t="n">
        <f aca="false">Raw_Donors!Q34</f>
        <v>1</v>
      </c>
      <c r="S34" s="9" t="str">
        <f aca="false">Raw_Donors!R34</f>
        <v>Y</v>
      </c>
      <c r="T34" s="9" t="str">
        <f aca="false">IF(Raw_Donors!S34="","",Raw_Donors!S34)</f>
        <v>1981-09-13</v>
      </c>
      <c r="U34" s="9" t="str">
        <f aca="false">IF(AND((O34+P34)&gt;0,Q34=0),"Lapsed - Follow Up","")</f>
        <v/>
      </c>
      <c r="V34" s="9" t="n">
        <f aca="false">RANK(R34,$R$2:$R$759)+COUNTIF($R$2:R34,R34)-1</f>
        <v>527</v>
      </c>
      <c r="W34" s="9" t="str">
        <f aca="false">IF(U34="Lapsed - Follow Up",COUNTIF($U$2:U34,"Lapsed - Follow Up"),"")</f>
        <v/>
      </c>
    </row>
    <row r="35" customFormat="false" ht="15" hidden="false" customHeight="true" outlineLevel="0" collapsed="false">
      <c r="A35" s="9" t="str">
        <f aca="false">Raw_Donors!A35</f>
        <v>D1033</v>
      </c>
      <c r="B35" s="9" t="str">
        <f aca="false">IF(ISNUMBER(SEARCH("-DUP",A35)),"Duplicate ID","")</f>
        <v/>
      </c>
      <c r="C35" s="9" t="n">
        <f aca="false">Raw_Donors!B35</f>
        <v>9499</v>
      </c>
      <c r="D35" s="9" t="n">
        <f aca="false">Raw_Donors!C35</f>
        <v>0</v>
      </c>
      <c r="E35" s="9" t="str">
        <f aca="false">IFERROR(IF(Raw_Donors!D35="","Unknown",Raw_Donors!D35),"Unknown")</f>
        <v>Unknown</v>
      </c>
      <c r="F35" s="9" t="str">
        <f aca="false">IFERROR(IF(Raw_Donors!E35="","Unknown",Raw_Donors!E35),"Unknown")</f>
        <v>Female</v>
      </c>
      <c r="G35" s="9" t="str">
        <f aca="false">PROPER(TRIM(Raw_Donors!F35))</f>
        <v>Individual Donor</v>
      </c>
      <c r="H35" s="9" t="str">
        <f aca="false">IFERROR(IF(Raw_Donors!G35="","N",Raw_Donors!G35),"N")</f>
        <v>N</v>
      </c>
      <c r="I35" s="9" t="str">
        <f aca="false">IF(Raw_Donors!H35="","Not Rated",Raw_Donors!H35)</f>
        <v>$100,000-$249,999</v>
      </c>
      <c r="J35" s="9" t="str">
        <f aca="false">IF(TRIM(Raw_Donors!I35)="","Unknown",TRIM(Raw_Donors!I35))</f>
        <v>HOME</v>
      </c>
      <c r="K35" s="9" t="str">
        <f aca="false">Raw_Donors!J35</f>
        <v>N</v>
      </c>
      <c r="L35" s="9" t="n">
        <f aca="false">Raw_Donors!K35</f>
        <v>1</v>
      </c>
      <c r="M35" s="10" t="n">
        <f aca="false">IFERROR(VALUE(SUBSTITUTE(SUBSTITUTE(Raw_Donors!L35,"$",""),",","")),0)</f>
        <v>0</v>
      </c>
      <c r="N35" s="10" t="n">
        <f aca="false">IFERROR(VALUE(SUBSTITUTE(SUBSTITUTE(Raw_Donors!M35,"$",""),",","")),0)</f>
        <v>0</v>
      </c>
      <c r="O35" s="10" t="n">
        <f aca="false">IFERROR(VALUE(SUBSTITUTE(SUBSTITUTE(Raw_Donors!N35,"$",""),",","")),0)</f>
        <v>0</v>
      </c>
      <c r="P35" s="10" t="n">
        <f aca="false">IFERROR(VALUE(SUBSTITUTE(SUBSTITUTE(Raw_Donors!O35,"$",""),",","")),0)</f>
        <v>0</v>
      </c>
      <c r="Q35" s="10" t="n">
        <f aca="false">IFERROR(VALUE(SUBSTITUTE(SUBSTITUTE(Raw_Donors!P35,"$",""),",","")),0)</f>
        <v>0</v>
      </c>
      <c r="R35" s="10" t="n">
        <f aca="false">Raw_Donors!Q35</f>
        <v>8</v>
      </c>
      <c r="S35" s="9" t="str">
        <f aca="false">Raw_Donors!R35</f>
        <v>Y</v>
      </c>
      <c r="T35" s="9" t="str">
        <f aca="false">IF(Raw_Donors!S35="","",Raw_Donors!S35)</f>
        <v/>
      </c>
      <c r="U35" s="9" t="str">
        <f aca="false">IF(AND((O35+P35)&gt;0,Q35=0),"Lapsed - Follow Up","")</f>
        <v/>
      </c>
      <c r="V35" s="9" t="n">
        <f aca="false">RANK(R35,$R$2:$R$759)+COUNTIF($R$2:R35,R35)-1</f>
        <v>510</v>
      </c>
      <c r="W35" s="9" t="str">
        <f aca="false">IF(U35="Lapsed - Follow Up",COUNTIF($U$2:U35,"Lapsed - Follow Up"),"")</f>
        <v/>
      </c>
    </row>
    <row r="36" customFormat="false" ht="15" hidden="false" customHeight="true" outlineLevel="0" collapsed="false">
      <c r="A36" s="9" t="str">
        <f aca="false">Raw_Donors!A36</f>
        <v>D1034</v>
      </c>
      <c r="B36" s="9" t="str">
        <f aca="false">IF(ISNUMBER(SEARCH("-DUP",A36)),"Duplicate ID","")</f>
        <v/>
      </c>
      <c r="C36" s="9" t="n">
        <f aca="false">Raw_Donors!B36</f>
        <v>14127</v>
      </c>
      <c r="D36" s="9" t="n">
        <f aca="false">Raw_Donors!C36</f>
        <v>0</v>
      </c>
      <c r="E36" s="9" t="str">
        <f aca="false">IFERROR(IF(Raw_Donors!D36="","Unknown",Raw_Donors!D36),"Unknown")</f>
        <v>Unknown</v>
      </c>
      <c r="F36" s="9" t="str">
        <f aca="false">IFERROR(IF(Raw_Donors!E36="","Unknown",Raw_Donors!E36),"Unknown")</f>
        <v>Male</v>
      </c>
      <c r="G36" s="9" t="str">
        <f aca="false">PROPER(TRIM(Raw_Donors!F36))</f>
        <v>Individual Donor</v>
      </c>
      <c r="H36" s="9" t="str">
        <f aca="false">IFERROR(IF(Raw_Donors!G36="","N",Raw_Donors!G36),"N")</f>
        <v>N</v>
      </c>
      <c r="I36" s="9" t="str">
        <f aca="false">IF(Raw_Donors!H36="","Not Rated",Raw_Donors!H36)</f>
        <v>Not Rated</v>
      </c>
      <c r="J36" s="9" t="str">
        <f aca="false">IF(TRIM(Raw_Donors!I36)="","Unknown",TRIM(Raw_Donors!I36))</f>
        <v>HOME</v>
      </c>
      <c r="K36" s="9" t="str">
        <f aca="false">Raw_Donors!J36</f>
        <v>N</v>
      </c>
      <c r="L36" s="9" t="n">
        <f aca="false">Raw_Donors!K36</f>
        <v>2</v>
      </c>
      <c r="M36" s="10" t="n">
        <f aca="false">IFERROR(VALUE(SUBSTITUTE(SUBSTITUTE(Raw_Donors!L36,"$",""),",","")),0)</f>
        <v>0</v>
      </c>
      <c r="N36" s="10" t="n">
        <f aca="false">IFERROR(VALUE(SUBSTITUTE(SUBSTITUTE(Raw_Donors!M36,"$",""),",","")),0)</f>
        <v>0</v>
      </c>
      <c r="O36" s="10" t="n">
        <f aca="false">IFERROR(VALUE(SUBSTITUTE(SUBSTITUTE(Raw_Donors!N36,"$",""),",","")),0)</f>
        <v>0</v>
      </c>
      <c r="P36" s="10" t="n">
        <f aca="false">IFERROR(VALUE(SUBSTITUTE(SUBSTITUTE(Raw_Donors!O36,"$",""),",","")),0)</f>
        <v>0</v>
      </c>
      <c r="Q36" s="10" t="n">
        <f aca="false">IFERROR(VALUE(SUBSTITUTE(SUBSTITUTE(Raw_Donors!P36,"$",""),",","")),0)</f>
        <v>0</v>
      </c>
      <c r="R36" s="10" t="n">
        <f aca="false">Raw_Donors!Q36</f>
        <v>0</v>
      </c>
      <c r="S36" s="9" t="str">
        <f aca="false">Raw_Donors!R36</f>
        <v>N</v>
      </c>
      <c r="T36" s="9" t="str">
        <f aca="false">IF(Raw_Donors!S36="","",Raw_Donors!S36)</f>
        <v/>
      </c>
      <c r="U36" s="9" t="str">
        <f aca="false">IF(AND((O36+P36)&gt;0,Q36=0),"Lapsed - Follow Up","")</f>
        <v/>
      </c>
      <c r="V36" s="9" t="n">
        <f aca="false">RANK(R36,$R$2:$R$759)+COUNTIF($R$2:R36,R36)-1</f>
        <v>568</v>
      </c>
      <c r="W36" s="9" t="str">
        <f aca="false">IF(U36="Lapsed - Follow Up",COUNTIF($U$2:U36,"Lapsed - Follow Up"),"")</f>
        <v/>
      </c>
    </row>
    <row r="37" customFormat="false" ht="15" hidden="false" customHeight="true" outlineLevel="0" collapsed="false">
      <c r="A37" s="9" t="str">
        <f aca="false">Raw_Donors!A37</f>
        <v>D1035</v>
      </c>
      <c r="B37" s="9" t="str">
        <f aca="false">IF(ISNUMBER(SEARCH("-DUP",A37)),"Duplicate ID","")</f>
        <v/>
      </c>
      <c r="C37" s="9" t="n">
        <f aca="false">Raw_Donors!B37</f>
        <v>17509</v>
      </c>
      <c r="D37" s="9" t="n">
        <f aca="false">Raw_Donors!C37</f>
        <v>0</v>
      </c>
      <c r="E37" s="9" t="str">
        <f aca="false">IFERROR(IF(Raw_Donors!D37="","Unknown",Raw_Donors!D37),"Unknown")</f>
        <v>Unknown</v>
      </c>
      <c r="F37" s="9" t="str">
        <f aca="false">IFERROR(IF(Raw_Donors!E37="","Unknown",Raw_Donors!E37),"Unknown")</f>
        <v>Male</v>
      </c>
      <c r="G37" s="9" t="str">
        <f aca="false">PROPER(TRIM(Raw_Donors!F37))</f>
        <v>Individual Donor</v>
      </c>
      <c r="H37" s="9" t="str">
        <f aca="false">IFERROR(IF(Raw_Donors!G37="","N",Raw_Donors!G37),"N")</f>
        <v>N</v>
      </c>
      <c r="I37" s="9" t="str">
        <f aca="false">IF(Raw_Donors!H37="","Not Rated",Raw_Donors!H37)</f>
        <v>Not Rated</v>
      </c>
      <c r="J37" s="9" t="str">
        <f aca="false">IF(TRIM(Raw_Donors!I37)="","Unknown",TRIM(Raw_Donors!I37))</f>
        <v>HOME</v>
      </c>
      <c r="K37" s="9" t="str">
        <f aca="false">Raw_Donors!J37</f>
        <v>N</v>
      </c>
      <c r="L37" s="9" t="n">
        <f aca="false">Raw_Donors!K37</f>
        <v>1</v>
      </c>
      <c r="M37" s="10" t="n">
        <f aca="false">IFERROR(VALUE(SUBSTITUTE(SUBSTITUTE(Raw_Donors!L37,"$",""),",","")),0)</f>
        <v>0</v>
      </c>
      <c r="N37" s="10" t="n">
        <f aca="false">IFERROR(VALUE(SUBSTITUTE(SUBSTITUTE(Raw_Donors!M37,"$",""),",","")),0)</f>
        <v>0</v>
      </c>
      <c r="O37" s="10" t="n">
        <f aca="false">IFERROR(VALUE(SUBSTITUTE(SUBSTITUTE(Raw_Donors!N37,"$",""),",","")),0)</f>
        <v>0</v>
      </c>
      <c r="P37" s="10" t="n">
        <f aca="false">IFERROR(VALUE(SUBSTITUTE(SUBSTITUTE(Raw_Donors!O37,"$",""),",","")),0)</f>
        <v>1</v>
      </c>
      <c r="Q37" s="10" t="n">
        <f aca="false">IFERROR(VALUE(SUBSTITUTE(SUBSTITUTE(Raw_Donors!P37,"$",""),",","")),0)</f>
        <v>0</v>
      </c>
      <c r="R37" s="10" t="n">
        <f aca="false">Raw_Donors!Q37</f>
        <v>2529</v>
      </c>
      <c r="S37" s="9" t="str">
        <f aca="false">Raw_Donors!R37</f>
        <v>Y</v>
      </c>
      <c r="T37" s="9" t="str">
        <f aca="false">IF(Raw_Donors!S37="","",Raw_Donors!S37)</f>
        <v/>
      </c>
      <c r="U37" s="9" t="str">
        <f aca="false">IF(AND((O37+P37)&gt;0,Q37=0),"Lapsed - Follow Up","")</f>
        <v>Lapsed - Follow Up</v>
      </c>
      <c r="V37" s="9" t="n">
        <f aca="false">RANK(R37,$R$2:$R$759)+COUNTIF($R$2:R37,R37)-1</f>
        <v>22</v>
      </c>
      <c r="W37" s="9" t="n">
        <f aca="false">IF(U37="Lapsed - Follow Up",COUNTIF($U$2:U37,"Lapsed - Follow Up"),"")</f>
        <v>6</v>
      </c>
    </row>
    <row r="38" customFormat="false" ht="15" hidden="false" customHeight="true" outlineLevel="0" collapsed="false">
      <c r="A38" s="9" t="str">
        <f aca="false">Raw_Donors!A38</f>
        <v>D1036</v>
      </c>
      <c r="B38" s="9" t="str">
        <f aca="false">IF(ISNUMBER(SEARCH("-DUP",A38)),"Duplicate ID","")</f>
        <v/>
      </c>
      <c r="C38" s="9" t="n">
        <f aca="false">Raw_Donors!B38</f>
        <v>32655</v>
      </c>
      <c r="D38" s="9" t="n">
        <f aca="false">Raw_Donors!C38</f>
        <v>0</v>
      </c>
      <c r="E38" s="9" t="str">
        <f aca="false">IFERROR(IF(Raw_Donors!D38="","Unknown",Raw_Donors!D38),"Unknown")</f>
        <v>Married</v>
      </c>
      <c r="F38" s="9" t="str">
        <f aca="false">IFERROR(IF(Raw_Donors!E38="","Unknown",Raw_Donors!E38),"Unknown")</f>
        <v>Female</v>
      </c>
      <c r="G38" s="9" t="str">
        <f aca="false">PROPER(TRIM(Raw_Donors!F38))</f>
        <v>Family Donor</v>
      </c>
      <c r="H38" s="9" t="str">
        <f aca="false">IFERROR(IF(Raw_Donors!G38="","N",Raw_Donors!G38),"N")</f>
        <v>N</v>
      </c>
      <c r="I38" s="9" t="str">
        <f aca="false">IF(Raw_Donors!H38="","Not Rated",Raw_Donors!H38)</f>
        <v>Not Rated</v>
      </c>
      <c r="J38" s="9" t="str">
        <f aca="false">IF(TRIM(Raw_Donors!I38)="","Unknown",TRIM(Raw_Donors!I38))</f>
        <v>HOME</v>
      </c>
      <c r="K38" s="9" t="str">
        <f aca="false">Raw_Donors!J38</f>
        <v>N</v>
      </c>
      <c r="L38" s="9" t="n">
        <f aca="false">Raw_Donors!K38</f>
        <v>1</v>
      </c>
      <c r="M38" s="10" t="n">
        <f aca="false">IFERROR(VALUE(SUBSTITUTE(SUBSTITUTE(Raw_Donors!L38,"$",""),",","")),0)</f>
        <v>0</v>
      </c>
      <c r="N38" s="10" t="n">
        <f aca="false">IFERROR(VALUE(SUBSTITUTE(SUBSTITUTE(Raw_Donors!M38,"$",""),",","")),0)</f>
        <v>0</v>
      </c>
      <c r="O38" s="10" t="n">
        <f aca="false">IFERROR(VALUE(SUBSTITUTE(SUBSTITUTE(Raw_Donors!N38,"$",""),",","")),0)</f>
        <v>0</v>
      </c>
      <c r="P38" s="10" t="n">
        <f aca="false">IFERROR(VALUE(SUBSTITUTE(SUBSTITUTE(Raw_Donors!O38,"$",""),",","")),0)</f>
        <v>0</v>
      </c>
      <c r="Q38" s="10" t="n">
        <f aca="false">IFERROR(VALUE(SUBSTITUTE(SUBSTITUTE(Raw_Donors!P38,"$",""),",","")),0)</f>
        <v>0</v>
      </c>
      <c r="R38" s="10" t="n">
        <f aca="false">Raw_Donors!Q38</f>
        <v>250</v>
      </c>
      <c r="S38" s="9" t="str">
        <f aca="false">Raw_Donors!R38</f>
        <v>Y</v>
      </c>
      <c r="T38" s="9" t="str">
        <f aca="false">IF(Raw_Donors!S38="","",Raw_Donors!S38)</f>
        <v/>
      </c>
      <c r="U38" s="9" t="str">
        <f aca="false">IF(AND((O38+P38)&gt;0,Q38=0),"Lapsed - Follow Up","")</f>
        <v/>
      </c>
      <c r="V38" s="9" t="n">
        <f aca="false">RANK(R38,$R$2:$R$759)+COUNTIF($R$2:R38,R38)-1</f>
        <v>164</v>
      </c>
      <c r="W38" s="9" t="str">
        <f aca="false">IF(U38="Lapsed - Follow Up",COUNTIF($U$2:U38,"Lapsed - Follow Up"),"")</f>
        <v/>
      </c>
    </row>
    <row r="39" customFormat="false" ht="15" hidden="false" customHeight="true" outlineLevel="0" collapsed="false">
      <c r="A39" s="9" t="str">
        <f aca="false">Raw_Donors!A39</f>
        <v>D1037</v>
      </c>
      <c r="B39" s="9" t="str">
        <f aca="false">IF(ISNUMBER(SEARCH("-DUP",A39)),"Duplicate ID","")</f>
        <v/>
      </c>
      <c r="C39" s="9" t="n">
        <f aca="false">Raw_Donors!B39</f>
        <v>59845</v>
      </c>
      <c r="D39" s="9" t="n">
        <f aca="false">Raw_Donors!C39</f>
        <v>0</v>
      </c>
      <c r="E39" s="9" t="str">
        <f aca="false">IFERROR(IF(Raw_Donors!D39="","Unknown",Raw_Donors!D39),"Unknown")</f>
        <v>Single</v>
      </c>
      <c r="F39" s="9" t="str">
        <f aca="false">IFERROR(IF(Raw_Donors!E39="","Unknown",Raw_Donors!E39),"Unknown")</f>
        <v>Male</v>
      </c>
      <c r="G39" s="9" t="str">
        <f aca="false">PROPER(TRIM(Raw_Donors!F39))</f>
        <v>Individual Donor</v>
      </c>
      <c r="H39" s="9" t="str">
        <f aca="false">IFERROR(IF(Raw_Donors!G39="","N",Raw_Donors!G39),"N")</f>
        <v>N</v>
      </c>
      <c r="I39" s="9" t="str">
        <f aca="false">IF(Raw_Donors!H39="","Not Rated",Raw_Donors!H39)</f>
        <v>Not Rated</v>
      </c>
      <c r="J39" s="9" t="str">
        <f aca="false">IF(TRIM(Raw_Donors!I39)="","Unknown",TRIM(Raw_Donors!I39))</f>
        <v>HOME</v>
      </c>
      <c r="K39" s="9" t="str">
        <f aca="false">Raw_Donors!J39</f>
        <v>Y</v>
      </c>
      <c r="L39" s="9" t="n">
        <f aca="false">Raw_Donors!K39</f>
        <v>0</v>
      </c>
      <c r="M39" s="10" t="n">
        <f aca="false">IFERROR(VALUE(SUBSTITUTE(SUBSTITUTE(Raw_Donors!L39,"$",""),",","")),0)</f>
        <v>0</v>
      </c>
      <c r="N39" s="10" t="n">
        <f aca="false">IFERROR(VALUE(SUBSTITUTE(SUBSTITUTE(Raw_Donors!M39,"$",""),",","")),0)</f>
        <v>0</v>
      </c>
      <c r="O39" s="10" t="n">
        <f aca="false">IFERROR(VALUE(SUBSTITUTE(SUBSTITUTE(Raw_Donors!N39,"$",""),",","")),0)</f>
        <v>0</v>
      </c>
      <c r="P39" s="10" t="n">
        <f aca="false">IFERROR(VALUE(SUBSTITUTE(SUBSTITUTE(Raw_Donors!O39,"$",""),",","")),0)</f>
        <v>0</v>
      </c>
      <c r="Q39" s="10" t="n">
        <f aca="false">IFERROR(VALUE(SUBSTITUTE(SUBSTITUTE(Raw_Donors!P39,"$",""),",","")),0)</f>
        <v>0</v>
      </c>
      <c r="R39" s="10" t="n">
        <f aca="false">Raw_Donors!Q39</f>
        <v>0</v>
      </c>
      <c r="S39" s="9" t="str">
        <f aca="false">Raw_Donors!R39</f>
        <v>N</v>
      </c>
      <c r="T39" s="9" t="str">
        <f aca="false">IF(Raw_Donors!S39="","",Raw_Donors!S39)</f>
        <v/>
      </c>
      <c r="U39" s="9" t="str">
        <f aca="false">IF(AND((O39+P39)&gt;0,Q39=0),"Lapsed - Follow Up","")</f>
        <v/>
      </c>
      <c r="V39" s="9" t="n">
        <f aca="false">RANK(R39,$R$2:$R$759)+COUNTIF($R$2:R39,R39)-1</f>
        <v>569</v>
      </c>
      <c r="W39" s="9" t="str">
        <f aca="false">IF(U39="Lapsed - Follow Up",COUNTIF($U$2:U39,"Lapsed - Follow Up"),"")</f>
        <v/>
      </c>
    </row>
    <row r="40" customFormat="false" ht="15" hidden="false" customHeight="true" outlineLevel="0" collapsed="false">
      <c r="A40" s="9" t="str">
        <f aca="false">Raw_Donors!A40</f>
        <v>D1038</v>
      </c>
      <c r="B40" s="9" t="str">
        <f aca="false">IF(ISNUMBER(SEARCH("-DUP",A40)),"Duplicate ID","")</f>
        <v/>
      </c>
      <c r="C40" s="9" t="n">
        <f aca="false">Raw_Donors!B40</f>
        <v>68317</v>
      </c>
      <c r="D40" s="9" t="n">
        <f aca="false">Raw_Donors!C40</f>
        <v>46</v>
      </c>
      <c r="E40" s="9" t="str">
        <f aca="false">IFERROR(IF(Raw_Donors!D40="","Unknown",Raw_Donors!D40),"Unknown")</f>
        <v>Single</v>
      </c>
      <c r="F40" s="9" t="str">
        <f aca="false">IFERROR(IF(Raw_Donors!E40="","Unknown",Raw_Donors!E40),"Unknown")</f>
        <v>Male</v>
      </c>
      <c r="G40" s="9" t="str">
        <f aca="false">PROPER(TRIM(Raw_Donors!F40))</f>
        <v>Community Partner</v>
      </c>
      <c r="H40" s="9" t="str">
        <f aca="false">IFERROR(IF(Raw_Donors!G40="","N",Raw_Donors!G40),"N")</f>
        <v>Y</v>
      </c>
      <c r="I40" s="9" t="str">
        <f aca="false">IF(Raw_Donors!H40="","Not Rated",Raw_Donors!H40)</f>
        <v>Not Rated</v>
      </c>
      <c r="J40" s="9" t="str">
        <f aca="false">IF(TRIM(Raw_Donors!I40)="","Unknown",TRIM(Raw_Donors!I40))</f>
        <v>HOME</v>
      </c>
      <c r="K40" s="9" t="str">
        <f aca="false">Raw_Donors!J40</f>
        <v>Y</v>
      </c>
      <c r="L40" s="9" t="n">
        <f aca="false">Raw_Donors!K40</f>
        <v>1</v>
      </c>
      <c r="M40" s="10" t="n">
        <f aca="false">IFERROR(VALUE(SUBSTITUTE(SUBSTITUTE(Raw_Donors!L40,"$",""),",","")),0)</f>
        <v>0</v>
      </c>
      <c r="N40" s="10" t="n">
        <f aca="false">IFERROR(VALUE(SUBSTITUTE(SUBSTITUTE(Raw_Donors!M40,"$",""),",","")),0)</f>
        <v>0</v>
      </c>
      <c r="O40" s="10" t="n">
        <f aca="false">IFERROR(VALUE(SUBSTITUTE(SUBSTITUTE(Raw_Donors!N40,"$",""),",","")),0)</f>
        <v>0</v>
      </c>
      <c r="P40" s="10" t="n">
        <f aca="false">IFERROR(VALUE(SUBSTITUTE(SUBSTITUTE(Raw_Donors!O40,"$",""),",","")),0)</f>
        <v>0</v>
      </c>
      <c r="Q40" s="10" t="n">
        <f aca="false">IFERROR(VALUE(SUBSTITUTE(SUBSTITUTE(Raw_Donors!P40,"$",""),",","")),0)</f>
        <v>0</v>
      </c>
      <c r="R40" s="10" t="n">
        <f aca="false">Raw_Donors!Q40</f>
        <v>25</v>
      </c>
      <c r="S40" s="9" t="str">
        <f aca="false">Raw_Donors!R40</f>
        <v>Y</v>
      </c>
      <c r="T40" s="9" t="str">
        <f aca="false">IF(Raw_Donors!S40="","",Raw_Donors!S40)</f>
        <v>1971-05-22</v>
      </c>
      <c r="U40" s="9" t="str">
        <f aca="false">IF(AND((O40+P40)&gt;0,Q40=0),"Lapsed - Follow Up","")</f>
        <v/>
      </c>
      <c r="V40" s="9" t="n">
        <f aca="false">RANK(R40,$R$2:$R$759)+COUNTIF($R$2:R40,R40)-1</f>
        <v>427</v>
      </c>
      <c r="W40" s="9" t="str">
        <f aca="false">IF(U40="Lapsed - Follow Up",COUNTIF($U$2:U40,"Lapsed - Follow Up"),"")</f>
        <v/>
      </c>
    </row>
    <row r="41" customFormat="false" ht="15" hidden="false" customHeight="true" outlineLevel="0" collapsed="false">
      <c r="A41" s="9" t="str">
        <f aca="false">Raw_Donors!A41</f>
        <v>D1039</v>
      </c>
      <c r="B41" s="9" t="str">
        <f aca="false">IF(ISNUMBER(SEARCH("-DUP",A41)),"Duplicate ID","")</f>
        <v/>
      </c>
      <c r="C41" s="9" t="n">
        <f aca="false">Raw_Donors!B41</f>
        <v>90265</v>
      </c>
      <c r="D41" s="9" t="n">
        <f aca="false">Raw_Donors!C41</f>
        <v>53</v>
      </c>
      <c r="E41" s="9" t="str">
        <f aca="false">IFERROR(IF(Raw_Donors!D41="","Unknown",Raw_Donors!D41),"Unknown")</f>
        <v>Unknown</v>
      </c>
      <c r="F41" s="9" t="str">
        <f aca="false">IFERROR(IF(Raw_Donors!E41="","Unknown",Raw_Donors!E41),"Unknown")</f>
        <v>Female</v>
      </c>
      <c r="G41" s="9" t="str">
        <f aca="false">PROPER(TRIM(Raw_Donors!F41))</f>
        <v>Individual Donor</v>
      </c>
      <c r="H41" s="9" t="str">
        <f aca="false">IFERROR(IF(Raw_Donors!G41="","N",Raw_Donors!G41),"N")</f>
        <v>N</v>
      </c>
      <c r="I41" s="9" t="str">
        <f aca="false">IF(Raw_Donors!H41="","Not Rated",Raw_Donors!H41)</f>
        <v>Not Rated</v>
      </c>
      <c r="J41" s="9" t="str">
        <f aca="false">IF(TRIM(Raw_Donors!I41)="","Unknown",TRIM(Raw_Donors!I41))</f>
        <v>HOME</v>
      </c>
      <c r="K41" s="9" t="str">
        <f aca="false">Raw_Donors!J41</f>
        <v>N</v>
      </c>
      <c r="L41" s="9" t="n">
        <f aca="false">Raw_Donors!K41</f>
        <v>0</v>
      </c>
      <c r="M41" s="10" t="n">
        <f aca="false">IFERROR(VALUE(SUBSTITUTE(SUBSTITUTE(Raw_Donors!L41,"$",""),",","")),0)</f>
        <v>0</v>
      </c>
      <c r="N41" s="10" t="n">
        <f aca="false">IFERROR(VALUE(SUBSTITUTE(SUBSTITUTE(Raw_Donors!M41,"$",""),",","")),0)</f>
        <v>0</v>
      </c>
      <c r="O41" s="10" t="n">
        <f aca="false">IFERROR(VALUE(SUBSTITUTE(SUBSTITUTE(Raw_Donors!N41,"$",""),",","")),0)</f>
        <v>0</v>
      </c>
      <c r="P41" s="10" t="n">
        <f aca="false">IFERROR(VALUE(SUBSTITUTE(SUBSTITUTE(Raw_Donors!O41,"$",""),",","")),0)</f>
        <v>1</v>
      </c>
      <c r="Q41" s="10" t="n">
        <f aca="false">IFERROR(VALUE(SUBSTITUTE(SUBSTITUTE(Raw_Donors!P41,"$",""),",","")),0)</f>
        <v>0</v>
      </c>
      <c r="R41" s="10" t="n">
        <f aca="false">Raw_Donors!Q41</f>
        <v>1</v>
      </c>
      <c r="S41" s="9" t="str">
        <f aca="false">Raw_Donors!R41</f>
        <v>Y</v>
      </c>
      <c r="T41" s="9" t="str">
        <f aca="false">IF(Raw_Donors!S41="","",Raw_Donors!S41)</f>
        <v>1964-09-11</v>
      </c>
      <c r="U41" s="9" t="str">
        <f aca="false">IF(AND((O41+P41)&gt;0,Q41=0),"Lapsed - Follow Up","")</f>
        <v>Lapsed - Follow Up</v>
      </c>
      <c r="V41" s="9" t="n">
        <f aca="false">RANK(R41,$R$2:$R$759)+COUNTIF($R$2:R41,R41)-1</f>
        <v>528</v>
      </c>
      <c r="W41" s="9" t="n">
        <f aca="false">IF(U41="Lapsed - Follow Up",COUNTIF($U$2:U41,"Lapsed - Follow Up"),"")</f>
        <v>7</v>
      </c>
    </row>
    <row r="42" customFormat="false" ht="15" hidden="false" customHeight="true" outlineLevel="0" collapsed="false">
      <c r="A42" s="9" t="str">
        <f aca="false">Raw_Donors!A42</f>
        <v>D1040</v>
      </c>
      <c r="B42" s="9" t="str">
        <f aca="false">IF(ISNUMBER(SEARCH("-DUP",A42)),"Duplicate ID","")</f>
        <v/>
      </c>
      <c r="C42" s="9" t="n">
        <f aca="false">Raw_Donors!B42</f>
        <v>72847</v>
      </c>
      <c r="D42" s="9" t="n">
        <f aca="false">Raw_Donors!C42</f>
        <v>0</v>
      </c>
      <c r="E42" s="9" t="str">
        <f aca="false">IFERROR(IF(Raw_Donors!D42="","Unknown",Raw_Donors!D42),"Unknown")</f>
        <v>Unknown</v>
      </c>
      <c r="F42" s="9" t="str">
        <f aca="false">IFERROR(IF(Raw_Donors!E42="","Unknown",Raw_Donors!E42),"Unknown")</f>
        <v>Male</v>
      </c>
      <c r="G42" s="9" t="str">
        <f aca="false">PROPER(TRIM(Raw_Donors!F42))</f>
        <v>Individual Donor</v>
      </c>
      <c r="H42" s="9" t="str">
        <f aca="false">IFERROR(IF(Raw_Donors!G42="","N",Raw_Donors!G42),"N")</f>
        <v>N</v>
      </c>
      <c r="I42" s="9" t="str">
        <f aca="false">IF(Raw_Donors!H42="","Not Rated",Raw_Donors!H42)</f>
        <v>Not Rated</v>
      </c>
      <c r="J42" s="9" t="str">
        <f aca="false">IF(TRIM(Raw_Donors!I42)="","Unknown",TRIM(Raw_Donors!I42))</f>
        <v>HOME</v>
      </c>
      <c r="K42" s="9" t="str">
        <f aca="false">Raw_Donors!J42</f>
        <v>N</v>
      </c>
      <c r="L42" s="9" t="n">
        <f aca="false">Raw_Donors!K42</f>
        <v>2</v>
      </c>
      <c r="M42" s="10" t="n">
        <f aca="false">IFERROR(VALUE(SUBSTITUTE(SUBSTITUTE(Raw_Donors!L42,"$",""),",","")),0)</f>
        <v>0</v>
      </c>
      <c r="N42" s="10" t="n">
        <f aca="false">IFERROR(VALUE(SUBSTITUTE(SUBSTITUTE(Raw_Donors!M42,"$",""),",","")),0)</f>
        <v>0</v>
      </c>
      <c r="O42" s="10" t="n">
        <f aca="false">IFERROR(VALUE(SUBSTITUTE(SUBSTITUTE(Raw_Donors!N42,"$",""),",","")),0)</f>
        <v>0</v>
      </c>
      <c r="P42" s="10" t="n">
        <f aca="false">IFERROR(VALUE(SUBSTITUTE(SUBSTITUTE(Raw_Donors!O42,"$",""),",","")),0)</f>
        <v>0</v>
      </c>
      <c r="Q42" s="10" t="n">
        <f aca="false">IFERROR(VALUE(SUBSTITUTE(SUBSTITUTE(Raw_Donors!P42,"$",""),",","")),0)</f>
        <v>0</v>
      </c>
      <c r="R42" s="10" t="n">
        <f aca="false">Raw_Donors!Q42</f>
        <v>51</v>
      </c>
      <c r="S42" s="9" t="str">
        <f aca="false">Raw_Donors!R42</f>
        <v>Y</v>
      </c>
      <c r="T42" s="9" t="str">
        <f aca="false">IF(Raw_Donors!S42="","",Raw_Donors!S42)</f>
        <v/>
      </c>
      <c r="U42" s="9" t="str">
        <f aca="false">IF(AND((O42+P42)&gt;0,Q42=0),"Lapsed - Follow Up","")</f>
        <v/>
      </c>
      <c r="V42" s="9" t="n">
        <f aca="false">RANK(R42,$R$2:$R$759)+COUNTIF($R$2:R42,R42)-1</f>
        <v>361</v>
      </c>
      <c r="W42" s="9" t="str">
        <f aca="false">IF(U42="Lapsed - Follow Up",COUNTIF($U$2:U42,"Lapsed - Follow Up"),"")</f>
        <v/>
      </c>
    </row>
    <row r="43" customFormat="false" ht="15" hidden="false" customHeight="true" outlineLevel="0" collapsed="false">
      <c r="A43" s="9" t="str">
        <f aca="false">Raw_Donors!A43</f>
        <v>D1041</v>
      </c>
      <c r="B43" s="9" t="str">
        <f aca="false">IF(ISNUMBER(SEARCH("-DUP",A43)),"Duplicate ID","")</f>
        <v/>
      </c>
      <c r="C43" s="9" t="n">
        <f aca="false">Raw_Donors!B43</f>
        <v>17835</v>
      </c>
      <c r="D43" s="9" t="n">
        <f aca="false">Raw_Donors!C43</f>
        <v>34</v>
      </c>
      <c r="E43" s="9" t="str">
        <f aca="false">IFERROR(IF(Raw_Donors!D43="","Unknown",Raw_Donors!D43),"Unknown")</f>
        <v>Unknown</v>
      </c>
      <c r="F43" s="9" t="str">
        <f aca="false">IFERROR(IF(Raw_Donors!E43="","Unknown",Raw_Donors!E43),"Unknown")</f>
        <v>Female</v>
      </c>
      <c r="G43" s="9" t="str">
        <f aca="false">PROPER(TRIM(Raw_Donors!F43))</f>
        <v>Individual Donor</v>
      </c>
      <c r="H43" s="9" t="str">
        <f aca="false">IFERROR(IF(Raw_Donors!G43="","N",Raw_Donors!G43),"N")</f>
        <v>N</v>
      </c>
      <c r="I43" s="9" t="str">
        <f aca="false">IF(Raw_Donors!H43="","Not Rated",Raw_Donors!H43)</f>
        <v>Not Rated</v>
      </c>
      <c r="J43" s="9" t="str">
        <f aca="false">IF(TRIM(Raw_Donors!I43)="","Unknown",TRIM(Raw_Donors!I43))</f>
        <v>HOME</v>
      </c>
      <c r="K43" s="9" t="str">
        <f aca="false">Raw_Donors!J43</f>
        <v>N</v>
      </c>
      <c r="L43" s="9" t="n">
        <f aca="false">Raw_Donors!K43</f>
        <v>0</v>
      </c>
      <c r="M43" s="10" t="n">
        <f aca="false">IFERROR(VALUE(SUBSTITUTE(SUBSTITUTE(Raw_Donors!L43,"$",""),",","")),0)</f>
        <v>0</v>
      </c>
      <c r="N43" s="10" t="n">
        <f aca="false">IFERROR(VALUE(SUBSTITUTE(SUBSTITUTE(Raw_Donors!M43,"$",""),",","")),0)</f>
        <v>0</v>
      </c>
      <c r="O43" s="10" t="n">
        <f aca="false">IFERROR(VALUE(SUBSTITUTE(SUBSTITUTE(Raw_Donors!N43,"$",""),",","")),0)</f>
        <v>0</v>
      </c>
      <c r="P43" s="10" t="n">
        <f aca="false">IFERROR(VALUE(SUBSTITUTE(SUBSTITUTE(Raw_Donors!O43,"$",""),",","")),0)</f>
        <v>0</v>
      </c>
      <c r="Q43" s="10" t="n">
        <f aca="false">IFERROR(VALUE(SUBSTITUTE(SUBSTITUTE(Raw_Donors!P43,"$",""),",","")),0)</f>
        <v>0</v>
      </c>
      <c r="R43" s="10" t="n">
        <f aca="false">Raw_Donors!Q43</f>
        <v>0</v>
      </c>
      <c r="S43" s="9" t="str">
        <f aca="false">Raw_Donors!R43</f>
        <v>N</v>
      </c>
      <c r="T43" s="9" t="str">
        <f aca="false">IF(Raw_Donors!S43="","",Raw_Donors!S43)</f>
        <v>1983-09-22</v>
      </c>
      <c r="U43" s="9" t="str">
        <f aca="false">IF(AND((O43+P43)&gt;0,Q43=0),"Lapsed - Follow Up","")</f>
        <v/>
      </c>
      <c r="V43" s="9" t="n">
        <f aca="false">RANK(R43,$R$2:$R$759)+COUNTIF($R$2:R43,R43)-1</f>
        <v>570</v>
      </c>
      <c r="W43" s="9" t="str">
        <f aca="false">IF(U43="Lapsed - Follow Up",COUNTIF($U$2:U43,"Lapsed - Follow Up"),"")</f>
        <v/>
      </c>
    </row>
    <row r="44" customFormat="false" ht="15" hidden="false" customHeight="true" outlineLevel="0" collapsed="false">
      <c r="A44" s="9" t="str">
        <f aca="false">Raw_Donors!A44</f>
        <v>D1042</v>
      </c>
      <c r="B44" s="9" t="str">
        <f aca="false">IF(ISNUMBER(SEARCH("-DUP",A44)),"Duplicate ID","")</f>
        <v/>
      </c>
      <c r="C44" s="9" t="n">
        <f aca="false">Raw_Donors!B44</f>
        <v>46968</v>
      </c>
      <c r="D44" s="9" t="n">
        <f aca="false">Raw_Donors!C44</f>
        <v>43</v>
      </c>
      <c r="E44" s="9" t="str">
        <f aca="false">IFERROR(IF(Raw_Donors!D44="","Unknown",Raw_Donors!D44),"Unknown")</f>
        <v>Unknown</v>
      </c>
      <c r="F44" s="9" t="str">
        <f aca="false">IFERROR(IF(Raw_Donors!E44="","Unknown",Raw_Donors!E44),"Unknown")</f>
        <v>Male</v>
      </c>
      <c r="G44" s="9" t="str">
        <f aca="false">PROPER(TRIM(Raw_Donors!F44))</f>
        <v>Community Partner</v>
      </c>
      <c r="H44" s="9" t="str">
        <f aca="false">IFERROR(IF(Raw_Donors!G44="","N",Raw_Donors!G44),"N")</f>
        <v>Y</v>
      </c>
      <c r="I44" s="9" t="str">
        <f aca="false">IF(Raw_Donors!H44="","Not Rated",Raw_Donors!H44)</f>
        <v>Not Rated</v>
      </c>
      <c r="J44" s="9" t="str">
        <f aca="false">IF(TRIM(Raw_Donors!I44)="","Unknown",TRIM(Raw_Donors!I44))</f>
        <v>HOME</v>
      </c>
      <c r="K44" s="9" t="str">
        <f aca="false">Raw_Donors!J44</f>
        <v>Y</v>
      </c>
      <c r="L44" s="9" t="n">
        <f aca="false">Raw_Donors!K44</f>
        <v>1</v>
      </c>
      <c r="M44" s="10" t="n">
        <f aca="false">IFERROR(VALUE(SUBSTITUTE(SUBSTITUTE(Raw_Donors!L44,"$",""),",","")),0)</f>
        <v>0</v>
      </c>
      <c r="N44" s="10" t="n">
        <f aca="false">IFERROR(VALUE(SUBSTITUTE(SUBSTITUTE(Raw_Donors!M44,"$",""),",","")),0)</f>
        <v>0</v>
      </c>
      <c r="O44" s="10" t="n">
        <f aca="false">IFERROR(VALUE(SUBSTITUTE(SUBSTITUTE(Raw_Donors!N44,"$",""),",","")),0)</f>
        <v>0</v>
      </c>
      <c r="P44" s="10" t="n">
        <f aca="false">IFERROR(VALUE(SUBSTITUTE(SUBSTITUTE(Raw_Donors!O44,"$",""),",","")),0)</f>
        <v>0</v>
      </c>
      <c r="Q44" s="10" t="n">
        <f aca="false">IFERROR(VALUE(SUBSTITUTE(SUBSTITUTE(Raw_Donors!P44,"$",""),",","")),0)</f>
        <v>0</v>
      </c>
      <c r="R44" s="10" t="n">
        <f aca="false">Raw_Donors!Q44</f>
        <v>5</v>
      </c>
      <c r="S44" s="9" t="str">
        <f aca="false">Raw_Donors!R44</f>
        <v>Y</v>
      </c>
      <c r="T44" s="9" t="str">
        <f aca="false">IF(Raw_Donors!S44="","",Raw_Donors!S44)</f>
        <v>1974-12-19</v>
      </c>
      <c r="U44" s="9" t="str">
        <f aca="false">IF(AND((O44+P44)&gt;0,Q44=0),"Lapsed - Follow Up","")</f>
        <v/>
      </c>
      <c r="V44" s="9" t="n">
        <f aca="false">RANK(R44,$R$2:$R$759)+COUNTIF($R$2:R44,R44)-1</f>
        <v>513</v>
      </c>
      <c r="W44" s="9" t="str">
        <f aca="false">IF(U44="Lapsed - Follow Up",COUNTIF($U$2:U44,"Lapsed - Follow Up"),"")</f>
        <v/>
      </c>
    </row>
    <row r="45" customFormat="false" ht="15" hidden="false" customHeight="true" outlineLevel="0" collapsed="false">
      <c r="A45" s="9" t="str">
        <f aca="false">Raw_Donors!A45</f>
        <v>D1043</v>
      </c>
      <c r="B45" s="9" t="str">
        <f aca="false">IF(ISNUMBER(SEARCH("-DUP",A45)),"Duplicate ID","")</f>
        <v/>
      </c>
      <c r="C45" s="9" t="n">
        <f aca="false">Raw_Donors!B45</f>
        <v>6439</v>
      </c>
      <c r="D45" s="9" t="n">
        <f aca="false">Raw_Donors!C45</f>
        <v>0</v>
      </c>
      <c r="E45" s="9" t="str">
        <f aca="false">IFERROR(IF(Raw_Donors!D45="","Unknown",Raw_Donors!D45),"Unknown")</f>
        <v>Single</v>
      </c>
      <c r="F45" s="9" t="str">
        <f aca="false">IFERROR(IF(Raw_Donors!E45="","Unknown",Raw_Donors!E45),"Unknown")</f>
        <v>Female</v>
      </c>
      <c r="G45" s="9" t="str">
        <f aca="false">PROPER(TRIM(Raw_Donors!F45))</f>
        <v>Individual Donor</v>
      </c>
      <c r="H45" s="9" t="str">
        <f aca="false">IFERROR(IF(Raw_Donors!G45="","N",Raw_Donors!G45),"N")</f>
        <v>N</v>
      </c>
      <c r="I45" s="9" t="str">
        <f aca="false">IF(Raw_Donors!H45="","Not Rated",Raw_Donors!H45)</f>
        <v>Not Rated</v>
      </c>
      <c r="J45" s="9" t="str">
        <f aca="false">IF(TRIM(Raw_Donors!I45)="","Unknown",TRIM(Raw_Donors!I45))</f>
        <v>HOME</v>
      </c>
      <c r="K45" s="9" t="str">
        <f aca="false">Raw_Donors!J45</f>
        <v>N</v>
      </c>
      <c r="L45" s="9" t="n">
        <f aca="false">Raw_Donors!K45</f>
        <v>1</v>
      </c>
      <c r="M45" s="10" t="n">
        <f aca="false">IFERROR(VALUE(SUBSTITUTE(SUBSTITUTE(Raw_Donors!L45,"$",""),",","")),0)</f>
        <v>20</v>
      </c>
      <c r="N45" s="10" t="n">
        <f aca="false">IFERROR(VALUE(SUBSTITUTE(SUBSTITUTE(Raw_Donors!M45,"$",""),",","")),0)</f>
        <v>0</v>
      </c>
      <c r="O45" s="10" t="n">
        <f aca="false">IFERROR(VALUE(SUBSTITUTE(SUBSTITUTE(Raw_Donors!N45,"$",""),",","")),0)</f>
        <v>0</v>
      </c>
      <c r="P45" s="10" t="n">
        <f aca="false">IFERROR(VALUE(SUBSTITUTE(SUBSTITUTE(Raw_Donors!O45,"$",""),",","")),0)</f>
        <v>0</v>
      </c>
      <c r="Q45" s="10" t="n">
        <f aca="false">IFERROR(VALUE(SUBSTITUTE(SUBSTITUTE(Raw_Donors!P45,"$",""),",","")),0)</f>
        <v>0</v>
      </c>
      <c r="R45" s="10" t="n">
        <f aca="false">Raw_Donors!Q45</f>
        <v>845</v>
      </c>
      <c r="S45" s="9" t="str">
        <f aca="false">Raw_Donors!R45</f>
        <v>Y</v>
      </c>
      <c r="T45" s="9" t="str">
        <f aca="false">IF(Raw_Donors!S45="","",Raw_Donors!S45)</f>
        <v/>
      </c>
      <c r="U45" s="9" t="str">
        <f aca="false">IF(AND((O45+P45)&gt;0,Q45=0),"Lapsed - Follow Up","")</f>
        <v/>
      </c>
      <c r="V45" s="9" t="n">
        <f aca="false">RANK(R45,$R$2:$R$759)+COUNTIF($R$2:R45,R45)-1</f>
        <v>65</v>
      </c>
      <c r="W45" s="9" t="str">
        <f aca="false">IF(U45="Lapsed - Follow Up",COUNTIF($U$2:U45,"Lapsed - Follow Up"),"")</f>
        <v/>
      </c>
    </row>
    <row r="46" customFormat="false" ht="15" hidden="false" customHeight="true" outlineLevel="0" collapsed="false">
      <c r="A46" s="9" t="str">
        <f aca="false">Raw_Donors!A46</f>
        <v>D1044</v>
      </c>
      <c r="B46" s="9" t="str">
        <f aca="false">IF(ISNUMBER(SEARCH("-DUP",A46)),"Duplicate ID","")</f>
        <v/>
      </c>
      <c r="C46" s="9" t="n">
        <f aca="false">Raw_Donors!B46</f>
        <v>94246</v>
      </c>
      <c r="D46" s="9" t="n">
        <f aca="false">Raw_Donors!C46</f>
        <v>0</v>
      </c>
      <c r="E46" s="9" t="str">
        <f aca="false">IFERROR(IF(Raw_Donors!D46="","Unknown",Raw_Donors!D46),"Unknown")</f>
        <v>Unknown</v>
      </c>
      <c r="F46" s="9" t="str">
        <f aca="false">IFERROR(IF(Raw_Donors!E46="","Unknown",Raw_Donors!E46),"Unknown")</f>
        <v>Female</v>
      </c>
      <c r="G46" s="9" t="str">
        <f aca="false">PROPER(TRIM(Raw_Donors!F46))</f>
        <v>Community Partner</v>
      </c>
      <c r="H46" s="9" t="str">
        <f aca="false">IFERROR(IF(Raw_Donors!G46="","N",Raw_Donors!G46),"N")</f>
        <v>Y</v>
      </c>
      <c r="I46" s="9" t="str">
        <f aca="false">IF(Raw_Donors!H46="","Not Rated",Raw_Donors!H46)</f>
        <v>Not Rated</v>
      </c>
      <c r="J46" s="9" t="str">
        <f aca="false">IF(TRIM(Raw_Donors!I46)="","Unknown",TRIM(Raw_Donors!I46))</f>
        <v>HOME</v>
      </c>
      <c r="K46" s="9" t="str">
        <f aca="false">Raw_Donors!J46</f>
        <v>Y</v>
      </c>
      <c r="L46" s="9" t="n">
        <f aca="false">Raw_Donors!K46</f>
        <v>0</v>
      </c>
      <c r="M46" s="10" t="n">
        <f aca="false">IFERROR(VALUE(SUBSTITUTE(SUBSTITUTE(Raw_Donors!L46,"$",""),",","")),0)</f>
        <v>0</v>
      </c>
      <c r="N46" s="10" t="n">
        <f aca="false">IFERROR(VALUE(SUBSTITUTE(SUBSTITUTE(Raw_Donors!M46,"$",""),",","")),0)</f>
        <v>0</v>
      </c>
      <c r="O46" s="10" t="n">
        <f aca="false">IFERROR(VALUE(SUBSTITUTE(SUBSTITUTE(Raw_Donors!N46,"$",""),",","")),0)</f>
        <v>0</v>
      </c>
      <c r="P46" s="10" t="n">
        <f aca="false">IFERROR(VALUE(SUBSTITUTE(SUBSTITUTE(Raw_Donors!O46,"$",""),",","")),0)</f>
        <v>80</v>
      </c>
      <c r="Q46" s="10" t="n">
        <f aca="false">IFERROR(VALUE(SUBSTITUTE(SUBSTITUTE(Raw_Donors!P46,"$",""),",","")),0)</f>
        <v>0</v>
      </c>
      <c r="R46" s="10" t="n">
        <f aca="false">Raw_Donors!Q46</f>
        <v>180</v>
      </c>
      <c r="S46" s="9" t="str">
        <f aca="false">Raw_Donors!R46</f>
        <v>Y</v>
      </c>
      <c r="T46" s="9" t="str">
        <f aca="false">IF(Raw_Donors!S46="","",Raw_Donors!S46)</f>
        <v/>
      </c>
      <c r="U46" s="9" t="str">
        <f aca="false">IF(AND((O46+P46)&gt;0,Q46=0),"Lapsed - Follow Up","")</f>
        <v>Lapsed - Follow Up</v>
      </c>
      <c r="V46" s="9" t="n">
        <f aca="false">RANK(R46,$R$2:$R$759)+COUNTIF($R$2:R46,R46)-1</f>
        <v>209</v>
      </c>
      <c r="W46" s="9" t="n">
        <f aca="false">IF(U46="Lapsed - Follow Up",COUNTIF($U$2:U46,"Lapsed - Follow Up"),"")</f>
        <v>8</v>
      </c>
    </row>
    <row r="47" customFormat="false" ht="15" hidden="false" customHeight="true" outlineLevel="0" collapsed="false">
      <c r="A47" s="9" t="str">
        <f aca="false">Raw_Donors!A47</f>
        <v>D1045</v>
      </c>
      <c r="B47" s="9" t="str">
        <f aca="false">IF(ISNUMBER(SEARCH("-DUP",A47)),"Duplicate ID","")</f>
        <v/>
      </c>
      <c r="C47" s="9" t="n">
        <f aca="false">Raw_Donors!B47</f>
        <v>19961</v>
      </c>
      <c r="D47" s="9" t="n">
        <f aca="false">Raw_Donors!C47</f>
        <v>0</v>
      </c>
      <c r="E47" s="9" t="str">
        <f aca="false">IFERROR(IF(Raw_Donors!D47="","Unknown",Raw_Donors!D47),"Unknown")</f>
        <v>Married</v>
      </c>
      <c r="F47" s="9" t="str">
        <f aca="false">IFERROR(IF(Raw_Donors!E47="","Unknown",Raw_Donors!E47),"Unknown")</f>
        <v>Male</v>
      </c>
      <c r="G47" s="9" t="str">
        <f aca="false">PROPER(TRIM(Raw_Donors!F47))</f>
        <v>Individual Donor</v>
      </c>
      <c r="H47" s="9" t="str">
        <f aca="false">IFERROR(IF(Raw_Donors!G47="","N",Raw_Donors!G47),"N")</f>
        <v>N</v>
      </c>
      <c r="I47" s="9" t="str">
        <f aca="false">IF(Raw_Donors!H47="","Not Rated",Raw_Donors!H47)</f>
        <v>Not Rated</v>
      </c>
      <c r="J47" s="9" t="str">
        <f aca="false">IF(TRIM(Raw_Donors!I47)="","Unknown",TRIM(Raw_Donors!I47))</f>
        <v>HOME</v>
      </c>
      <c r="K47" s="9" t="str">
        <f aca="false">Raw_Donors!J47</f>
        <v>N</v>
      </c>
      <c r="L47" s="9" t="n">
        <f aca="false">Raw_Donors!K47</f>
        <v>10</v>
      </c>
      <c r="M47" s="10" t="n">
        <f aca="false">IFERROR(VALUE(SUBSTITUTE(SUBSTITUTE(Raw_Donors!L47,"$",""),",","")),0)</f>
        <v>1000</v>
      </c>
      <c r="N47" s="10" t="n">
        <f aca="false">IFERROR(VALUE(SUBSTITUTE(SUBSTITUTE(Raw_Donors!M47,"$",""),",","")),0)</f>
        <v>0</v>
      </c>
      <c r="O47" s="10" t="n">
        <f aca="false">IFERROR(VALUE(SUBSTITUTE(SUBSTITUTE(Raw_Donors!N47,"$",""),",","")),0)</f>
        <v>0</v>
      </c>
      <c r="P47" s="10" t="n">
        <f aca="false">IFERROR(VALUE(SUBSTITUTE(SUBSTITUTE(Raw_Donors!O47,"$",""),",","")),0)</f>
        <v>0</v>
      </c>
      <c r="Q47" s="10" t="n">
        <f aca="false">IFERROR(VALUE(SUBSTITUTE(SUBSTITUTE(Raw_Donors!P47,"$",""),",","")),0)</f>
        <v>0</v>
      </c>
      <c r="R47" s="10" t="n">
        <f aca="false">Raw_Donors!Q47</f>
        <v>2400</v>
      </c>
      <c r="S47" s="9" t="str">
        <f aca="false">Raw_Donors!R47</f>
        <v>Y</v>
      </c>
      <c r="T47" s="9" t="str">
        <f aca="false">IF(Raw_Donors!S47="","",Raw_Donors!S47)</f>
        <v/>
      </c>
      <c r="U47" s="9" t="str">
        <f aca="false">IF(AND((O47+P47)&gt;0,Q47=0),"Lapsed - Follow Up","")</f>
        <v/>
      </c>
      <c r="V47" s="9" t="n">
        <f aca="false">RANK(R47,$R$2:$R$759)+COUNTIF($R$2:R47,R47)-1</f>
        <v>24</v>
      </c>
      <c r="W47" s="9" t="str">
        <f aca="false">IF(U47="Lapsed - Follow Up",COUNTIF($U$2:U47,"Lapsed - Follow Up"),"")</f>
        <v/>
      </c>
    </row>
    <row r="48" customFormat="false" ht="15" hidden="false" customHeight="true" outlineLevel="0" collapsed="false">
      <c r="A48" s="9" t="str">
        <f aca="false">Raw_Donors!A48</f>
        <v>D1046</v>
      </c>
      <c r="B48" s="9" t="str">
        <f aca="false">IF(ISNUMBER(SEARCH("-DUP",A48)),"Duplicate ID","")</f>
        <v/>
      </c>
      <c r="C48" s="9" t="n">
        <f aca="false">Raw_Donors!B48</f>
        <v>90265</v>
      </c>
      <c r="D48" s="9" t="n">
        <f aca="false">Raw_Donors!C48</f>
        <v>0</v>
      </c>
      <c r="E48" s="9" t="str">
        <f aca="false">IFERROR(IF(Raw_Donors!D48="","Unknown",Raw_Donors!D48),"Unknown")</f>
        <v>Married</v>
      </c>
      <c r="F48" s="9" t="str">
        <f aca="false">IFERROR(IF(Raw_Donors!E48="","Unknown",Raw_Donors!E48),"Unknown")</f>
        <v>Female</v>
      </c>
      <c r="G48" s="9" t="str">
        <f aca="false">PROPER(TRIM(Raw_Donors!F48))</f>
        <v>Family Donor</v>
      </c>
      <c r="H48" s="9" t="str">
        <f aca="false">IFERROR(IF(Raw_Donors!G48="","N",Raw_Donors!G48),"N")</f>
        <v>N</v>
      </c>
      <c r="I48" s="9" t="str">
        <f aca="false">IF(Raw_Donors!H48="","Not Rated",Raw_Donors!H48)</f>
        <v>Not Rated</v>
      </c>
      <c r="J48" s="9" t="str">
        <f aca="false">IF(TRIM(Raw_Donors!I48)="","Unknown",TRIM(Raw_Donors!I48))</f>
        <v>HOME</v>
      </c>
      <c r="K48" s="9" t="str">
        <f aca="false">Raw_Donors!J48</f>
        <v>Y</v>
      </c>
      <c r="L48" s="9" t="n">
        <f aca="false">Raw_Donors!K48</f>
        <v>1</v>
      </c>
      <c r="M48" s="10" t="n">
        <f aca="false">IFERROR(VALUE(SUBSTITUTE(SUBSTITUTE(Raw_Donors!L48,"$",""),",","")),0)</f>
        <v>0</v>
      </c>
      <c r="N48" s="10" t="n">
        <f aca="false">IFERROR(VALUE(SUBSTITUTE(SUBSTITUTE(Raw_Donors!M48,"$",""),",","")),0)</f>
        <v>0</v>
      </c>
      <c r="O48" s="10" t="n">
        <f aca="false">IFERROR(VALUE(SUBSTITUTE(SUBSTITUTE(Raw_Donors!N48,"$",""),",","")),0)</f>
        <v>10000</v>
      </c>
      <c r="P48" s="10" t="n">
        <f aca="false">IFERROR(VALUE(SUBSTITUTE(SUBSTITUTE(Raw_Donors!O48,"$",""),",","")),0)</f>
        <v>0</v>
      </c>
      <c r="Q48" s="10" t="n">
        <f aca="false">IFERROR(VALUE(SUBSTITUTE(SUBSTITUTE(Raw_Donors!P48,"$",""),",","")),0)</f>
        <v>0</v>
      </c>
      <c r="R48" s="10" t="n">
        <f aca="false">Raw_Donors!Q48</f>
        <v>10000</v>
      </c>
      <c r="S48" s="9" t="str">
        <f aca="false">Raw_Donors!R48</f>
        <v>Y</v>
      </c>
      <c r="T48" s="9" t="str">
        <f aca="false">IF(Raw_Donors!S48="","",Raw_Donors!S48)</f>
        <v/>
      </c>
      <c r="U48" s="9" t="str">
        <f aca="false">IF(AND((O48+P48)&gt;0,Q48=0),"Lapsed - Follow Up","")</f>
        <v>Lapsed - Follow Up</v>
      </c>
      <c r="V48" s="9" t="n">
        <f aca="false">RANK(R48,$R$2:$R$759)+COUNTIF($R$2:R48,R48)-1</f>
        <v>9</v>
      </c>
      <c r="W48" s="9" t="n">
        <f aca="false">IF(U48="Lapsed - Follow Up",COUNTIF($U$2:U48,"Lapsed - Follow Up"),"")</f>
        <v>9</v>
      </c>
    </row>
    <row r="49" customFormat="false" ht="15" hidden="false" customHeight="true" outlineLevel="0" collapsed="false">
      <c r="A49" s="9" t="str">
        <f aca="false">Raw_Donors!A49</f>
        <v>D1047</v>
      </c>
      <c r="B49" s="9" t="str">
        <f aca="false">IF(ISNUMBER(SEARCH("-DUP",A49)),"Duplicate ID","")</f>
        <v/>
      </c>
      <c r="C49" s="9" t="n">
        <f aca="false">Raw_Donors!B49</f>
        <v>24829</v>
      </c>
      <c r="D49" s="9" t="n">
        <f aca="false">Raw_Donors!C49</f>
        <v>0</v>
      </c>
      <c r="E49" s="9" t="str">
        <f aca="false">IFERROR(IF(Raw_Donors!D49="","Unknown",Raw_Donors!D49),"Unknown")</f>
        <v>Unknown</v>
      </c>
      <c r="F49" s="9" t="str">
        <f aca="false">IFERROR(IF(Raw_Donors!E49="","Unknown",Raw_Donors!E49),"Unknown")</f>
        <v>Male</v>
      </c>
      <c r="G49" s="9" t="str">
        <f aca="false">PROPER(TRIM(Raw_Donors!F49))</f>
        <v>Individual Donor</v>
      </c>
      <c r="H49" s="9" t="str">
        <f aca="false">IFERROR(IF(Raw_Donors!G49="","N",Raw_Donors!G49),"N")</f>
        <v>N</v>
      </c>
      <c r="I49" s="9" t="str">
        <f aca="false">IF(Raw_Donors!H49="","Not Rated",Raw_Donors!H49)</f>
        <v>Not Rated</v>
      </c>
      <c r="J49" s="9" t="str">
        <f aca="false">IF(TRIM(Raw_Donors!I49)="","Unknown",TRIM(Raw_Donors!I49))</f>
        <v>HOME</v>
      </c>
      <c r="K49" s="9" t="str">
        <f aca="false">Raw_Donors!J49</f>
        <v>N</v>
      </c>
      <c r="L49" s="9" t="n">
        <f aca="false">Raw_Donors!K49</f>
        <v>3</v>
      </c>
      <c r="M49" s="10" t="n">
        <f aca="false">IFERROR(VALUE(SUBSTITUTE(SUBSTITUTE(Raw_Donors!L49,"$",""),",","")),0)</f>
        <v>0</v>
      </c>
      <c r="N49" s="10" t="n">
        <f aca="false">IFERROR(VALUE(SUBSTITUTE(SUBSTITUTE(Raw_Donors!M49,"$",""),",","")),0)</f>
        <v>200</v>
      </c>
      <c r="O49" s="10" t="n">
        <f aca="false">IFERROR(VALUE(SUBSTITUTE(SUBSTITUTE(Raw_Donors!N49,"$",""),",","")),0)</f>
        <v>0</v>
      </c>
      <c r="P49" s="10" t="n">
        <f aca="false">IFERROR(VALUE(SUBSTITUTE(SUBSTITUTE(Raw_Donors!O49,"$",""),",","")),0)</f>
        <v>1000</v>
      </c>
      <c r="Q49" s="10" t="n">
        <f aca="false">IFERROR(VALUE(SUBSTITUTE(SUBSTITUTE(Raw_Donors!P49,"$",""),",","")),0)</f>
        <v>0</v>
      </c>
      <c r="R49" s="10" t="n">
        <f aca="false">Raw_Donors!Q49</f>
        <v>1200</v>
      </c>
      <c r="S49" s="9" t="str">
        <f aca="false">Raw_Donors!R49</f>
        <v>Y</v>
      </c>
      <c r="T49" s="9" t="str">
        <f aca="false">IF(Raw_Donors!S49="","",Raw_Donors!S49)</f>
        <v/>
      </c>
      <c r="U49" s="9" t="str">
        <f aca="false">IF(AND((O49+P49)&gt;0,Q49=0),"Lapsed - Follow Up","")</f>
        <v>Lapsed - Follow Up</v>
      </c>
      <c r="V49" s="9" t="n">
        <f aca="false">RANK(R49,$R$2:$R$759)+COUNTIF($R$2:R49,R49)-1</f>
        <v>47</v>
      </c>
      <c r="W49" s="9" t="n">
        <f aca="false">IF(U49="Lapsed - Follow Up",COUNTIF($U$2:U49,"Lapsed - Follow Up"),"")</f>
        <v>10</v>
      </c>
    </row>
    <row r="50" customFormat="false" ht="15" hidden="false" customHeight="true" outlineLevel="0" collapsed="false">
      <c r="A50" s="9" t="str">
        <f aca="false">Raw_Donors!A50</f>
        <v>D1048</v>
      </c>
      <c r="B50" s="9" t="str">
        <f aca="false">IF(ISNUMBER(SEARCH("-DUP",A50)),"Duplicate ID","")</f>
        <v/>
      </c>
      <c r="C50" s="9" t="n">
        <f aca="false">Raw_Donors!B50</f>
        <v>80270</v>
      </c>
      <c r="D50" s="9" t="n">
        <f aca="false">Raw_Donors!C50</f>
        <v>33</v>
      </c>
      <c r="E50" s="9" t="str">
        <f aca="false">IFERROR(IF(Raw_Donors!D50="","Unknown",Raw_Donors!D50),"Unknown")</f>
        <v>Unknown</v>
      </c>
      <c r="F50" s="9" t="str">
        <f aca="false">IFERROR(IF(Raw_Donors!E50="","Unknown",Raw_Donors!E50),"Unknown")</f>
        <v>Female</v>
      </c>
      <c r="G50" s="9" t="str">
        <f aca="false">PROPER(TRIM(Raw_Donors!F50))</f>
        <v>Community Partner</v>
      </c>
      <c r="H50" s="9" t="str">
        <f aca="false">IFERROR(IF(Raw_Donors!G50="","N",Raw_Donors!G50),"N")</f>
        <v>Y</v>
      </c>
      <c r="I50" s="9" t="str">
        <f aca="false">IF(Raw_Donors!H50="","Not Rated",Raw_Donors!H50)</f>
        <v>Not Rated</v>
      </c>
      <c r="J50" s="9" t="str">
        <f aca="false">IF(TRIM(Raw_Donors!I50)="","Unknown",TRIM(Raw_Donors!I50))</f>
        <v>HOME</v>
      </c>
      <c r="K50" s="9" t="str">
        <f aca="false">Raw_Donors!J50</f>
        <v>Y</v>
      </c>
      <c r="L50" s="9" t="n">
        <f aca="false">Raw_Donors!K50</f>
        <v>1</v>
      </c>
      <c r="M50" s="10" t="n">
        <f aca="false">IFERROR(VALUE(SUBSTITUTE(SUBSTITUTE(Raw_Donors!L50,"$",""),",","")),0)</f>
        <v>0</v>
      </c>
      <c r="N50" s="10" t="n">
        <f aca="false">IFERROR(VALUE(SUBSTITUTE(SUBSTITUTE(Raw_Donors!M50,"$",""),",","")),0)</f>
        <v>0</v>
      </c>
      <c r="O50" s="10" t="n">
        <f aca="false">IFERROR(VALUE(SUBSTITUTE(SUBSTITUTE(Raw_Donors!N50,"$",""),",","")),0)</f>
        <v>0</v>
      </c>
      <c r="P50" s="10" t="n">
        <f aca="false">IFERROR(VALUE(SUBSTITUTE(SUBSTITUTE(Raw_Donors!O50,"$",""),",","")),0)</f>
        <v>0</v>
      </c>
      <c r="Q50" s="10" t="n">
        <f aca="false">IFERROR(VALUE(SUBSTITUTE(SUBSTITUTE(Raw_Donors!P50,"$",""),",","")),0)</f>
        <v>0</v>
      </c>
      <c r="R50" s="10" t="n">
        <f aca="false">Raw_Donors!Q50</f>
        <v>25</v>
      </c>
      <c r="S50" s="9" t="str">
        <f aca="false">Raw_Donors!R50</f>
        <v>Y</v>
      </c>
      <c r="T50" s="9" t="str">
        <f aca="false">IF(Raw_Donors!S50="","",Raw_Donors!S50)</f>
        <v>1984-08-05</v>
      </c>
      <c r="U50" s="9" t="str">
        <f aca="false">IF(AND((O50+P50)&gt;0,Q50=0),"Lapsed - Follow Up","")</f>
        <v/>
      </c>
      <c r="V50" s="9" t="n">
        <f aca="false">RANK(R50,$R$2:$R$759)+COUNTIF($R$2:R50,R50)-1</f>
        <v>428</v>
      </c>
      <c r="W50" s="9" t="str">
        <f aca="false">IF(U50="Lapsed - Follow Up",COUNTIF($U$2:U50,"Lapsed - Follow Up"),"")</f>
        <v/>
      </c>
    </row>
    <row r="51" customFormat="false" ht="15" hidden="false" customHeight="true" outlineLevel="0" collapsed="false">
      <c r="A51" s="9" t="str">
        <f aca="false">Raw_Donors!A51</f>
        <v>D1049</v>
      </c>
      <c r="B51" s="9" t="str">
        <f aca="false">IF(ISNUMBER(SEARCH("-DUP",A51)),"Duplicate ID","")</f>
        <v/>
      </c>
      <c r="C51" s="9" t="n">
        <f aca="false">Raw_Donors!B51</f>
        <v>85920</v>
      </c>
      <c r="D51" s="9" t="n">
        <f aca="false">Raw_Donors!C51</f>
        <v>30</v>
      </c>
      <c r="E51" s="9" t="str">
        <f aca="false">IFERROR(IF(Raw_Donors!D51="","Unknown",Raw_Donors!D51),"Unknown")</f>
        <v>Unknown</v>
      </c>
      <c r="F51" s="9" t="str">
        <f aca="false">IFERROR(IF(Raw_Donors!E51="","Unknown",Raw_Donors!E51),"Unknown")</f>
        <v>Male</v>
      </c>
      <c r="G51" s="9" t="str">
        <f aca="false">PROPER(TRIM(Raw_Donors!F51))</f>
        <v>Community Partner</v>
      </c>
      <c r="H51" s="9" t="str">
        <f aca="false">IFERROR(IF(Raw_Donors!G51="","N",Raw_Donors!G51),"N")</f>
        <v>Y</v>
      </c>
      <c r="I51" s="9" t="str">
        <f aca="false">IF(Raw_Donors!H51="","Not Rated",Raw_Donors!H51)</f>
        <v>Not Rated</v>
      </c>
      <c r="J51" s="9" t="str">
        <f aca="false">IF(TRIM(Raw_Donors!I51)="","Unknown",TRIM(Raw_Donors!I51))</f>
        <v>HOME</v>
      </c>
      <c r="K51" s="9" t="str">
        <f aca="false">Raw_Donors!J51</f>
        <v>Y</v>
      </c>
      <c r="L51" s="9" t="n">
        <f aca="false">Raw_Donors!K51</f>
        <v>1</v>
      </c>
      <c r="M51" s="10" t="n">
        <f aca="false">IFERROR(VALUE(SUBSTITUTE(SUBSTITUTE(Raw_Donors!L51,"$",""),",","")),0)</f>
        <v>0</v>
      </c>
      <c r="N51" s="10" t="n">
        <f aca="false">IFERROR(VALUE(SUBSTITUTE(SUBSTITUTE(Raw_Donors!M51,"$",""),",","")),0)</f>
        <v>0</v>
      </c>
      <c r="O51" s="10" t="n">
        <f aca="false">IFERROR(VALUE(SUBSTITUTE(SUBSTITUTE(Raw_Donors!N51,"$",""),",","")),0)</f>
        <v>0</v>
      </c>
      <c r="P51" s="10" t="n">
        <f aca="false">IFERROR(VALUE(SUBSTITUTE(SUBSTITUTE(Raw_Donors!O51,"$",""),",","")),0)</f>
        <v>0</v>
      </c>
      <c r="Q51" s="10" t="n">
        <f aca="false">IFERROR(VALUE(SUBSTITUTE(SUBSTITUTE(Raw_Donors!P51,"$",""),",","")),0)</f>
        <v>0</v>
      </c>
      <c r="R51" s="10" t="n">
        <f aca="false">Raw_Donors!Q51</f>
        <v>580</v>
      </c>
      <c r="S51" s="9" t="str">
        <f aca="false">Raw_Donors!R51</f>
        <v>Y</v>
      </c>
      <c r="T51" s="9" t="str">
        <f aca="false">IF(Raw_Donors!S51="","",Raw_Donors!S51)</f>
        <v>1987-09-01</v>
      </c>
      <c r="U51" s="9" t="str">
        <f aca="false">IF(AND((O51+P51)&gt;0,Q51=0),"Lapsed - Follow Up","")</f>
        <v/>
      </c>
      <c r="V51" s="9" t="n">
        <f aca="false">RANK(R51,$R$2:$R$759)+COUNTIF($R$2:R51,R51)-1</f>
        <v>81</v>
      </c>
      <c r="W51" s="9" t="str">
        <f aca="false">IF(U51="Lapsed - Follow Up",COUNTIF($U$2:U51,"Lapsed - Follow Up"),"")</f>
        <v/>
      </c>
    </row>
    <row r="52" customFormat="false" ht="15" hidden="false" customHeight="true" outlineLevel="0" collapsed="false">
      <c r="A52" s="9" t="str">
        <f aca="false">Raw_Donors!A52</f>
        <v>D1050</v>
      </c>
      <c r="B52" s="9" t="str">
        <f aca="false">IF(ISNUMBER(SEARCH("-DUP",A52)),"Duplicate ID","")</f>
        <v/>
      </c>
      <c r="C52" s="9" t="n">
        <f aca="false">Raw_Donors!B52</f>
        <v>5673</v>
      </c>
      <c r="D52" s="9" t="n">
        <f aca="false">Raw_Donors!C52</f>
        <v>0</v>
      </c>
      <c r="E52" s="9" t="str">
        <f aca="false">IFERROR(IF(Raw_Donors!D52="","Unknown",Raw_Donors!D52),"Unknown")</f>
        <v>Unknown</v>
      </c>
      <c r="F52" s="9" t="str">
        <f aca="false">IFERROR(IF(Raw_Donors!E52="","Unknown",Raw_Donors!E52),"Unknown")</f>
        <v>Female</v>
      </c>
      <c r="G52" s="9" t="str">
        <f aca="false">PROPER(TRIM(Raw_Donors!F52))</f>
        <v>Community Partner</v>
      </c>
      <c r="H52" s="9" t="str">
        <f aca="false">IFERROR(IF(Raw_Donors!G52="","N",Raw_Donors!G52),"N")</f>
        <v>N</v>
      </c>
      <c r="I52" s="9" t="str">
        <f aca="false">IF(Raw_Donors!H52="","Not Rated",Raw_Donors!H52)</f>
        <v>Not Rated</v>
      </c>
      <c r="J52" s="9" t="str">
        <f aca="false">IF(TRIM(Raw_Donors!I52)="","Unknown",TRIM(Raw_Donors!I52))</f>
        <v>HOME</v>
      </c>
      <c r="K52" s="9" t="str">
        <f aca="false">Raw_Donors!J52</f>
        <v>Y</v>
      </c>
      <c r="L52" s="9" t="n">
        <f aca="false">Raw_Donors!K52</f>
        <v>2</v>
      </c>
      <c r="M52" s="10" t="n">
        <f aca="false">IFERROR(VALUE(SUBSTITUTE(SUBSTITUTE(Raw_Donors!L52,"$",""),",","")),0)</f>
        <v>0</v>
      </c>
      <c r="N52" s="10" t="n">
        <f aca="false">IFERROR(VALUE(SUBSTITUTE(SUBSTITUTE(Raw_Donors!M52,"$",""),",","")),0)</f>
        <v>0</v>
      </c>
      <c r="O52" s="10" t="n">
        <f aca="false">IFERROR(VALUE(SUBSTITUTE(SUBSTITUTE(Raw_Donors!N52,"$",""),",","")),0)</f>
        <v>0</v>
      </c>
      <c r="P52" s="10" t="n">
        <f aca="false">IFERROR(VALUE(SUBSTITUTE(SUBSTITUTE(Raw_Donors!O52,"$",""),",","")),0)</f>
        <v>0</v>
      </c>
      <c r="Q52" s="10" t="n">
        <f aca="false">IFERROR(VALUE(SUBSTITUTE(SUBSTITUTE(Raw_Donors!P52,"$",""),",","")),0)</f>
        <v>0</v>
      </c>
      <c r="R52" s="10" t="n">
        <f aca="false">Raw_Donors!Q52</f>
        <v>325</v>
      </c>
      <c r="S52" s="9" t="str">
        <f aca="false">Raw_Donors!R52</f>
        <v>Y</v>
      </c>
      <c r="T52" s="9" t="str">
        <f aca="false">IF(Raw_Donors!S52="","",Raw_Donors!S52)</f>
        <v/>
      </c>
      <c r="U52" s="9" t="str">
        <f aca="false">IF(AND((O52+P52)&gt;0,Q52=0),"Lapsed - Follow Up","")</f>
        <v/>
      </c>
      <c r="V52" s="9" t="n">
        <f aca="false">RANK(R52,$R$2:$R$759)+COUNTIF($R$2:R52,R52)-1</f>
        <v>134</v>
      </c>
      <c r="W52" s="9" t="str">
        <f aca="false">IF(U52="Lapsed - Follow Up",COUNTIF($U$2:U52,"Lapsed - Follow Up"),"")</f>
        <v/>
      </c>
    </row>
    <row r="53" customFormat="false" ht="15" hidden="false" customHeight="true" outlineLevel="0" collapsed="false">
      <c r="A53" s="9" t="str">
        <f aca="false">Raw_Donors!A53</f>
        <v>D1051</v>
      </c>
      <c r="B53" s="9" t="str">
        <f aca="false">IF(ISNUMBER(SEARCH("-DUP",A53)),"Duplicate ID","")</f>
        <v/>
      </c>
      <c r="C53" s="9" t="n">
        <f aca="false">Raw_Donors!B53</f>
        <v>59856</v>
      </c>
      <c r="D53" s="9" t="n">
        <f aca="false">Raw_Donors!C53</f>
        <v>0</v>
      </c>
      <c r="E53" s="9" t="str">
        <f aca="false">IFERROR(IF(Raw_Donors!D53="","Unknown",Raw_Donors!D53),"Unknown")</f>
        <v>Unknown</v>
      </c>
      <c r="F53" s="9" t="str">
        <f aca="false">IFERROR(IF(Raw_Donors!E53="","Unknown",Raw_Donors!E53),"Unknown")</f>
        <v>Male</v>
      </c>
      <c r="G53" s="9" t="str">
        <f aca="false">PROPER(TRIM(Raw_Donors!F53))</f>
        <v>Community Partner</v>
      </c>
      <c r="H53" s="9" t="str">
        <f aca="false">IFERROR(IF(Raw_Donors!G53="","N",Raw_Donors!G53),"N")</f>
        <v>N</v>
      </c>
      <c r="I53" s="9" t="str">
        <f aca="false">IF(Raw_Donors!H53="","Not Rated",Raw_Donors!H53)</f>
        <v>Not Rated</v>
      </c>
      <c r="J53" s="9" t="str">
        <f aca="false">IF(TRIM(Raw_Donors!I53)="","Unknown",TRIM(Raw_Donors!I53))</f>
        <v>Unknown</v>
      </c>
      <c r="K53" s="9" t="str">
        <f aca="false">Raw_Donors!J53</f>
        <v>N</v>
      </c>
      <c r="L53" s="9" t="n">
        <f aca="false">Raw_Donors!K53</f>
        <v>0</v>
      </c>
      <c r="M53" s="10" t="n">
        <f aca="false">IFERROR(VALUE(SUBSTITUTE(SUBSTITUTE(Raw_Donors!L53,"$",""),",","")),0)</f>
        <v>0</v>
      </c>
      <c r="N53" s="10" t="n">
        <f aca="false">IFERROR(VALUE(SUBSTITUTE(SUBSTITUTE(Raw_Donors!M53,"$",""),",","")),0)</f>
        <v>0</v>
      </c>
      <c r="O53" s="10" t="n">
        <f aca="false">IFERROR(VALUE(SUBSTITUTE(SUBSTITUTE(Raw_Donors!N53,"$",""),",","")),0)</f>
        <v>0</v>
      </c>
      <c r="P53" s="10" t="n">
        <f aca="false">IFERROR(VALUE(SUBSTITUTE(SUBSTITUTE(Raw_Donors!O53,"$",""),",","")),0)</f>
        <v>0</v>
      </c>
      <c r="Q53" s="10" t="n">
        <f aca="false">IFERROR(VALUE(SUBSTITUTE(SUBSTITUTE(Raw_Donors!P53,"$",""),",","")),0)</f>
        <v>0</v>
      </c>
      <c r="R53" s="10" t="n">
        <f aca="false">Raw_Donors!Q53</f>
        <v>759</v>
      </c>
      <c r="S53" s="9" t="str">
        <f aca="false">Raw_Donors!R53</f>
        <v>Y</v>
      </c>
      <c r="T53" s="9" t="str">
        <f aca="false">IF(Raw_Donors!S53="","",Raw_Donors!S53)</f>
        <v/>
      </c>
      <c r="U53" s="9" t="str">
        <f aca="false">IF(AND((O53+P53)&gt;0,Q53=0),"Lapsed - Follow Up","")</f>
        <v/>
      </c>
      <c r="V53" s="9" t="n">
        <f aca="false">RANK(R53,$R$2:$R$759)+COUNTIF($R$2:R53,R53)-1</f>
        <v>68</v>
      </c>
      <c r="W53" s="9" t="str">
        <f aca="false">IF(U53="Lapsed - Follow Up",COUNTIF($U$2:U53,"Lapsed - Follow Up"),"")</f>
        <v/>
      </c>
    </row>
    <row r="54" customFormat="false" ht="15" hidden="false" customHeight="true" outlineLevel="0" collapsed="false">
      <c r="A54" s="9" t="str">
        <f aca="false">Raw_Donors!A54</f>
        <v>D1052</v>
      </c>
      <c r="B54" s="9" t="str">
        <f aca="false">IF(ISNUMBER(SEARCH("-DUP",A54)),"Duplicate ID","")</f>
        <v/>
      </c>
      <c r="C54" s="9" t="n">
        <f aca="false">Raw_Donors!B54</f>
        <v>77240</v>
      </c>
      <c r="D54" s="9" t="n">
        <f aca="false">Raw_Donors!C54</f>
        <v>0</v>
      </c>
      <c r="E54" s="9" t="str">
        <f aca="false">IFERROR(IF(Raw_Donors!D54="","Unknown",Raw_Donors!D54),"Unknown")</f>
        <v>Unknown</v>
      </c>
      <c r="F54" s="9" t="str">
        <f aca="false">IFERROR(IF(Raw_Donors!E54="","Unknown",Raw_Donors!E54),"Unknown")</f>
        <v>Male</v>
      </c>
      <c r="G54" s="9" t="str">
        <f aca="false">PROPER(TRIM(Raw_Donors!F54))</f>
        <v>Community Partner</v>
      </c>
      <c r="H54" s="9" t="str">
        <f aca="false">IFERROR(IF(Raw_Donors!G54="","N",Raw_Donors!G54),"N")</f>
        <v>N</v>
      </c>
      <c r="I54" s="9" t="str">
        <f aca="false">IF(Raw_Donors!H54="","Not Rated",Raw_Donors!H54)</f>
        <v>Not Rated</v>
      </c>
      <c r="J54" s="9" t="str">
        <f aca="false">IF(TRIM(Raw_Donors!I54)="","Unknown",TRIM(Raw_Donors!I54))</f>
        <v>HOME</v>
      </c>
      <c r="K54" s="9" t="str">
        <f aca="false">Raw_Donors!J54</f>
        <v>N</v>
      </c>
      <c r="L54" s="9" t="n">
        <f aca="false">Raw_Donors!K54</f>
        <v>1</v>
      </c>
      <c r="M54" s="10" t="n">
        <f aca="false">IFERROR(VALUE(SUBSTITUTE(SUBSTITUTE(Raw_Donors!L54,"$",""),",","")),0)</f>
        <v>0</v>
      </c>
      <c r="N54" s="10" t="n">
        <f aca="false">IFERROR(VALUE(SUBSTITUTE(SUBSTITUTE(Raw_Donors!M54,"$",""),",","")),0)</f>
        <v>0</v>
      </c>
      <c r="O54" s="10" t="n">
        <f aca="false">IFERROR(VALUE(SUBSTITUTE(SUBSTITUTE(Raw_Donors!N54,"$",""),",","")),0)</f>
        <v>90</v>
      </c>
      <c r="P54" s="10" t="n">
        <f aca="false">IFERROR(VALUE(SUBSTITUTE(SUBSTITUTE(Raw_Donors!O54,"$",""),",","")),0)</f>
        <v>90</v>
      </c>
      <c r="Q54" s="10" t="n">
        <f aca="false">IFERROR(VALUE(SUBSTITUTE(SUBSTITUTE(Raw_Donors!P54,"$",""),",","")),0)</f>
        <v>0</v>
      </c>
      <c r="R54" s="10" t="n">
        <f aca="false">Raw_Donors!Q54</f>
        <v>180</v>
      </c>
      <c r="S54" s="9" t="str">
        <f aca="false">Raw_Donors!R54</f>
        <v>Y</v>
      </c>
      <c r="T54" s="9" t="str">
        <f aca="false">IF(Raw_Donors!S54="","",Raw_Donors!S54)</f>
        <v/>
      </c>
      <c r="U54" s="9" t="str">
        <f aca="false">IF(AND((O54+P54)&gt;0,Q54=0),"Lapsed - Follow Up","")</f>
        <v>Lapsed - Follow Up</v>
      </c>
      <c r="V54" s="9" t="n">
        <f aca="false">RANK(R54,$R$2:$R$759)+COUNTIF($R$2:R54,R54)-1</f>
        <v>210</v>
      </c>
      <c r="W54" s="9" t="n">
        <f aca="false">IF(U54="Lapsed - Follow Up",COUNTIF($U$2:U54,"Lapsed - Follow Up"),"")</f>
        <v>11</v>
      </c>
    </row>
    <row r="55" customFormat="false" ht="15" hidden="false" customHeight="true" outlineLevel="0" collapsed="false">
      <c r="A55" s="9" t="str">
        <f aca="false">Raw_Donors!A55</f>
        <v>D1053</v>
      </c>
      <c r="B55" s="9" t="str">
        <f aca="false">IF(ISNUMBER(SEARCH("-DUP",A55)),"Duplicate ID","")</f>
        <v/>
      </c>
      <c r="C55" s="9" t="n">
        <f aca="false">Raw_Donors!B55</f>
        <v>50146</v>
      </c>
      <c r="D55" s="9" t="n">
        <f aca="false">Raw_Donors!C55</f>
        <v>0</v>
      </c>
      <c r="E55" s="9" t="str">
        <f aca="false">IFERROR(IF(Raw_Donors!D55="","Unknown",Raw_Donors!D55),"Unknown")</f>
        <v>Unknown</v>
      </c>
      <c r="F55" s="9" t="str">
        <f aca="false">IFERROR(IF(Raw_Donors!E55="","Unknown",Raw_Donors!E55),"Unknown")</f>
        <v>Male</v>
      </c>
      <c r="G55" s="9" t="str">
        <f aca="false">PROPER(TRIM(Raw_Donors!F55))</f>
        <v>Individual Donor</v>
      </c>
      <c r="H55" s="9" t="str">
        <f aca="false">IFERROR(IF(Raw_Donors!G55="","N",Raw_Donors!G55),"N")</f>
        <v>N</v>
      </c>
      <c r="I55" s="9" t="str">
        <f aca="false">IF(Raw_Donors!H55="","Not Rated",Raw_Donors!H55)</f>
        <v>$100,000-$249,999</v>
      </c>
      <c r="J55" s="9" t="str">
        <f aca="false">IF(TRIM(Raw_Donors!I55)="","Unknown",TRIM(Raw_Donors!I55))</f>
        <v>HOME</v>
      </c>
      <c r="K55" s="9" t="str">
        <f aca="false">Raw_Donors!J55</f>
        <v>N</v>
      </c>
      <c r="L55" s="9" t="n">
        <f aca="false">Raw_Donors!K55</f>
        <v>1</v>
      </c>
      <c r="M55" s="10" t="n">
        <f aca="false">IFERROR(VALUE(SUBSTITUTE(SUBSTITUTE(Raw_Donors!L55,"$",""),",","")),0)</f>
        <v>0</v>
      </c>
      <c r="N55" s="10" t="n">
        <f aca="false">IFERROR(VALUE(SUBSTITUTE(SUBSTITUTE(Raw_Donors!M55,"$",""),",","")),0)</f>
        <v>0</v>
      </c>
      <c r="O55" s="10" t="n">
        <f aca="false">IFERROR(VALUE(SUBSTITUTE(SUBSTITUTE(Raw_Donors!N55,"$",""),",","")),0)</f>
        <v>1</v>
      </c>
      <c r="P55" s="10" t="n">
        <f aca="false">IFERROR(VALUE(SUBSTITUTE(SUBSTITUTE(Raw_Donors!O55,"$",""),",","")),0)</f>
        <v>0</v>
      </c>
      <c r="Q55" s="10" t="n">
        <f aca="false">IFERROR(VALUE(SUBSTITUTE(SUBSTITUTE(Raw_Donors!P55,"$",""),",","")),0)</f>
        <v>0</v>
      </c>
      <c r="R55" s="10" t="n">
        <f aca="false">Raw_Donors!Q55</f>
        <v>1</v>
      </c>
      <c r="S55" s="9" t="str">
        <f aca="false">Raw_Donors!R55</f>
        <v>Y</v>
      </c>
      <c r="T55" s="9" t="str">
        <f aca="false">IF(Raw_Donors!S55="","",Raw_Donors!S55)</f>
        <v/>
      </c>
      <c r="U55" s="9" t="str">
        <f aca="false">IF(AND((O55+P55)&gt;0,Q55=0),"Lapsed - Follow Up","")</f>
        <v>Lapsed - Follow Up</v>
      </c>
      <c r="V55" s="9" t="n">
        <f aca="false">RANK(R55,$R$2:$R$759)+COUNTIF($R$2:R55,R55)-1</f>
        <v>529</v>
      </c>
      <c r="W55" s="9" t="n">
        <f aca="false">IF(U55="Lapsed - Follow Up",COUNTIF($U$2:U55,"Lapsed - Follow Up"),"")</f>
        <v>12</v>
      </c>
    </row>
    <row r="56" customFormat="false" ht="15" hidden="false" customHeight="true" outlineLevel="0" collapsed="false">
      <c r="A56" s="9" t="str">
        <f aca="false">Raw_Donors!A56</f>
        <v>D1054</v>
      </c>
      <c r="B56" s="9" t="str">
        <f aca="false">IF(ISNUMBER(SEARCH("-DUP",A56)),"Duplicate ID","")</f>
        <v/>
      </c>
      <c r="C56" s="9" t="n">
        <f aca="false">Raw_Donors!B56</f>
        <v>70722</v>
      </c>
      <c r="D56" s="9" t="n">
        <f aca="false">Raw_Donors!C56</f>
        <v>0</v>
      </c>
      <c r="E56" s="9" t="str">
        <f aca="false">IFERROR(IF(Raw_Donors!D56="","Unknown",Raw_Donors!D56),"Unknown")</f>
        <v>Unknown</v>
      </c>
      <c r="F56" s="9" t="str">
        <f aca="false">IFERROR(IF(Raw_Donors!E56="","Unknown",Raw_Donors!E56),"Unknown")</f>
        <v>Female</v>
      </c>
      <c r="G56" s="9" t="str">
        <f aca="false">PROPER(TRIM(Raw_Donors!F56))</f>
        <v>Individual Donor</v>
      </c>
      <c r="H56" s="9" t="str">
        <f aca="false">IFERROR(IF(Raw_Donors!G56="","N",Raw_Donors!G56),"N")</f>
        <v>N</v>
      </c>
      <c r="I56" s="9" t="str">
        <f aca="false">IF(Raw_Donors!H56="","Not Rated",Raw_Donors!H56)</f>
        <v>Not Rated</v>
      </c>
      <c r="J56" s="9" t="str">
        <f aca="false">IF(TRIM(Raw_Donors!I56)="","Unknown",TRIM(Raw_Donors!I56))</f>
        <v>HOME</v>
      </c>
      <c r="K56" s="9" t="str">
        <f aca="false">Raw_Donors!J56</f>
        <v>N</v>
      </c>
      <c r="L56" s="9" t="n">
        <f aca="false">Raw_Donors!K56</f>
        <v>1</v>
      </c>
      <c r="M56" s="10" t="n">
        <f aca="false">IFERROR(VALUE(SUBSTITUTE(SUBSTITUTE(Raw_Donors!L56,"$",""),",","")),0)</f>
        <v>0</v>
      </c>
      <c r="N56" s="10" t="n">
        <f aca="false">IFERROR(VALUE(SUBSTITUTE(SUBSTITUTE(Raw_Donors!M56,"$",""),",","")),0)</f>
        <v>0</v>
      </c>
      <c r="O56" s="10" t="n">
        <f aca="false">IFERROR(VALUE(SUBSTITUTE(SUBSTITUTE(Raw_Donors!N56,"$",""),",","")),0)</f>
        <v>0</v>
      </c>
      <c r="P56" s="10" t="n">
        <f aca="false">IFERROR(VALUE(SUBSTITUTE(SUBSTITUTE(Raw_Donors!O56,"$",""),",","")),0)</f>
        <v>0</v>
      </c>
      <c r="Q56" s="10" t="n">
        <f aca="false">IFERROR(VALUE(SUBSTITUTE(SUBSTITUTE(Raw_Donors!P56,"$",""),",","")),0)</f>
        <v>0</v>
      </c>
      <c r="R56" s="10" t="n">
        <f aca="false">Raw_Donors!Q56</f>
        <v>0</v>
      </c>
      <c r="S56" s="9" t="str">
        <f aca="false">Raw_Donors!R56</f>
        <v>N</v>
      </c>
      <c r="T56" s="9" t="str">
        <f aca="false">IF(Raw_Donors!S56="","",Raw_Donors!S56)</f>
        <v/>
      </c>
      <c r="U56" s="9" t="str">
        <f aca="false">IF(AND((O56+P56)&gt;0,Q56=0),"Lapsed - Follow Up","")</f>
        <v/>
      </c>
      <c r="V56" s="9" t="n">
        <f aca="false">RANK(R56,$R$2:$R$759)+COUNTIF($R$2:R56,R56)-1</f>
        <v>571</v>
      </c>
      <c r="W56" s="9" t="str">
        <f aca="false">IF(U56="Lapsed - Follow Up",COUNTIF($U$2:U56,"Lapsed - Follow Up"),"")</f>
        <v/>
      </c>
    </row>
    <row r="57" customFormat="false" ht="15" hidden="false" customHeight="true" outlineLevel="0" collapsed="false">
      <c r="A57" s="9" t="str">
        <f aca="false">Raw_Donors!A57</f>
        <v>D1055</v>
      </c>
      <c r="B57" s="9" t="str">
        <f aca="false">IF(ISNUMBER(SEARCH("-DUP",A57)),"Duplicate ID","")</f>
        <v/>
      </c>
      <c r="C57" s="9" t="n">
        <f aca="false">Raw_Donors!B57</f>
        <v>47536</v>
      </c>
      <c r="D57" s="9" t="n">
        <f aca="false">Raw_Donors!C57</f>
        <v>46</v>
      </c>
      <c r="E57" s="9" t="str">
        <f aca="false">IFERROR(IF(Raw_Donors!D57="","Unknown",Raw_Donors!D57),"Unknown")</f>
        <v>Unknown</v>
      </c>
      <c r="F57" s="9" t="str">
        <f aca="false">IFERROR(IF(Raw_Donors!E57="","Unknown",Raw_Donors!E57),"Unknown")</f>
        <v>Female</v>
      </c>
      <c r="G57" s="9" t="str">
        <f aca="false">PROPER(TRIM(Raw_Donors!F57))</f>
        <v>Individual Donor</v>
      </c>
      <c r="H57" s="9" t="str">
        <f aca="false">IFERROR(IF(Raw_Donors!G57="","N",Raw_Donors!G57),"N")</f>
        <v>N</v>
      </c>
      <c r="I57" s="9" t="str">
        <f aca="false">IF(Raw_Donors!H57="","Not Rated",Raw_Donors!H57)</f>
        <v>Not Rated</v>
      </c>
      <c r="J57" s="9" t="str">
        <f aca="false">IF(TRIM(Raw_Donors!I57)="","Unknown",TRIM(Raw_Donors!I57))</f>
        <v>HOME</v>
      </c>
      <c r="K57" s="9" t="str">
        <f aca="false">Raw_Donors!J57</f>
        <v>Y</v>
      </c>
      <c r="L57" s="9" t="n">
        <f aca="false">Raw_Donors!K57</f>
        <v>0</v>
      </c>
      <c r="M57" s="10" t="n">
        <f aca="false">IFERROR(VALUE(SUBSTITUTE(SUBSTITUTE(Raw_Donors!L57,"$",""),",","")),0)</f>
        <v>0</v>
      </c>
      <c r="N57" s="10" t="n">
        <f aca="false">IFERROR(VALUE(SUBSTITUTE(SUBSTITUTE(Raw_Donors!M57,"$",""),",","")),0)</f>
        <v>20</v>
      </c>
      <c r="O57" s="10" t="n">
        <f aca="false">IFERROR(VALUE(SUBSTITUTE(SUBSTITUTE(Raw_Donors!N57,"$",""),",","")),0)</f>
        <v>100</v>
      </c>
      <c r="P57" s="10" t="n">
        <f aca="false">IFERROR(VALUE(SUBSTITUTE(SUBSTITUTE(Raw_Donors!O57,"$",""),",","")),0)</f>
        <v>230</v>
      </c>
      <c r="Q57" s="10" t="n">
        <f aca="false">IFERROR(VALUE(SUBSTITUTE(SUBSTITUTE(Raw_Donors!P57,"$",""),",","")),0)</f>
        <v>0</v>
      </c>
      <c r="R57" s="10" t="n">
        <f aca="false">Raw_Donors!Q57</f>
        <v>350</v>
      </c>
      <c r="S57" s="9" t="str">
        <f aca="false">Raw_Donors!R57</f>
        <v>Y</v>
      </c>
      <c r="T57" s="9" t="str">
        <f aca="false">IF(Raw_Donors!S57="","",Raw_Donors!S57)</f>
        <v>1971-09-13</v>
      </c>
      <c r="U57" s="9" t="str">
        <f aca="false">IF(AND((O57+P57)&gt;0,Q57=0),"Lapsed - Follow Up","")</f>
        <v>Lapsed - Follow Up</v>
      </c>
      <c r="V57" s="9" t="n">
        <f aca="false">RANK(R57,$R$2:$R$759)+COUNTIF($R$2:R57,R57)-1</f>
        <v>125</v>
      </c>
      <c r="W57" s="9" t="n">
        <f aca="false">IF(U57="Lapsed - Follow Up",COUNTIF($U$2:U57,"Lapsed - Follow Up"),"")</f>
        <v>13</v>
      </c>
    </row>
    <row r="58" customFormat="false" ht="15" hidden="false" customHeight="true" outlineLevel="0" collapsed="false">
      <c r="A58" s="9" t="str">
        <f aca="false">Raw_Donors!A58</f>
        <v>D1056</v>
      </c>
      <c r="B58" s="9" t="str">
        <f aca="false">IF(ISNUMBER(SEARCH("-DUP",A58)),"Duplicate ID","")</f>
        <v/>
      </c>
      <c r="C58" s="9" t="n">
        <f aca="false">Raw_Donors!B58</f>
        <v>8518</v>
      </c>
      <c r="D58" s="9" t="n">
        <f aca="false">Raw_Donors!C58</f>
        <v>76</v>
      </c>
      <c r="E58" s="9" t="str">
        <f aca="false">IFERROR(IF(Raw_Donors!D58="","Unknown",Raw_Donors!D58),"Unknown")</f>
        <v>Unknown</v>
      </c>
      <c r="F58" s="9" t="str">
        <f aca="false">IFERROR(IF(Raw_Donors!E58="","Unknown",Raw_Donors!E58),"Unknown")</f>
        <v>Female</v>
      </c>
      <c r="G58" s="9" t="str">
        <f aca="false">PROPER(TRIM(Raw_Donors!F58))</f>
        <v>Individual Donor</v>
      </c>
      <c r="H58" s="9" t="str">
        <f aca="false">IFERROR(IF(Raw_Donors!G58="","N",Raw_Donors!G58),"N")</f>
        <v>N</v>
      </c>
      <c r="I58" s="9" t="str">
        <f aca="false">IF(Raw_Donors!H58="","Not Rated",Raw_Donors!H58)</f>
        <v>Not Rated</v>
      </c>
      <c r="J58" s="9" t="str">
        <f aca="false">IF(TRIM(Raw_Donors!I58)="","Unknown",TRIM(Raw_Donors!I58))</f>
        <v>HOME</v>
      </c>
      <c r="K58" s="9" t="str">
        <f aca="false">Raw_Donors!J58</f>
        <v>N</v>
      </c>
      <c r="L58" s="9" t="n">
        <f aca="false">Raw_Donors!K58</f>
        <v>0</v>
      </c>
      <c r="M58" s="10" t="n">
        <f aca="false">IFERROR(VALUE(SUBSTITUTE(SUBSTITUTE(Raw_Donors!L58,"$",""),",","")),0)</f>
        <v>0</v>
      </c>
      <c r="N58" s="10" t="n">
        <f aca="false">IFERROR(VALUE(SUBSTITUTE(SUBSTITUTE(Raw_Donors!M58,"$",""),",","")),0)</f>
        <v>0</v>
      </c>
      <c r="O58" s="10" t="n">
        <f aca="false">IFERROR(VALUE(SUBSTITUTE(SUBSTITUTE(Raw_Donors!N58,"$",""),",","")),0)</f>
        <v>0</v>
      </c>
      <c r="P58" s="10" t="n">
        <f aca="false">IFERROR(VALUE(SUBSTITUTE(SUBSTITUTE(Raw_Donors!O58,"$",""),",","")),0)</f>
        <v>0</v>
      </c>
      <c r="Q58" s="10" t="n">
        <f aca="false">IFERROR(VALUE(SUBSTITUTE(SUBSTITUTE(Raw_Donors!P58,"$",""),",","")),0)</f>
        <v>0</v>
      </c>
      <c r="R58" s="10" t="n">
        <f aca="false">Raw_Donors!Q58</f>
        <v>10</v>
      </c>
      <c r="S58" s="9" t="str">
        <f aca="false">Raw_Donors!R58</f>
        <v>Y</v>
      </c>
      <c r="T58" s="9" t="str">
        <f aca="false">IF(Raw_Donors!S58="","",Raw_Donors!S58)</f>
        <v>1941-09-14</v>
      </c>
      <c r="U58" s="9" t="str">
        <f aca="false">IF(AND((O58+P58)&gt;0,Q58=0),"Lapsed - Follow Up","")</f>
        <v/>
      </c>
      <c r="V58" s="9" t="n">
        <f aca="false">RANK(R58,$R$2:$R$759)+COUNTIF($R$2:R58,R58)-1</f>
        <v>494</v>
      </c>
      <c r="W58" s="9" t="str">
        <f aca="false">IF(U58="Lapsed - Follow Up",COUNTIF($U$2:U58,"Lapsed - Follow Up"),"")</f>
        <v/>
      </c>
    </row>
    <row r="59" customFormat="false" ht="15" hidden="false" customHeight="true" outlineLevel="0" collapsed="false">
      <c r="A59" s="9" t="str">
        <f aca="false">Raw_Donors!A59</f>
        <v>D1057</v>
      </c>
      <c r="B59" s="9" t="str">
        <f aca="false">IF(ISNUMBER(SEARCH("-DUP",A59)),"Duplicate ID","")</f>
        <v/>
      </c>
      <c r="C59" s="9" t="n">
        <f aca="false">Raw_Donors!B59</f>
        <v>90265</v>
      </c>
      <c r="D59" s="9" t="n">
        <f aca="false">Raw_Donors!C59</f>
        <v>0</v>
      </c>
      <c r="E59" s="9" t="str">
        <f aca="false">IFERROR(IF(Raw_Donors!D59="","Unknown",Raw_Donors!D59),"Unknown")</f>
        <v>Single</v>
      </c>
      <c r="F59" s="9" t="str">
        <f aca="false">IFERROR(IF(Raw_Donors!E59="","Unknown",Raw_Donors!E59),"Unknown")</f>
        <v>Female</v>
      </c>
      <c r="G59" s="9" t="str">
        <f aca="false">PROPER(TRIM(Raw_Donors!F59))</f>
        <v>Individual Donor</v>
      </c>
      <c r="H59" s="9" t="str">
        <f aca="false">IFERROR(IF(Raw_Donors!G59="","N",Raw_Donors!G59),"N")</f>
        <v>N</v>
      </c>
      <c r="I59" s="9" t="str">
        <f aca="false">IF(Raw_Donors!H59="","Not Rated",Raw_Donors!H59)</f>
        <v>Not Rated</v>
      </c>
      <c r="J59" s="9" t="str">
        <f aca="false">IF(TRIM(Raw_Donors!I59)="","Unknown",TRIM(Raw_Donors!I59))</f>
        <v>HOME</v>
      </c>
      <c r="K59" s="9" t="str">
        <f aca="false">Raw_Donors!J59</f>
        <v>N</v>
      </c>
      <c r="L59" s="9" t="n">
        <f aca="false">Raw_Donors!K59</f>
        <v>1</v>
      </c>
      <c r="M59" s="10" t="n">
        <f aca="false">IFERROR(VALUE(SUBSTITUTE(SUBSTITUTE(Raw_Donors!L59,"$",""),",","")),0)</f>
        <v>1</v>
      </c>
      <c r="N59" s="10" t="n">
        <f aca="false">IFERROR(VALUE(SUBSTITUTE(SUBSTITUTE(Raw_Donors!M59,"$",""),",","")),0)</f>
        <v>0</v>
      </c>
      <c r="O59" s="10" t="n">
        <f aca="false">IFERROR(VALUE(SUBSTITUTE(SUBSTITUTE(Raw_Donors!N59,"$",""),",","")),0)</f>
        <v>0</v>
      </c>
      <c r="P59" s="10" t="n">
        <f aca="false">IFERROR(VALUE(SUBSTITUTE(SUBSTITUTE(Raw_Donors!O59,"$",""),",","")),0)</f>
        <v>0</v>
      </c>
      <c r="Q59" s="10" t="n">
        <f aca="false">IFERROR(VALUE(SUBSTITUTE(SUBSTITUTE(Raw_Donors!P59,"$",""),",","")),0)</f>
        <v>0</v>
      </c>
      <c r="R59" s="10" t="n">
        <f aca="false">Raw_Donors!Q59</f>
        <v>1154</v>
      </c>
      <c r="S59" s="9" t="str">
        <f aca="false">Raw_Donors!R59</f>
        <v>Y</v>
      </c>
      <c r="T59" s="9" t="str">
        <f aca="false">IF(Raw_Donors!S59="","",Raw_Donors!S59)</f>
        <v/>
      </c>
      <c r="U59" s="9" t="str">
        <f aca="false">IF(AND((O59+P59)&gt;0,Q59=0),"Lapsed - Follow Up","")</f>
        <v/>
      </c>
      <c r="V59" s="9" t="n">
        <f aca="false">RANK(R59,$R$2:$R$759)+COUNTIF($R$2:R59,R59)-1</f>
        <v>51</v>
      </c>
      <c r="W59" s="9" t="str">
        <f aca="false">IF(U59="Lapsed - Follow Up",COUNTIF($U$2:U59,"Lapsed - Follow Up"),"")</f>
        <v/>
      </c>
    </row>
    <row r="60" customFormat="false" ht="15" hidden="false" customHeight="true" outlineLevel="0" collapsed="false">
      <c r="A60" s="9" t="str">
        <f aca="false">Raw_Donors!A60</f>
        <v>D1058</v>
      </c>
      <c r="B60" s="9" t="str">
        <f aca="false">IF(ISNUMBER(SEARCH("-DUP",A60)),"Duplicate ID","")</f>
        <v/>
      </c>
      <c r="C60" s="9" t="n">
        <f aca="false">Raw_Donors!B60</f>
        <v>70359</v>
      </c>
      <c r="D60" s="9" t="n">
        <f aca="false">Raw_Donors!C60</f>
        <v>0</v>
      </c>
      <c r="E60" s="9" t="str">
        <f aca="false">IFERROR(IF(Raw_Donors!D60="","Unknown",Raw_Donors!D60),"Unknown")</f>
        <v>Unknown</v>
      </c>
      <c r="F60" s="9" t="str">
        <f aca="false">IFERROR(IF(Raw_Donors!E60="","Unknown",Raw_Donors!E60),"Unknown")</f>
        <v>Male</v>
      </c>
      <c r="G60" s="9" t="str">
        <f aca="false">PROPER(TRIM(Raw_Donors!F60))</f>
        <v>Individual Donor</v>
      </c>
      <c r="H60" s="9" t="str">
        <f aca="false">IFERROR(IF(Raw_Donors!G60="","N",Raw_Donors!G60),"N")</f>
        <v>N</v>
      </c>
      <c r="I60" s="9" t="str">
        <f aca="false">IF(Raw_Donors!H60="","Not Rated",Raw_Donors!H60)</f>
        <v>Not Rated</v>
      </c>
      <c r="J60" s="9" t="str">
        <f aca="false">IF(TRIM(Raw_Donors!I60)="","Unknown",TRIM(Raw_Donors!I60))</f>
        <v>HOME</v>
      </c>
      <c r="K60" s="9" t="str">
        <f aca="false">Raw_Donors!J60</f>
        <v>Y</v>
      </c>
      <c r="L60" s="9" t="n">
        <f aca="false">Raw_Donors!K60</f>
        <v>0</v>
      </c>
      <c r="M60" s="10" t="n">
        <f aca="false">IFERROR(VALUE(SUBSTITUTE(SUBSTITUTE(Raw_Donors!L60,"$",""),",","")),0)</f>
        <v>0</v>
      </c>
      <c r="N60" s="10" t="n">
        <f aca="false">IFERROR(VALUE(SUBSTITUTE(SUBSTITUTE(Raw_Donors!M60,"$",""),",","")),0)</f>
        <v>0</v>
      </c>
      <c r="O60" s="10" t="n">
        <f aca="false">IFERROR(VALUE(SUBSTITUTE(SUBSTITUTE(Raw_Donors!N60,"$",""),",","")),0)</f>
        <v>0</v>
      </c>
      <c r="P60" s="10" t="n">
        <f aca="false">IFERROR(VALUE(SUBSTITUTE(SUBSTITUTE(Raw_Donors!O60,"$",""),",","")),0)</f>
        <v>0</v>
      </c>
      <c r="Q60" s="10" t="n">
        <f aca="false">IFERROR(VALUE(SUBSTITUTE(SUBSTITUTE(Raw_Donors!P60,"$",""),",","")),0)</f>
        <v>0</v>
      </c>
      <c r="R60" s="10" t="n">
        <f aca="false">Raw_Donors!Q60</f>
        <v>165</v>
      </c>
      <c r="S60" s="9" t="str">
        <f aca="false">Raw_Donors!R60</f>
        <v>Y</v>
      </c>
      <c r="T60" s="9" t="str">
        <f aca="false">IF(Raw_Donors!S60="","",Raw_Donors!S60)</f>
        <v/>
      </c>
      <c r="U60" s="9" t="str">
        <f aca="false">IF(AND((O60+P60)&gt;0,Q60=0),"Lapsed - Follow Up","")</f>
        <v/>
      </c>
      <c r="V60" s="9" t="n">
        <f aca="false">RANK(R60,$R$2:$R$759)+COUNTIF($R$2:R60,R60)-1</f>
        <v>223</v>
      </c>
      <c r="W60" s="9" t="str">
        <f aca="false">IF(U60="Lapsed - Follow Up",COUNTIF($U$2:U60,"Lapsed - Follow Up"),"")</f>
        <v/>
      </c>
    </row>
    <row r="61" customFormat="false" ht="15" hidden="false" customHeight="true" outlineLevel="0" collapsed="false">
      <c r="A61" s="9" t="str">
        <f aca="false">Raw_Donors!A61</f>
        <v>D1059</v>
      </c>
      <c r="B61" s="9" t="str">
        <f aca="false">IF(ISNUMBER(SEARCH("-DUP",A61)),"Duplicate ID","")</f>
        <v/>
      </c>
      <c r="C61" s="9" t="n">
        <f aca="false">Raw_Donors!B61</f>
        <v>90265</v>
      </c>
      <c r="D61" s="9" t="n">
        <f aca="false">Raw_Donors!C61</f>
        <v>0</v>
      </c>
      <c r="E61" s="9" t="str">
        <f aca="false">IFERROR(IF(Raw_Donors!D61="","Unknown",Raw_Donors!D61),"Unknown")</f>
        <v>Unknown</v>
      </c>
      <c r="F61" s="9" t="str">
        <f aca="false">IFERROR(IF(Raw_Donors!E61="","Unknown",Raw_Donors!E61),"Unknown")</f>
        <v>Female</v>
      </c>
      <c r="G61" s="9" t="str">
        <f aca="false">PROPER(TRIM(Raw_Donors!F61))</f>
        <v>Individual Donor</v>
      </c>
      <c r="H61" s="9" t="str">
        <f aca="false">IFERROR(IF(Raw_Donors!G61="","N",Raw_Donors!G61),"N")</f>
        <v>N</v>
      </c>
      <c r="I61" s="9" t="str">
        <f aca="false">IF(Raw_Donors!H61="","Not Rated",Raw_Donors!H61)</f>
        <v>Not Rated</v>
      </c>
      <c r="J61" s="9" t="str">
        <f aca="false">IF(TRIM(Raw_Donors!I61)="","Unknown",TRIM(Raw_Donors!I61))</f>
        <v>HOME</v>
      </c>
      <c r="K61" s="9" t="str">
        <f aca="false">Raw_Donors!J61</f>
        <v>N</v>
      </c>
      <c r="L61" s="9" t="n">
        <f aca="false">Raw_Donors!K61</f>
        <v>1</v>
      </c>
      <c r="M61" s="10" t="n">
        <f aca="false">IFERROR(VALUE(SUBSTITUTE(SUBSTITUTE(Raw_Donors!L61,"$",""),",","")),0)</f>
        <v>0</v>
      </c>
      <c r="N61" s="10" t="n">
        <f aca="false">IFERROR(VALUE(SUBSTITUTE(SUBSTITUTE(Raw_Donors!M61,"$",""),",","")),0)</f>
        <v>0</v>
      </c>
      <c r="O61" s="10" t="n">
        <f aca="false">IFERROR(VALUE(SUBSTITUTE(SUBSTITUTE(Raw_Donors!N61,"$",""),",","")),0)</f>
        <v>20</v>
      </c>
      <c r="P61" s="10" t="n">
        <f aca="false">IFERROR(VALUE(SUBSTITUTE(SUBSTITUTE(Raw_Donors!O61,"$",""),",","")),0)</f>
        <v>0</v>
      </c>
      <c r="Q61" s="10" t="n">
        <f aca="false">IFERROR(VALUE(SUBSTITUTE(SUBSTITUTE(Raw_Donors!P61,"$",""),",","")),0)</f>
        <v>0</v>
      </c>
      <c r="R61" s="10" t="n">
        <f aca="false">Raw_Donors!Q61</f>
        <v>20</v>
      </c>
      <c r="S61" s="9" t="str">
        <f aca="false">Raw_Donors!R61</f>
        <v>Y</v>
      </c>
      <c r="T61" s="9" t="str">
        <f aca="false">IF(Raw_Donors!S61="","",Raw_Donors!S61)</f>
        <v/>
      </c>
      <c r="U61" s="9" t="str">
        <f aca="false">IF(AND((O61+P61)&gt;0,Q61=0),"Lapsed - Follow Up","")</f>
        <v>Lapsed - Follow Up</v>
      </c>
      <c r="V61" s="9" t="n">
        <f aca="false">RANK(R61,$R$2:$R$759)+COUNTIF($R$2:R61,R61)-1</f>
        <v>467</v>
      </c>
      <c r="W61" s="9" t="n">
        <f aca="false">IF(U61="Lapsed - Follow Up",COUNTIF($U$2:U61,"Lapsed - Follow Up"),"")</f>
        <v>14</v>
      </c>
    </row>
    <row r="62" customFormat="false" ht="15" hidden="false" customHeight="true" outlineLevel="0" collapsed="false">
      <c r="A62" s="9" t="str">
        <f aca="false">Raw_Donors!A62</f>
        <v>D1060</v>
      </c>
      <c r="B62" s="9" t="str">
        <f aca="false">IF(ISNUMBER(SEARCH("-DUP",A62)),"Duplicate ID","")</f>
        <v/>
      </c>
      <c r="C62" s="9" t="n">
        <f aca="false">Raw_Donors!B62</f>
        <v>7418</v>
      </c>
      <c r="D62" s="9" t="n">
        <f aca="false">Raw_Donors!C62</f>
        <v>0</v>
      </c>
      <c r="E62" s="9" t="str">
        <f aca="false">IFERROR(IF(Raw_Donors!D62="","Unknown",Raw_Donors!D62),"Unknown")</f>
        <v>Married</v>
      </c>
      <c r="F62" s="9" t="str">
        <f aca="false">IFERROR(IF(Raw_Donors!E62="","Unknown",Raw_Donors!E62),"Unknown")</f>
        <v>Female</v>
      </c>
      <c r="G62" s="9" t="str">
        <f aca="false">PROPER(TRIM(Raw_Donors!F62))</f>
        <v>Family Donor</v>
      </c>
      <c r="H62" s="9" t="str">
        <f aca="false">IFERROR(IF(Raw_Donors!G62="","N",Raw_Donors!G62),"N")</f>
        <v>N</v>
      </c>
      <c r="I62" s="9" t="str">
        <f aca="false">IF(Raw_Donors!H62="","Not Rated",Raw_Donors!H62)</f>
        <v>Not Rated</v>
      </c>
      <c r="J62" s="9" t="str">
        <f aca="false">IF(TRIM(Raw_Donors!I62)="","Unknown",TRIM(Raw_Donors!I62))</f>
        <v>HOME</v>
      </c>
      <c r="K62" s="9" t="str">
        <f aca="false">Raw_Donors!J62</f>
        <v>Y</v>
      </c>
      <c r="L62" s="9" t="n">
        <f aca="false">Raw_Donors!K62</f>
        <v>0</v>
      </c>
      <c r="M62" s="10" t="n">
        <f aca="false">IFERROR(VALUE(SUBSTITUTE(SUBSTITUTE(Raw_Donors!L62,"$",""),",","")),0)</f>
        <v>0</v>
      </c>
      <c r="N62" s="10" t="n">
        <f aca="false">IFERROR(VALUE(SUBSTITUTE(SUBSTITUTE(Raw_Donors!M62,"$",""),",","")),0)</f>
        <v>0</v>
      </c>
      <c r="O62" s="10" t="n">
        <f aca="false">IFERROR(VALUE(SUBSTITUTE(SUBSTITUTE(Raw_Donors!N62,"$",""),",","")),0)</f>
        <v>0</v>
      </c>
      <c r="P62" s="10" t="n">
        <f aca="false">IFERROR(VALUE(SUBSTITUTE(SUBSTITUTE(Raw_Donors!O62,"$",""),",","")),0)</f>
        <v>0</v>
      </c>
      <c r="Q62" s="10" t="n">
        <f aca="false">IFERROR(VALUE(SUBSTITUTE(SUBSTITUTE(Raw_Donors!P62,"$",""),",","")),0)</f>
        <v>0</v>
      </c>
      <c r="R62" s="10" t="n">
        <f aca="false">Raw_Donors!Q62</f>
        <v>200</v>
      </c>
      <c r="S62" s="9" t="str">
        <f aca="false">Raw_Donors!R62</f>
        <v>Y</v>
      </c>
      <c r="T62" s="9" t="str">
        <f aca="false">IF(Raw_Donors!S62="","",Raw_Donors!S62)</f>
        <v/>
      </c>
      <c r="U62" s="9" t="str">
        <f aca="false">IF(AND((O62+P62)&gt;0,Q62=0),"Lapsed - Follow Up","")</f>
        <v/>
      </c>
      <c r="V62" s="9" t="n">
        <f aca="false">RANK(R62,$R$2:$R$759)+COUNTIF($R$2:R62,R62)-1</f>
        <v>198</v>
      </c>
      <c r="W62" s="9" t="str">
        <f aca="false">IF(U62="Lapsed - Follow Up",COUNTIF($U$2:U62,"Lapsed - Follow Up"),"")</f>
        <v/>
      </c>
    </row>
    <row r="63" customFormat="false" ht="15" hidden="false" customHeight="true" outlineLevel="0" collapsed="false">
      <c r="A63" s="9" t="str">
        <f aca="false">Raw_Donors!A63</f>
        <v>D1061</v>
      </c>
      <c r="B63" s="9" t="str">
        <f aca="false">IF(ISNUMBER(SEARCH("-DUP",A63)),"Duplicate ID","")</f>
        <v/>
      </c>
      <c r="C63" s="9" t="n">
        <f aca="false">Raw_Donors!B63</f>
        <v>18917</v>
      </c>
      <c r="D63" s="9" t="n">
        <f aca="false">Raw_Donors!C63</f>
        <v>0</v>
      </c>
      <c r="E63" s="9" t="str">
        <f aca="false">IFERROR(IF(Raw_Donors!D63="","Unknown",Raw_Donors!D63),"Unknown")</f>
        <v>Unknown</v>
      </c>
      <c r="F63" s="9" t="str">
        <f aca="false">IFERROR(IF(Raw_Donors!E63="","Unknown",Raw_Donors!E63),"Unknown")</f>
        <v>Female</v>
      </c>
      <c r="G63" s="9" t="str">
        <f aca="false">PROPER(TRIM(Raw_Donors!F63))</f>
        <v>Individual Donor</v>
      </c>
      <c r="H63" s="9" t="str">
        <f aca="false">IFERROR(IF(Raw_Donors!G63="","N",Raw_Donors!G63),"N")</f>
        <v>N</v>
      </c>
      <c r="I63" s="9" t="str">
        <f aca="false">IF(Raw_Donors!H63="","Not Rated",Raw_Donors!H63)</f>
        <v>Not Rated</v>
      </c>
      <c r="J63" s="9" t="str">
        <f aca="false">IF(TRIM(Raw_Donors!I63)="","Unknown",TRIM(Raw_Donors!I63))</f>
        <v>HOME</v>
      </c>
      <c r="K63" s="9" t="str">
        <f aca="false">Raw_Donors!J63</f>
        <v>N</v>
      </c>
      <c r="L63" s="9" t="n">
        <f aca="false">Raw_Donors!K63</f>
        <v>4</v>
      </c>
      <c r="M63" s="10" t="n">
        <f aca="false">IFERROR(VALUE(SUBSTITUTE(SUBSTITUTE(Raw_Donors!L63,"$",""),",","")),0)</f>
        <v>0</v>
      </c>
      <c r="N63" s="10" t="n">
        <f aca="false">IFERROR(VALUE(SUBSTITUTE(SUBSTITUTE(Raw_Donors!M63,"$",""),",","")),0)</f>
        <v>0</v>
      </c>
      <c r="O63" s="10" t="n">
        <f aca="false">IFERROR(VALUE(SUBSTITUTE(SUBSTITUTE(Raw_Donors!N63,"$",""),",","")),0)</f>
        <v>0</v>
      </c>
      <c r="P63" s="10" t="n">
        <f aca="false">IFERROR(VALUE(SUBSTITUTE(SUBSTITUTE(Raw_Donors!O63,"$",""),",","")),0)</f>
        <v>0</v>
      </c>
      <c r="Q63" s="10" t="n">
        <f aca="false">IFERROR(VALUE(SUBSTITUTE(SUBSTITUTE(Raw_Donors!P63,"$",""),",","")),0)</f>
        <v>0</v>
      </c>
      <c r="R63" s="10" t="n">
        <f aca="false">Raw_Donors!Q63</f>
        <v>600</v>
      </c>
      <c r="S63" s="9" t="str">
        <f aca="false">Raw_Donors!R63</f>
        <v>Y</v>
      </c>
      <c r="T63" s="9" t="str">
        <f aca="false">IF(Raw_Donors!S63="","",Raw_Donors!S63)</f>
        <v/>
      </c>
      <c r="U63" s="9" t="str">
        <f aca="false">IF(AND((O63+P63)&gt;0,Q63=0),"Lapsed - Follow Up","")</f>
        <v/>
      </c>
      <c r="V63" s="9" t="n">
        <f aca="false">RANK(R63,$R$2:$R$759)+COUNTIF($R$2:R63,R63)-1</f>
        <v>78</v>
      </c>
      <c r="W63" s="9" t="str">
        <f aca="false">IF(U63="Lapsed - Follow Up",COUNTIF($U$2:U63,"Lapsed - Follow Up"),"")</f>
        <v/>
      </c>
    </row>
    <row r="64" customFormat="false" ht="15" hidden="false" customHeight="true" outlineLevel="0" collapsed="false">
      <c r="A64" s="9" t="str">
        <f aca="false">Raw_Donors!A64</f>
        <v>D1062</v>
      </c>
      <c r="B64" s="9" t="str">
        <f aca="false">IF(ISNUMBER(SEARCH("-DUP",A64)),"Duplicate ID","")</f>
        <v/>
      </c>
      <c r="C64" s="9" t="n">
        <f aca="false">Raw_Donors!B64</f>
        <v>36601</v>
      </c>
      <c r="D64" s="9" t="n">
        <f aca="false">Raw_Donors!C64</f>
        <v>0</v>
      </c>
      <c r="E64" s="9" t="str">
        <f aca="false">IFERROR(IF(Raw_Donors!D64="","Unknown",Raw_Donors!D64),"Unknown")</f>
        <v>Unknown</v>
      </c>
      <c r="F64" s="9" t="str">
        <f aca="false">IFERROR(IF(Raw_Donors!E64="","Unknown",Raw_Donors!E64),"Unknown")</f>
        <v>Uknown</v>
      </c>
      <c r="G64" s="9" t="str">
        <f aca="false">PROPER(TRIM(Raw_Donors!F64))</f>
        <v>Community Partner</v>
      </c>
      <c r="H64" s="9" t="str">
        <f aca="false">IFERROR(IF(Raw_Donors!G64="","N",Raw_Donors!G64),"N")</f>
        <v>Y</v>
      </c>
      <c r="I64" s="9" t="str">
        <f aca="false">IF(Raw_Donors!H64="","Not Rated",Raw_Donors!H64)</f>
        <v>$100,000-$249,999</v>
      </c>
      <c r="J64" s="9" t="str">
        <f aca="false">IF(TRIM(Raw_Donors!I64)="","Unknown",TRIM(Raw_Donors!I64))</f>
        <v>HOME</v>
      </c>
      <c r="K64" s="9" t="str">
        <f aca="false">Raw_Donors!J64</f>
        <v>Y</v>
      </c>
      <c r="L64" s="9" t="n">
        <f aca="false">Raw_Donors!K64</f>
        <v>1</v>
      </c>
      <c r="M64" s="10" t="n">
        <f aca="false">IFERROR(VALUE(SUBSTITUTE(SUBSTITUTE(Raw_Donors!L64,"$",""),",","")),0)</f>
        <v>0</v>
      </c>
      <c r="N64" s="10" t="n">
        <f aca="false">IFERROR(VALUE(SUBSTITUTE(SUBSTITUTE(Raw_Donors!M64,"$",""),",","")),0)</f>
        <v>0</v>
      </c>
      <c r="O64" s="10" t="n">
        <f aca="false">IFERROR(VALUE(SUBSTITUTE(SUBSTITUTE(Raw_Donors!N64,"$",""),",","")),0)</f>
        <v>50</v>
      </c>
      <c r="P64" s="10" t="n">
        <f aca="false">IFERROR(VALUE(SUBSTITUTE(SUBSTITUTE(Raw_Donors!O64,"$",""),",","")),0)</f>
        <v>0</v>
      </c>
      <c r="Q64" s="10" t="n">
        <f aca="false">IFERROR(VALUE(SUBSTITUTE(SUBSTITUTE(Raw_Donors!P64,"$",""),",","")),0)</f>
        <v>0</v>
      </c>
      <c r="R64" s="10" t="n">
        <f aca="false">Raw_Donors!Q64</f>
        <v>50</v>
      </c>
      <c r="S64" s="9" t="str">
        <f aca="false">Raw_Donors!R64</f>
        <v>Y</v>
      </c>
      <c r="T64" s="9" t="str">
        <f aca="false">IF(Raw_Donors!S64="","",Raw_Donors!S64)</f>
        <v/>
      </c>
      <c r="U64" s="9" t="str">
        <f aca="false">IF(AND((O64+P64)&gt;0,Q64=0),"Lapsed - Follow Up","")</f>
        <v>Lapsed - Follow Up</v>
      </c>
      <c r="V64" s="9" t="n">
        <f aca="false">RANK(R64,$R$2:$R$759)+COUNTIF($R$2:R64,R64)-1</f>
        <v>365</v>
      </c>
      <c r="W64" s="9" t="n">
        <f aca="false">IF(U64="Lapsed - Follow Up",COUNTIF($U$2:U64,"Lapsed - Follow Up"),"")</f>
        <v>15</v>
      </c>
    </row>
    <row r="65" customFormat="false" ht="15" hidden="false" customHeight="true" outlineLevel="0" collapsed="false">
      <c r="A65" s="9" t="str">
        <f aca="false">Raw_Donors!A65</f>
        <v>D1063</v>
      </c>
      <c r="B65" s="9" t="str">
        <f aca="false">IF(ISNUMBER(SEARCH("-DUP",A65)),"Duplicate ID","")</f>
        <v/>
      </c>
      <c r="C65" s="9" t="n">
        <f aca="false">Raw_Donors!B65</f>
        <v>7777</v>
      </c>
      <c r="D65" s="9" t="n">
        <f aca="false">Raw_Donors!C65</f>
        <v>0</v>
      </c>
      <c r="E65" s="9" t="str">
        <f aca="false">IFERROR(IF(Raw_Donors!D65="","Unknown",Raw_Donors!D65),"Unknown")</f>
        <v>Single</v>
      </c>
      <c r="F65" s="9" t="str">
        <f aca="false">IFERROR(IF(Raw_Donors!E65="","Unknown",Raw_Donors!E65),"Unknown")</f>
        <v>Female</v>
      </c>
      <c r="G65" s="9" t="str">
        <f aca="false">PROPER(TRIM(Raw_Donors!F65))</f>
        <v>Individual Donor</v>
      </c>
      <c r="H65" s="9" t="str">
        <f aca="false">IFERROR(IF(Raw_Donors!G65="","N",Raw_Donors!G65),"N")</f>
        <v>Y</v>
      </c>
      <c r="I65" s="9" t="str">
        <f aca="false">IF(Raw_Donors!H65="","Not Rated",Raw_Donors!H65)</f>
        <v>Not Rated</v>
      </c>
      <c r="J65" s="9" t="str">
        <f aca="false">IF(TRIM(Raw_Donors!I65)="","Unknown",TRIM(Raw_Donors!I65))</f>
        <v>HOME</v>
      </c>
      <c r="K65" s="9" t="str">
        <f aca="false">Raw_Donors!J65</f>
        <v>N</v>
      </c>
      <c r="L65" s="9" t="n">
        <f aca="false">Raw_Donors!K65</f>
        <v>0</v>
      </c>
      <c r="M65" s="10" t="n">
        <f aca="false">IFERROR(VALUE(SUBSTITUTE(SUBSTITUTE(Raw_Donors!L65,"$",""),",","")),0)</f>
        <v>0</v>
      </c>
      <c r="N65" s="10" t="n">
        <f aca="false">IFERROR(VALUE(SUBSTITUTE(SUBSTITUTE(Raw_Donors!M65,"$",""),",","")),0)</f>
        <v>0</v>
      </c>
      <c r="O65" s="10" t="n">
        <f aca="false">IFERROR(VALUE(SUBSTITUTE(SUBSTITUTE(Raw_Donors!N65,"$",""),",","")),0)</f>
        <v>0</v>
      </c>
      <c r="P65" s="10" t="n">
        <f aca="false">IFERROR(VALUE(SUBSTITUTE(SUBSTITUTE(Raw_Donors!O65,"$",""),",","")),0)</f>
        <v>0</v>
      </c>
      <c r="Q65" s="10" t="n">
        <f aca="false">IFERROR(VALUE(SUBSTITUTE(SUBSTITUTE(Raw_Donors!P65,"$",""),",","")),0)</f>
        <v>0</v>
      </c>
      <c r="R65" s="10" t="n">
        <f aca="false">Raw_Donors!Q65</f>
        <v>1</v>
      </c>
      <c r="S65" s="9" t="str">
        <f aca="false">Raw_Donors!R65</f>
        <v>Y</v>
      </c>
      <c r="T65" s="9" t="str">
        <f aca="false">IF(Raw_Donors!S65="","",Raw_Donors!S65)</f>
        <v/>
      </c>
      <c r="U65" s="9" t="str">
        <f aca="false">IF(AND((O65+P65)&gt;0,Q65=0),"Lapsed - Follow Up","")</f>
        <v/>
      </c>
      <c r="V65" s="9" t="n">
        <f aca="false">RANK(R65,$R$2:$R$759)+COUNTIF($R$2:R65,R65)-1</f>
        <v>530</v>
      </c>
      <c r="W65" s="9" t="str">
        <f aca="false">IF(U65="Lapsed - Follow Up",COUNTIF($U$2:U65,"Lapsed - Follow Up"),"")</f>
        <v/>
      </c>
    </row>
    <row r="66" customFormat="false" ht="15" hidden="false" customHeight="true" outlineLevel="0" collapsed="false">
      <c r="A66" s="9" t="str">
        <f aca="false">Raw_Donors!A66</f>
        <v>D1064</v>
      </c>
      <c r="B66" s="9" t="str">
        <f aca="false">IF(ISNUMBER(SEARCH("-DUP",A66)),"Duplicate ID","")</f>
        <v/>
      </c>
      <c r="C66" s="9" t="n">
        <f aca="false">Raw_Donors!B66</f>
        <v>90265</v>
      </c>
      <c r="D66" s="9" t="n">
        <f aca="false">Raw_Donors!C66</f>
        <v>0</v>
      </c>
      <c r="E66" s="9" t="str">
        <f aca="false">IFERROR(IF(Raw_Donors!D66="","Unknown",Raw_Donors!D66),"Unknown")</f>
        <v>Married</v>
      </c>
      <c r="F66" s="9" t="str">
        <f aca="false">IFERROR(IF(Raw_Donors!E66="","Unknown",Raw_Donors!E66),"Unknown")</f>
        <v>Female</v>
      </c>
      <c r="G66" s="9" t="str">
        <f aca="false">PROPER(TRIM(Raw_Donors!F66))</f>
        <v>Individual Donor</v>
      </c>
      <c r="H66" s="9" t="str">
        <f aca="false">IFERROR(IF(Raw_Donors!G66="","N",Raw_Donors!G66),"N")</f>
        <v>Y</v>
      </c>
      <c r="I66" s="9" t="str">
        <f aca="false">IF(Raw_Donors!H66="","Not Rated",Raw_Donors!H66)</f>
        <v>Not Rated</v>
      </c>
      <c r="J66" s="9" t="str">
        <f aca="false">IF(TRIM(Raw_Donors!I66)="","Unknown",TRIM(Raw_Donors!I66))</f>
        <v>HOME</v>
      </c>
      <c r="K66" s="9" t="str">
        <f aca="false">Raw_Donors!J66</f>
        <v>N</v>
      </c>
      <c r="L66" s="9" t="n">
        <f aca="false">Raw_Donors!K66</f>
        <v>2</v>
      </c>
      <c r="M66" s="10" t="n">
        <f aca="false">IFERROR(VALUE(SUBSTITUTE(SUBSTITUTE(Raw_Donors!L66,"$",""),",","")),0)</f>
        <v>0</v>
      </c>
      <c r="N66" s="10" t="n">
        <f aca="false">IFERROR(VALUE(SUBSTITUTE(SUBSTITUTE(Raw_Donors!M66,"$",""),",","")),0)</f>
        <v>0</v>
      </c>
      <c r="O66" s="10" t="n">
        <f aca="false">IFERROR(VALUE(SUBSTITUTE(SUBSTITUTE(Raw_Donors!N66,"$",""),",","")),0)</f>
        <v>0</v>
      </c>
      <c r="P66" s="10" t="n">
        <f aca="false">IFERROR(VALUE(SUBSTITUTE(SUBSTITUTE(Raw_Donors!O66,"$",""),",","")),0)</f>
        <v>0</v>
      </c>
      <c r="Q66" s="10" t="n">
        <f aca="false">IFERROR(VALUE(SUBSTITUTE(SUBSTITUTE(Raw_Donors!P66,"$",""),",","")),0)</f>
        <v>0</v>
      </c>
      <c r="R66" s="10" t="n">
        <f aca="false">Raw_Donors!Q66</f>
        <v>0</v>
      </c>
      <c r="S66" s="9" t="str">
        <f aca="false">Raw_Donors!R66</f>
        <v>N</v>
      </c>
      <c r="T66" s="9" t="str">
        <f aca="false">IF(Raw_Donors!S66="","",Raw_Donors!S66)</f>
        <v/>
      </c>
      <c r="U66" s="9" t="str">
        <f aca="false">IF(AND((O66+P66)&gt;0,Q66=0),"Lapsed - Follow Up","")</f>
        <v/>
      </c>
      <c r="V66" s="9" t="n">
        <f aca="false">RANK(R66,$R$2:$R$759)+COUNTIF($R$2:R66,R66)-1</f>
        <v>572</v>
      </c>
      <c r="W66" s="9" t="str">
        <f aca="false">IF(U66="Lapsed - Follow Up",COUNTIF($U$2:U66,"Lapsed - Follow Up"),"")</f>
        <v/>
      </c>
    </row>
    <row r="67" customFormat="false" ht="15" hidden="false" customHeight="true" outlineLevel="0" collapsed="false">
      <c r="A67" s="9" t="str">
        <f aca="false">Raw_Donors!A67</f>
        <v>D1065</v>
      </c>
      <c r="B67" s="9" t="str">
        <f aca="false">IF(ISNUMBER(SEARCH("-DUP",A67)),"Duplicate ID","")</f>
        <v/>
      </c>
      <c r="C67" s="9" t="n">
        <f aca="false">Raw_Donors!B67</f>
        <v>2826</v>
      </c>
      <c r="D67" s="9" t="n">
        <f aca="false">Raw_Donors!C67</f>
        <v>0</v>
      </c>
      <c r="E67" s="9" t="str">
        <f aca="false">IFERROR(IF(Raw_Donors!D67="","Unknown",Raw_Donors!D67),"Unknown")</f>
        <v>Married</v>
      </c>
      <c r="F67" s="9" t="str">
        <f aca="false">IFERROR(IF(Raw_Donors!E67="","Unknown",Raw_Donors!E67),"Unknown")</f>
        <v>Male</v>
      </c>
      <c r="G67" s="9" t="str">
        <f aca="false">PROPER(TRIM(Raw_Donors!F67))</f>
        <v>Individual Donor</v>
      </c>
      <c r="H67" s="9" t="str">
        <f aca="false">IFERROR(IF(Raw_Donors!G67="","N",Raw_Donors!G67),"N")</f>
        <v>N</v>
      </c>
      <c r="I67" s="9" t="str">
        <f aca="false">IF(Raw_Donors!H67="","Not Rated",Raw_Donors!H67)</f>
        <v>Not Rated</v>
      </c>
      <c r="J67" s="9" t="str">
        <f aca="false">IF(TRIM(Raw_Donors!I67)="","Unknown",TRIM(Raw_Donors!I67))</f>
        <v>HOME</v>
      </c>
      <c r="K67" s="9" t="str">
        <f aca="false">Raw_Donors!J67</f>
        <v>N</v>
      </c>
      <c r="L67" s="9" t="n">
        <f aca="false">Raw_Donors!K67</f>
        <v>0</v>
      </c>
      <c r="M67" s="10" t="n">
        <f aca="false">IFERROR(VALUE(SUBSTITUTE(SUBSTITUTE(Raw_Donors!L67,"$",""),",","")),0)</f>
        <v>0</v>
      </c>
      <c r="N67" s="10" t="n">
        <f aca="false">IFERROR(VALUE(SUBSTITUTE(SUBSTITUTE(Raw_Donors!M67,"$",""),",","")),0)</f>
        <v>0</v>
      </c>
      <c r="O67" s="10" t="n">
        <f aca="false">IFERROR(VALUE(SUBSTITUTE(SUBSTITUTE(Raw_Donors!N67,"$",""),",","")),0)</f>
        <v>0</v>
      </c>
      <c r="P67" s="10" t="n">
        <f aca="false">IFERROR(VALUE(SUBSTITUTE(SUBSTITUTE(Raw_Donors!O67,"$",""),",","")),0)</f>
        <v>0</v>
      </c>
      <c r="Q67" s="10" t="n">
        <f aca="false">IFERROR(VALUE(SUBSTITUTE(SUBSTITUTE(Raw_Donors!P67,"$",""),",","")),0)</f>
        <v>0</v>
      </c>
      <c r="R67" s="10" t="n">
        <f aca="false">Raw_Donors!Q67</f>
        <v>1</v>
      </c>
      <c r="S67" s="9" t="str">
        <f aca="false">Raw_Donors!R67</f>
        <v>Y</v>
      </c>
      <c r="T67" s="9" t="str">
        <f aca="false">IF(Raw_Donors!S67="","",Raw_Donors!S67)</f>
        <v/>
      </c>
      <c r="U67" s="9" t="str">
        <f aca="false">IF(AND((O67+P67)&gt;0,Q67=0),"Lapsed - Follow Up","")</f>
        <v/>
      </c>
      <c r="V67" s="9" t="n">
        <f aca="false">RANK(R67,$R$2:$R$759)+COUNTIF($R$2:R67,R67)-1</f>
        <v>531</v>
      </c>
      <c r="W67" s="9" t="str">
        <f aca="false">IF(U67="Lapsed - Follow Up",COUNTIF($U$2:U67,"Lapsed - Follow Up"),"")</f>
        <v/>
      </c>
    </row>
    <row r="68" customFormat="false" ht="15" hidden="false" customHeight="true" outlineLevel="0" collapsed="false">
      <c r="A68" s="9" t="str">
        <f aca="false">Raw_Donors!A68</f>
        <v>D1066</v>
      </c>
      <c r="B68" s="9" t="str">
        <f aca="false">IF(ISNUMBER(SEARCH("-DUP",A68)),"Duplicate ID","")</f>
        <v/>
      </c>
      <c r="C68" s="9" t="n">
        <f aca="false">Raw_Donors!B68</f>
        <v>80861</v>
      </c>
      <c r="D68" s="9" t="n">
        <f aca="false">Raw_Donors!C68</f>
        <v>0</v>
      </c>
      <c r="E68" s="9" t="str">
        <f aca="false">IFERROR(IF(Raw_Donors!D68="","Unknown",Raw_Donors!D68),"Unknown")</f>
        <v>Unknown</v>
      </c>
      <c r="F68" s="9" t="str">
        <f aca="false">IFERROR(IF(Raw_Donors!E68="","Unknown",Raw_Donors!E68),"Unknown")</f>
        <v>Female</v>
      </c>
      <c r="G68" s="9" t="str">
        <f aca="false">PROPER(TRIM(Raw_Donors!F68))</f>
        <v>Community Partner</v>
      </c>
      <c r="H68" s="9" t="str">
        <f aca="false">IFERROR(IF(Raw_Donors!G68="","N",Raw_Donors!G68),"N")</f>
        <v>Y</v>
      </c>
      <c r="I68" s="9" t="str">
        <f aca="false">IF(Raw_Donors!H68="","Not Rated",Raw_Donors!H68)</f>
        <v>$25,000-$49,999</v>
      </c>
      <c r="J68" s="9" t="str">
        <f aca="false">IF(TRIM(Raw_Donors!I68)="","Unknown",TRIM(Raw_Donors!I68))</f>
        <v>HOME</v>
      </c>
      <c r="K68" s="9" t="str">
        <f aca="false">Raw_Donors!J68</f>
        <v>N</v>
      </c>
      <c r="L68" s="9" t="n">
        <f aca="false">Raw_Donors!K68</f>
        <v>1</v>
      </c>
      <c r="M68" s="10" t="n">
        <f aca="false">IFERROR(VALUE(SUBSTITUTE(SUBSTITUTE(Raw_Donors!L68,"$",""),",","")),0)</f>
        <v>0</v>
      </c>
      <c r="N68" s="10" t="n">
        <f aca="false">IFERROR(VALUE(SUBSTITUTE(SUBSTITUTE(Raw_Donors!M68,"$",""),",","")),0)</f>
        <v>0</v>
      </c>
      <c r="O68" s="10" t="n">
        <f aca="false">IFERROR(VALUE(SUBSTITUTE(SUBSTITUTE(Raw_Donors!N68,"$",""),",","")),0)</f>
        <v>0</v>
      </c>
      <c r="P68" s="10" t="n">
        <f aca="false">IFERROR(VALUE(SUBSTITUTE(SUBSTITUTE(Raw_Donors!O68,"$",""),",","")),0)</f>
        <v>0</v>
      </c>
      <c r="Q68" s="10" t="n">
        <f aca="false">IFERROR(VALUE(SUBSTITUTE(SUBSTITUTE(Raw_Donors!P68,"$",""),",","")),0)</f>
        <v>0</v>
      </c>
      <c r="R68" s="10" t="n">
        <f aca="false">Raw_Donors!Q68</f>
        <v>25</v>
      </c>
      <c r="S68" s="9" t="str">
        <f aca="false">Raw_Donors!R68</f>
        <v>Y</v>
      </c>
      <c r="T68" s="9" t="str">
        <f aca="false">IF(Raw_Donors!S68="","",Raw_Donors!S68)</f>
        <v/>
      </c>
      <c r="U68" s="9" t="str">
        <f aca="false">IF(AND((O68+P68)&gt;0,Q68=0),"Lapsed - Follow Up","")</f>
        <v/>
      </c>
      <c r="V68" s="9" t="n">
        <f aca="false">RANK(R68,$R$2:$R$759)+COUNTIF($R$2:R68,R68)-1</f>
        <v>429</v>
      </c>
      <c r="W68" s="9" t="str">
        <f aca="false">IF(U68="Lapsed - Follow Up",COUNTIF($U$2:U68,"Lapsed - Follow Up"),"")</f>
        <v/>
      </c>
    </row>
    <row r="69" customFormat="false" ht="15" hidden="false" customHeight="true" outlineLevel="0" collapsed="false">
      <c r="A69" s="9" t="str">
        <f aca="false">Raw_Donors!A69</f>
        <v>D1067</v>
      </c>
      <c r="B69" s="9" t="str">
        <f aca="false">IF(ISNUMBER(SEARCH("-DUP",A69)),"Duplicate ID","")</f>
        <v/>
      </c>
      <c r="C69" s="9" t="n">
        <f aca="false">Raw_Donors!B69</f>
        <v>28533</v>
      </c>
      <c r="D69" s="9" t="n">
        <f aca="false">Raw_Donors!C69</f>
        <v>62</v>
      </c>
      <c r="E69" s="9" t="str">
        <f aca="false">IFERROR(IF(Raw_Donors!D69="","Unknown",Raw_Donors!D69),"Unknown")</f>
        <v>Unknown</v>
      </c>
      <c r="F69" s="9" t="str">
        <f aca="false">IFERROR(IF(Raw_Donors!E69="","Unknown",Raw_Donors!E69),"Unknown")</f>
        <v>Female</v>
      </c>
      <c r="G69" s="9" t="str">
        <f aca="false">PROPER(TRIM(Raw_Donors!F69))</f>
        <v>Individual Donor</v>
      </c>
      <c r="H69" s="9" t="str">
        <f aca="false">IFERROR(IF(Raw_Donors!G69="","N",Raw_Donors!G69),"N")</f>
        <v>N</v>
      </c>
      <c r="I69" s="9" t="str">
        <f aca="false">IF(Raw_Donors!H69="","Not Rated",Raw_Donors!H69)</f>
        <v>Not Rated</v>
      </c>
      <c r="J69" s="9" t="str">
        <f aca="false">IF(TRIM(Raw_Donors!I69)="","Unknown",TRIM(Raw_Donors!I69))</f>
        <v>HOME</v>
      </c>
      <c r="K69" s="9" t="str">
        <f aca="false">Raw_Donors!J69</f>
        <v>N</v>
      </c>
      <c r="L69" s="9" t="n">
        <f aca="false">Raw_Donors!K69</f>
        <v>0</v>
      </c>
      <c r="M69" s="10" t="n">
        <f aca="false">IFERROR(VALUE(SUBSTITUTE(SUBSTITUTE(Raw_Donors!L69,"$",""),",","")),0)</f>
        <v>0</v>
      </c>
      <c r="N69" s="10" t="n">
        <f aca="false">IFERROR(VALUE(SUBSTITUTE(SUBSTITUTE(Raw_Donors!M69,"$",""),",","")),0)</f>
        <v>0</v>
      </c>
      <c r="O69" s="10" t="n">
        <f aca="false">IFERROR(VALUE(SUBSTITUTE(SUBSTITUTE(Raw_Donors!N69,"$",""),",","")),0)</f>
        <v>0</v>
      </c>
      <c r="P69" s="10" t="n">
        <f aca="false">IFERROR(VALUE(SUBSTITUTE(SUBSTITUTE(Raw_Donors!O69,"$",""),",","")),0)</f>
        <v>0</v>
      </c>
      <c r="Q69" s="10" t="n">
        <f aca="false">IFERROR(VALUE(SUBSTITUTE(SUBSTITUTE(Raw_Donors!P69,"$",""),",","")),0)</f>
        <v>0</v>
      </c>
      <c r="R69" s="10" t="n">
        <f aca="false">Raw_Donors!Q69</f>
        <v>400</v>
      </c>
      <c r="S69" s="9" t="str">
        <f aca="false">Raw_Donors!R69</f>
        <v>Y</v>
      </c>
      <c r="T69" s="9" t="str">
        <f aca="false">IF(Raw_Donors!S69="","",Raw_Donors!S69)</f>
        <v>1955-12-23</v>
      </c>
      <c r="U69" s="9" t="str">
        <f aca="false">IF(AND((O69+P69)&gt;0,Q69=0),"Lapsed - Follow Up","")</f>
        <v/>
      </c>
      <c r="V69" s="9" t="n">
        <f aca="false">RANK(R69,$R$2:$R$759)+COUNTIF($R$2:R69,R69)-1</f>
        <v>110</v>
      </c>
      <c r="W69" s="9" t="str">
        <f aca="false">IF(U69="Lapsed - Follow Up",COUNTIF($U$2:U69,"Lapsed - Follow Up"),"")</f>
        <v/>
      </c>
    </row>
    <row r="70" customFormat="false" ht="15" hidden="false" customHeight="true" outlineLevel="0" collapsed="false">
      <c r="A70" s="9" t="str">
        <f aca="false">Raw_Donors!A70</f>
        <v>D1068</v>
      </c>
      <c r="B70" s="9" t="str">
        <f aca="false">IF(ISNUMBER(SEARCH("-DUP",A70)),"Duplicate ID","")</f>
        <v/>
      </c>
      <c r="C70" s="9" t="n">
        <f aca="false">Raw_Donors!B70</f>
        <v>8561</v>
      </c>
      <c r="D70" s="9" t="n">
        <f aca="false">Raw_Donors!C70</f>
        <v>0</v>
      </c>
      <c r="E70" s="9" t="str">
        <f aca="false">IFERROR(IF(Raw_Donors!D70="","Unknown",Raw_Donors!D70),"Unknown")</f>
        <v>Married</v>
      </c>
      <c r="F70" s="9" t="str">
        <f aca="false">IFERROR(IF(Raw_Donors!E70="","Unknown",Raw_Donors!E70),"Unknown")</f>
        <v>Female</v>
      </c>
      <c r="G70" s="9" t="str">
        <f aca="false">PROPER(TRIM(Raw_Donors!F70))</f>
        <v>Family Donor</v>
      </c>
      <c r="H70" s="9" t="str">
        <f aca="false">IFERROR(IF(Raw_Donors!G70="","N",Raw_Donors!G70),"N")</f>
        <v>N</v>
      </c>
      <c r="I70" s="9" t="str">
        <f aca="false">IF(Raw_Donors!H70="","Not Rated",Raw_Donors!H70)</f>
        <v>Not Rated</v>
      </c>
      <c r="J70" s="9" t="str">
        <f aca="false">IF(TRIM(Raw_Donors!I70)="","Unknown",TRIM(Raw_Donors!I70))</f>
        <v>HOME</v>
      </c>
      <c r="K70" s="9" t="str">
        <f aca="false">Raw_Donors!J70</f>
        <v>N</v>
      </c>
      <c r="L70" s="9" t="n">
        <f aca="false">Raw_Donors!K70</f>
        <v>0</v>
      </c>
      <c r="M70" s="10" t="n">
        <f aca="false">IFERROR(VALUE(SUBSTITUTE(SUBSTITUTE(Raw_Donors!L70,"$",""),",","")),0)</f>
        <v>0</v>
      </c>
      <c r="N70" s="10" t="n">
        <f aca="false">IFERROR(VALUE(SUBSTITUTE(SUBSTITUTE(Raw_Donors!M70,"$",""),",","")),0)</f>
        <v>0</v>
      </c>
      <c r="O70" s="10" t="n">
        <f aca="false">IFERROR(VALUE(SUBSTITUTE(SUBSTITUTE(Raw_Donors!N70,"$",""),",","")),0)</f>
        <v>0</v>
      </c>
      <c r="P70" s="10" t="n">
        <f aca="false">IFERROR(VALUE(SUBSTITUTE(SUBSTITUTE(Raw_Donors!O70,"$",""),",","")),0)</f>
        <v>0</v>
      </c>
      <c r="Q70" s="10" t="n">
        <f aca="false">IFERROR(VALUE(SUBSTITUTE(SUBSTITUTE(Raw_Donors!P70,"$",""),",","")),0)</f>
        <v>0</v>
      </c>
      <c r="R70" s="10" t="n">
        <f aca="false">Raw_Donors!Q70</f>
        <v>0</v>
      </c>
      <c r="S70" s="9" t="str">
        <f aca="false">Raw_Donors!R70</f>
        <v>N</v>
      </c>
      <c r="T70" s="9" t="str">
        <f aca="false">IF(Raw_Donors!S70="","",Raw_Donors!S70)</f>
        <v/>
      </c>
      <c r="U70" s="9" t="str">
        <f aca="false">IF(AND((O70+P70)&gt;0,Q70=0),"Lapsed - Follow Up","")</f>
        <v/>
      </c>
      <c r="V70" s="9" t="n">
        <f aca="false">RANK(R70,$R$2:$R$759)+COUNTIF($R$2:R70,R70)-1</f>
        <v>573</v>
      </c>
      <c r="W70" s="9" t="str">
        <f aca="false">IF(U70="Lapsed - Follow Up",COUNTIF($U$2:U70,"Lapsed - Follow Up"),"")</f>
        <v/>
      </c>
    </row>
    <row r="71" customFormat="false" ht="15" hidden="false" customHeight="true" outlineLevel="0" collapsed="false">
      <c r="A71" s="9" t="str">
        <f aca="false">Raw_Donors!A71</f>
        <v>D1069</v>
      </c>
      <c r="B71" s="9" t="str">
        <f aca="false">IF(ISNUMBER(SEARCH("-DUP",A71)),"Duplicate ID","")</f>
        <v/>
      </c>
      <c r="C71" s="9" t="n">
        <f aca="false">Raw_Donors!B71</f>
        <v>50013</v>
      </c>
      <c r="D71" s="9" t="n">
        <f aca="false">Raw_Donors!C71</f>
        <v>0</v>
      </c>
      <c r="E71" s="9" t="str">
        <f aca="false">IFERROR(IF(Raw_Donors!D71="","Unknown",Raw_Donors!D71),"Unknown")</f>
        <v>Unknown</v>
      </c>
      <c r="F71" s="9" t="str">
        <f aca="false">IFERROR(IF(Raw_Donors!E71="","Unknown",Raw_Donors!E71),"Unknown")</f>
        <v>Female</v>
      </c>
      <c r="G71" s="9" t="str">
        <f aca="false">PROPER(TRIM(Raw_Donors!F71))</f>
        <v>Individual Donor</v>
      </c>
      <c r="H71" s="9" t="str">
        <f aca="false">IFERROR(IF(Raw_Donors!G71="","N",Raw_Donors!G71),"N")</f>
        <v>N</v>
      </c>
      <c r="I71" s="9" t="str">
        <f aca="false">IF(Raw_Donors!H71="","Not Rated",Raw_Donors!H71)</f>
        <v>Not Rated</v>
      </c>
      <c r="J71" s="9" t="str">
        <f aca="false">IF(TRIM(Raw_Donors!I71)="","Unknown",TRIM(Raw_Donors!I71))</f>
        <v>HOME</v>
      </c>
      <c r="K71" s="9" t="str">
        <f aca="false">Raw_Donors!J71</f>
        <v>N</v>
      </c>
      <c r="L71" s="9" t="n">
        <f aca="false">Raw_Donors!K71</f>
        <v>1</v>
      </c>
      <c r="M71" s="10" t="n">
        <f aca="false">IFERROR(VALUE(SUBSTITUTE(SUBSTITUTE(Raw_Donors!L71,"$",""),",","")),0)</f>
        <v>0</v>
      </c>
      <c r="N71" s="10" t="n">
        <f aca="false">IFERROR(VALUE(SUBSTITUTE(SUBSTITUTE(Raw_Donors!M71,"$",""),",","")),0)</f>
        <v>0</v>
      </c>
      <c r="O71" s="10" t="n">
        <f aca="false">IFERROR(VALUE(SUBSTITUTE(SUBSTITUTE(Raw_Donors!N71,"$",""),",","")),0)</f>
        <v>0</v>
      </c>
      <c r="P71" s="10" t="n">
        <f aca="false">IFERROR(VALUE(SUBSTITUTE(SUBSTITUTE(Raw_Donors!O71,"$",""),",","")),0)</f>
        <v>0</v>
      </c>
      <c r="Q71" s="10" t="n">
        <f aca="false">IFERROR(VALUE(SUBSTITUTE(SUBSTITUTE(Raw_Donors!P71,"$",""),",","")),0)</f>
        <v>0</v>
      </c>
      <c r="R71" s="10" t="n">
        <f aca="false">Raw_Donors!Q71</f>
        <v>0</v>
      </c>
      <c r="S71" s="9" t="str">
        <f aca="false">Raw_Donors!R71</f>
        <v>N</v>
      </c>
      <c r="T71" s="9" t="str">
        <f aca="false">IF(Raw_Donors!S71="","",Raw_Donors!S71)</f>
        <v/>
      </c>
      <c r="U71" s="9" t="str">
        <f aca="false">IF(AND((O71+P71)&gt;0,Q71=0),"Lapsed - Follow Up","")</f>
        <v/>
      </c>
      <c r="V71" s="9" t="n">
        <f aca="false">RANK(R71,$R$2:$R$759)+COUNTIF($R$2:R71,R71)-1</f>
        <v>574</v>
      </c>
      <c r="W71" s="9" t="str">
        <f aca="false">IF(U71="Lapsed - Follow Up",COUNTIF($U$2:U71,"Lapsed - Follow Up"),"")</f>
        <v/>
      </c>
    </row>
    <row r="72" customFormat="false" ht="15" hidden="false" customHeight="true" outlineLevel="0" collapsed="false">
      <c r="A72" s="9" t="str">
        <f aca="false">Raw_Donors!A72</f>
        <v>D1070</v>
      </c>
      <c r="B72" s="9" t="str">
        <f aca="false">IF(ISNUMBER(SEARCH("-DUP",A72)),"Duplicate ID","")</f>
        <v/>
      </c>
      <c r="C72" s="9" t="n">
        <f aca="false">Raw_Donors!B72</f>
        <v>29162</v>
      </c>
      <c r="D72" s="9" t="n">
        <f aca="false">Raw_Donors!C72</f>
        <v>71</v>
      </c>
      <c r="E72" s="9" t="str">
        <f aca="false">IFERROR(IF(Raw_Donors!D72="","Unknown",Raw_Donors!D72),"Unknown")</f>
        <v>Married</v>
      </c>
      <c r="F72" s="9" t="str">
        <f aca="false">IFERROR(IF(Raw_Donors!E72="","Unknown",Raw_Donors!E72),"Unknown")</f>
        <v>Male</v>
      </c>
      <c r="G72" s="9" t="str">
        <f aca="false">PROPER(TRIM(Raw_Donors!F72))</f>
        <v>Community Partner</v>
      </c>
      <c r="H72" s="9" t="str">
        <f aca="false">IFERROR(IF(Raw_Donors!G72="","N",Raw_Donors!G72),"N")</f>
        <v>Y</v>
      </c>
      <c r="I72" s="9" t="str">
        <f aca="false">IF(Raw_Donors!H72="","Not Rated",Raw_Donors!H72)</f>
        <v>Not Rated</v>
      </c>
      <c r="J72" s="9" t="str">
        <f aca="false">IF(TRIM(Raw_Donors!I72)="","Unknown",TRIM(Raw_Donors!I72))</f>
        <v>HOME</v>
      </c>
      <c r="K72" s="9" t="str">
        <f aca="false">Raw_Donors!J72</f>
        <v>Y</v>
      </c>
      <c r="L72" s="9" t="n">
        <f aca="false">Raw_Donors!K72</f>
        <v>2</v>
      </c>
      <c r="M72" s="10" t="n">
        <f aca="false">IFERROR(VALUE(SUBSTITUTE(SUBSTITUTE(Raw_Donors!L72,"$",""),",","")),0)</f>
        <v>0</v>
      </c>
      <c r="N72" s="10" t="n">
        <f aca="false">IFERROR(VALUE(SUBSTITUTE(SUBSTITUTE(Raw_Donors!M72,"$",""),",","")),0)</f>
        <v>0</v>
      </c>
      <c r="O72" s="10" t="n">
        <f aca="false">IFERROR(VALUE(SUBSTITUTE(SUBSTITUTE(Raw_Donors!N72,"$",""),",","")),0)</f>
        <v>0</v>
      </c>
      <c r="P72" s="10" t="n">
        <f aca="false">IFERROR(VALUE(SUBSTITUTE(SUBSTITUTE(Raw_Donors!O72,"$",""),",","")),0)</f>
        <v>0</v>
      </c>
      <c r="Q72" s="10" t="n">
        <f aca="false">IFERROR(VALUE(SUBSTITUTE(SUBSTITUTE(Raw_Donors!P72,"$",""),",","")),0)</f>
        <v>0</v>
      </c>
      <c r="R72" s="10" t="n">
        <f aca="false">Raw_Donors!Q72</f>
        <v>0</v>
      </c>
      <c r="S72" s="9" t="str">
        <f aca="false">Raw_Donors!R72</f>
        <v>N</v>
      </c>
      <c r="T72" s="9" t="str">
        <f aca="false">IF(Raw_Donors!S72="","",Raw_Donors!S72)</f>
        <v>1946-12-11</v>
      </c>
      <c r="U72" s="9" t="str">
        <f aca="false">IF(AND((O72+P72)&gt;0,Q72=0),"Lapsed - Follow Up","")</f>
        <v/>
      </c>
      <c r="V72" s="9" t="n">
        <f aca="false">RANK(R72,$R$2:$R$759)+COUNTIF($R$2:R72,R72)-1</f>
        <v>575</v>
      </c>
      <c r="W72" s="9" t="str">
        <f aca="false">IF(U72="Lapsed - Follow Up",COUNTIF($U$2:U72,"Lapsed - Follow Up"),"")</f>
        <v/>
      </c>
    </row>
    <row r="73" customFormat="false" ht="15" hidden="false" customHeight="true" outlineLevel="0" collapsed="false">
      <c r="A73" s="9" t="str">
        <f aca="false">Raw_Donors!A73</f>
        <v>D1071</v>
      </c>
      <c r="B73" s="9" t="str">
        <f aca="false">IF(ISNUMBER(SEARCH("-DUP",A73)),"Duplicate ID","")</f>
        <v/>
      </c>
      <c r="C73" s="9" t="n">
        <f aca="false">Raw_Donors!B73</f>
        <v>60173</v>
      </c>
      <c r="D73" s="9" t="n">
        <f aca="false">Raw_Donors!C73</f>
        <v>0</v>
      </c>
      <c r="E73" s="9" t="str">
        <f aca="false">IFERROR(IF(Raw_Donors!D73="","Unknown",Raw_Donors!D73),"Unknown")</f>
        <v>Married</v>
      </c>
      <c r="F73" s="9" t="str">
        <f aca="false">IFERROR(IF(Raw_Donors!E73="","Unknown",Raw_Donors!E73),"Unknown")</f>
        <v>Male</v>
      </c>
      <c r="G73" s="9" t="str">
        <f aca="false">PROPER(TRIM(Raw_Donors!F73))</f>
        <v>Individual Donor</v>
      </c>
      <c r="H73" s="9" t="str">
        <f aca="false">IFERROR(IF(Raw_Donors!G73="","N",Raw_Donors!G73),"N")</f>
        <v>N</v>
      </c>
      <c r="I73" s="9" t="str">
        <f aca="false">IF(Raw_Donors!H73="","Not Rated",Raw_Donors!H73)</f>
        <v>Not Rated</v>
      </c>
      <c r="J73" s="9" t="str">
        <f aca="false">IF(TRIM(Raw_Donors!I73)="","Unknown",TRIM(Raw_Donors!I73))</f>
        <v>HOME</v>
      </c>
      <c r="K73" s="9" t="str">
        <f aca="false">Raw_Donors!J73</f>
        <v>N</v>
      </c>
      <c r="L73" s="9" t="n">
        <f aca="false">Raw_Donors!K73</f>
        <v>0</v>
      </c>
      <c r="M73" s="10" t="n">
        <f aca="false">IFERROR(VALUE(SUBSTITUTE(SUBSTITUTE(Raw_Donors!L73,"$",""),",","")),0)</f>
        <v>0</v>
      </c>
      <c r="N73" s="10" t="n">
        <f aca="false">IFERROR(VALUE(SUBSTITUTE(SUBSTITUTE(Raw_Donors!M73,"$",""),",","")),0)</f>
        <v>0</v>
      </c>
      <c r="O73" s="10" t="n">
        <f aca="false">IFERROR(VALUE(SUBSTITUTE(SUBSTITUTE(Raw_Donors!N73,"$",""),",","")),0)</f>
        <v>0</v>
      </c>
      <c r="P73" s="10" t="n">
        <f aca="false">IFERROR(VALUE(SUBSTITUTE(SUBSTITUTE(Raw_Donors!O73,"$",""),",","")),0)</f>
        <v>0</v>
      </c>
      <c r="Q73" s="10" t="n">
        <f aca="false">IFERROR(VALUE(SUBSTITUTE(SUBSTITUTE(Raw_Donors!P73,"$",""),",","")),0)</f>
        <v>0</v>
      </c>
      <c r="R73" s="10" t="n">
        <f aca="false">Raw_Donors!Q73</f>
        <v>0</v>
      </c>
      <c r="S73" s="9" t="str">
        <f aca="false">Raw_Donors!R73</f>
        <v>N</v>
      </c>
      <c r="T73" s="9" t="str">
        <f aca="false">IF(Raw_Donors!S73="","",Raw_Donors!S73)</f>
        <v/>
      </c>
      <c r="U73" s="9" t="str">
        <f aca="false">IF(AND((O73+P73)&gt;0,Q73=0),"Lapsed - Follow Up","")</f>
        <v/>
      </c>
      <c r="V73" s="9" t="n">
        <f aca="false">RANK(R73,$R$2:$R$759)+COUNTIF($R$2:R73,R73)-1</f>
        <v>576</v>
      </c>
      <c r="W73" s="9" t="str">
        <f aca="false">IF(U73="Lapsed - Follow Up",COUNTIF($U$2:U73,"Lapsed - Follow Up"),"")</f>
        <v/>
      </c>
    </row>
    <row r="74" customFormat="false" ht="15" hidden="false" customHeight="true" outlineLevel="0" collapsed="false">
      <c r="A74" s="9" t="str">
        <f aca="false">Raw_Donors!A74</f>
        <v>D1072</v>
      </c>
      <c r="B74" s="9" t="str">
        <f aca="false">IF(ISNUMBER(SEARCH("-DUP",A74)),"Duplicate ID","")</f>
        <v/>
      </c>
      <c r="C74" s="9" t="n">
        <f aca="false">Raw_Donors!B74</f>
        <v>90078</v>
      </c>
      <c r="D74" s="9" t="n">
        <f aca="false">Raw_Donors!C74</f>
        <v>0</v>
      </c>
      <c r="E74" s="9" t="str">
        <f aca="false">IFERROR(IF(Raw_Donors!D74="","Unknown",Raw_Donors!D74),"Unknown")</f>
        <v>Married</v>
      </c>
      <c r="F74" s="9" t="str">
        <f aca="false">IFERROR(IF(Raw_Donors!E74="","Unknown",Raw_Donors!E74),"Unknown")</f>
        <v>Male</v>
      </c>
      <c r="G74" s="9" t="str">
        <f aca="false">PROPER(TRIM(Raw_Donors!F74))</f>
        <v>Individual Donor</v>
      </c>
      <c r="H74" s="9" t="str">
        <f aca="false">IFERROR(IF(Raw_Donors!G74="","N",Raw_Donors!G74),"N")</f>
        <v>Y</v>
      </c>
      <c r="I74" s="9" t="str">
        <f aca="false">IF(Raw_Donors!H74="","Not Rated",Raw_Donors!H74)</f>
        <v>Not Rated</v>
      </c>
      <c r="J74" s="9" t="str">
        <f aca="false">IF(TRIM(Raw_Donors!I74)="","Unknown",TRIM(Raw_Donors!I74))</f>
        <v>HOME</v>
      </c>
      <c r="K74" s="9" t="str">
        <f aca="false">Raw_Donors!J74</f>
        <v>N</v>
      </c>
      <c r="L74" s="9" t="n">
        <f aca="false">Raw_Donors!K74</f>
        <v>3</v>
      </c>
      <c r="M74" s="10" t="n">
        <f aca="false">IFERROR(VALUE(SUBSTITUTE(SUBSTITUTE(Raw_Donors!L74,"$",""),",","")),0)</f>
        <v>0</v>
      </c>
      <c r="N74" s="10" t="n">
        <f aca="false">IFERROR(VALUE(SUBSTITUTE(SUBSTITUTE(Raw_Donors!M74,"$",""),",","")),0)</f>
        <v>0</v>
      </c>
      <c r="O74" s="10" t="n">
        <f aca="false">IFERROR(VALUE(SUBSTITUTE(SUBSTITUTE(Raw_Donors!N74,"$",""),",","")),0)</f>
        <v>0</v>
      </c>
      <c r="P74" s="10" t="n">
        <f aca="false">IFERROR(VALUE(SUBSTITUTE(SUBSTITUTE(Raw_Donors!O74,"$",""),",","")),0)</f>
        <v>0</v>
      </c>
      <c r="Q74" s="10" t="n">
        <f aca="false">IFERROR(VALUE(SUBSTITUTE(SUBSTITUTE(Raw_Donors!P74,"$",""),",","")),0)</f>
        <v>100</v>
      </c>
      <c r="R74" s="10" t="n">
        <f aca="false">Raw_Donors!Q74</f>
        <v>100</v>
      </c>
      <c r="S74" s="9" t="str">
        <f aca="false">Raw_Donors!R74</f>
        <v>Y</v>
      </c>
      <c r="T74" s="9" t="str">
        <f aca="false">IF(Raw_Donors!S74="","",Raw_Donors!S74)</f>
        <v/>
      </c>
      <c r="U74" s="9" t="str">
        <f aca="false">IF(AND((O74+P74)&gt;0,Q74=0),"Lapsed - Follow Up","")</f>
        <v/>
      </c>
      <c r="V74" s="9" t="n">
        <f aca="false">RANK(R74,$R$2:$R$759)+COUNTIF($R$2:R74,R74)-1</f>
        <v>273</v>
      </c>
      <c r="W74" s="9" t="str">
        <f aca="false">IF(U74="Lapsed - Follow Up",COUNTIF($U$2:U74,"Lapsed - Follow Up"),"")</f>
        <v/>
      </c>
    </row>
    <row r="75" customFormat="false" ht="15" hidden="false" customHeight="true" outlineLevel="0" collapsed="false">
      <c r="A75" s="9" t="str">
        <f aca="false">Raw_Donors!A75</f>
        <v>D1073</v>
      </c>
      <c r="B75" s="9" t="str">
        <f aca="false">IF(ISNUMBER(SEARCH("-DUP",A75)),"Duplicate ID","")</f>
        <v/>
      </c>
      <c r="C75" s="9" t="n">
        <f aca="false">Raw_Donors!B75</f>
        <v>60448</v>
      </c>
      <c r="D75" s="9" t="n">
        <f aca="false">Raw_Donors!C75</f>
        <v>0</v>
      </c>
      <c r="E75" s="9" t="str">
        <f aca="false">IFERROR(IF(Raw_Donors!D75="","Unknown",Raw_Donors!D75),"Unknown")</f>
        <v>Unknown</v>
      </c>
      <c r="F75" s="9" t="str">
        <f aca="false">IFERROR(IF(Raw_Donors!E75="","Unknown",Raw_Donors!E75),"Unknown")</f>
        <v>Male</v>
      </c>
      <c r="G75" s="9" t="str">
        <f aca="false">PROPER(TRIM(Raw_Donors!F75))</f>
        <v>Community Partner</v>
      </c>
      <c r="H75" s="9" t="str">
        <f aca="false">IFERROR(IF(Raw_Donors!G75="","N",Raw_Donors!G75),"N")</f>
        <v>N</v>
      </c>
      <c r="I75" s="9" t="str">
        <f aca="false">IF(Raw_Donors!H75="","Not Rated",Raw_Donors!H75)</f>
        <v>Not Rated</v>
      </c>
      <c r="J75" s="9" t="str">
        <f aca="false">IF(TRIM(Raw_Donors!I75)="","Unknown",TRIM(Raw_Donors!I75))</f>
        <v>HOME</v>
      </c>
      <c r="K75" s="9" t="str">
        <f aca="false">Raw_Donors!J75</f>
        <v>N</v>
      </c>
      <c r="L75" s="9" t="n">
        <f aca="false">Raw_Donors!K75</f>
        <v>0</v>
      </c>
      <c r="M75" s="10" t="n">
        <f aca="false">IFERROR(VALUE(SUBSTITUTE(SUBSTITUTE(Raw_Donors!L75,"$",""),",","")),0)</f>
        <v>0</v>
      </c>
      <c r="N75" s="10" t="n">
        <f aca="false">IFERROR(VALUE(SUBSTITUTE(SUBSTITUTE(Raw_Donors!M75,"$",""),",","")),0)</f>
        <v>0</v>
      </c>
      <c r="O75" s="10" t="n">
        <f aca="false">IFERROR(VALUE(SUBSTITUTE(SUBSTITUTE(Raw_Donors!N75,"$",""),",","")),0)</f>
        <v>0</v>
      </c>
      <c r="P75" s="10" t="n">
        <f aca="false">IFERROR(VALUE(SUBSTITUTE(SUBSTITUTE(Raw_Donors!O75,"$",""),",","")),0)</f>
        <v>0</v>
      </c>
      <c r="Q75" s="10" t="n">
        <f aca="false">IFERROR(VALUE(SUBSTITUTE(SUBSTITUTE(Raw_Donors!P75,"$",""),",","")),0)</f>
        <v>0</v>
      </c>
      <c r="R75" s="10" t="n">
        <f aca="false">Raw_Donors!Q75</f>
        <v>0</v>
      </c>
      <c r="S75" s="9" t="str">
        <f aca="false">Raw_Donors!R75</f>
        <v>N</v>
      </c>
      <c r="T75" s="9" t="str">
        <f aca="false">IF(Raw_Donors!S75="","",Raw_Donors!S75)</f>
        <v/>
      </c>
      <c r="U75" s="9" t="str">
        <f aca="false">IF(AND((O75+P75)&gt;0,Q75=0),"Lapsed - Follow Up","")</f>
        <v/>
      </c>
      <c r="V75" s="9" t="n">
        <f aca="false">RANK(R75,$R$2:$R$759)+COUNTIF($R$2:R75,R75)-1</f>
        <v>577</v>
      </c>
      <c r="W75" s="9" t="str">
        <f aca="false">IF(U75="Lapsed - Follow Up",COUNTIF($U$2:U75,"Lapsed - Follow Up"),"")</f>
        <v/>
      </c>
    </row>
    <row r="76" customFormat="false" ht="15" hidden="false" customHeight="true" outlineLevel="0" collapsed="false">
      <c r="A76" s="9" t="str">
        <f aca="false">Raw_Donors!A76</f>
        <v>D1074</v>
      </c>
      <c r="B76" s="9" t="str">
        <f aca="false">IF(ISNUMBER(SEARCH("-DUP",A76)),"Duplicate ID","")</f>
        <v/>
      </c>
      <c r="C76" s="9" t="n">
        <f aca="false">Raw_Donors!B76</f>
        <v>90265</v>
      </c>
      <c r="D76" s="9" t="n">
        <f aca="false">Raw_Donors!C76</f>
        <v>0</v>
      </c>
      <c r="E76" s="9" t="str">
        <f aca="false">IFERROR(IF(Raw_Donors!D76="","Unknown",Raw_Donors!D76),"Unknown")</f>
        <v>Unknown</v>
      </c>
      <c r="F76" s="9" t="str">
        <f aca="false">IFERROR(IF(Raw_Donors!E76="","Unknown",Raw_Donors!E76),"Unknown")</f>
        <v>Female</v>
      </c>
      <c r="G76" s="9" t="str">
        <f aca="false">PROPER(TRIM(Raw_Donors!F76))</f>
        <v>Community Partner</v>
      </c>
      <c r="H76" s="9" t="str">
        <f aca="false">IFERROR(IF(Raw_Donors!G76="","N",Raw_Donors!G76),"N")</f>
        <v>N</v>
      </c>
      <c r="I76" s="9" t="str">
        <f aca="false">IF(Raw_Donors!H76="","Not Rated",Raw_Donors!H76)</f>
        <v>Not Rated</v>
      </c>
      <c r="J76" s="9" t="str">
        <f aca="false">IF(TRIM(Raw_Donors!I76)="","Unknown",TRIM(Raw_Donors!I76))</f>
        <v>Unknown</v>
      </c>
      <c r="K76" s="9" t="str">
        <f aca="false">Raw_Donors!J76</f>
        <v>N</v>
      </c>
      <c r="L76" s="9" t="n">
        <f aca="false">Raw_Donors!K76</f>
        <v>1</v>
      </c>
      <c r="M76" s="10" t="n">
        <f aca="false">IFERROR(VALUE(SUBSTITUTE(SUBSTITUTE(Raw_Donors!L76,"$",""),",","")),0)</f>
        <v>0</v>
      </c>
      <c r="N76" s="10" t="n">
        <f aca="false">IFERROR(VALUE(SUBSTITUTE(SUBSTITUTE(Raw_Donors!M76,"$",""),",","")),0)</f>
        <v>0</v>
      </c>
      <c r="O76" s="10" t="n">
        <f aca="false">IFERROR(VALUE(SUBSTITUTE(SUBSTITUTE(Raw_Donors!N76,"$",""),",","")),0)</f>
        <v>0</v>
      </c>
      <c r="P76" s="10" t="n">
        <f aca="false">IFERROR(VALUE(SUBSTITUTE(SUBSTITUTE(Raw_Donors!O76,"$",""),",","")),0)</f>
        <v>0</v>
      </c>
      <c r="Q76" s="10" t="n">
        <f aca="false">IFERROR(VALUE(SUBSTITUTE(SUBSTITUTE(Raw_Donors!P76,"$",""),",","")),0)</f>
        <v>0</v>
      </c>
      <c r="R76" s="10" t="n">
        <f aca="false">Raw_Donors!Q76</f>
        <v>0</v>
      </c>
      <c r="S76" s="9" t="str">
        <f aca="false">Raw_Donors!R76</f>
        <v>N</v>
      </c>
      <c r="T76" s="9" t="str">
        <f aca="false">IF(Raw_Donors!S76="","",Raw_Donors!S76)</f>
        <v/>
      </c>
      <c r="U76" s="9" t="str">
        <f aca="false">IF(AND((O76+P76)&gt;0,Q76=0),"Lapsed - Follow Up","")</f>
        <v/>
      </c>
      <c r="V76" s="9" t="n">
        <f aca="false">RANK(R76,$R$2:$R$759)+COUNTIF($R$2:R76,R76)-1</f>
        <v>578</v>
      </c>
      <c r="W76" s="9" t="str">
        <f aca="false">IF(U76="Lapsed - Follow Up",COUNTIF($U$2:U76,"Lapsed - Follow Up"),"")</f>
        <v/>
      </c>
    </row>
    <row r="77" customFormat="false" ht="15" hidden="false" customHeight="true" outlineLevel="0" collapsed="false">
      <c r="A77" s="9" t="str">
        <f aca="false">Raw_Donors!A77</f>
        <v>D1075</v>
      </c>
      <c r="B77" s="9" t="str">
        <f aca="false">IF(ISNUMBER(SEARCH("-DUP",A77)),"Duplicate ID","")</f>
        <v/>
      </c>
      <c r="C77" s="9" t="n">
        <f aca="false">Raw_Donors!B77</f>
        <v>46403</v>
      </c>
      <c r="D77" s="9" t="n">
        <f aca="false">Raw_Donors!C77</f>
        <v>0</v>
      </c>
      <c r="E77" s="9" t="str">
        <f aca="false">IFERROR(IF(Raw_Donors!D77="","Unknown",Raw_Donors!D77),"Unknown")</f>
        <v>Married</v>
      </c>
      <c r="F77" s="9" t="str">
        <f aca="false">IFERROR(IF(Raw_Donors!E77="","Unknown",Raw_Donors!E77),"Unknown")</f>
        <v>Female</v>
      </c>
      <c r="G77" s="9" t="str">
        <f aca="false">PROPER(TRIM(Raw_Donors!F77))</f>
        <v>Family Donor</v>
      </c>
      <c r="H77" s="9" t="str">
        <f aca="false">IFERROR(IF(Raw_Donors!G77="","N",Raw_Donors!G77),"N")</f>
        <v>N</v>
      </c>
      <c r="I77" s="9" t="str">
        <f aca="false">IF(Raw_Donors!H77="","Not Rated",Raw_Donors!H77)</f>
        <v>$25,000-$49,999</v>
      </c>
      <c r="J77" s="9" t="str">
        <f aca="false">IF(TRIM(Raw_Donors!I77)="","Unknown",TRIM(Raw_Donors!I77))</f>
        <v>HOME</v>
      </c>
      <c r="K77" s="9" t="str">
        <f aca="false">Raw_Donors!J77</f>
        <v>Y</v>
      </c>
      <c r="L77" s="9" t="n">
        <f aca="false">Raw_Donors!K77</f>
        <v>0</v>
      </c>
      <c r="M77" s="10" t="n">
        <f aca="false">IFERROR(VALUE(SUBSTITUTE(SUBSTITUTE(Raw_Donors!L77,"$",""),",","")),0)</f>
        <v>0</v>
      </c>
      <c r="N77" s="10" t="n">
        <f aca="false">IFERROR(VALUE(SUBSTITUTE(SUBSTITUTE(Raw_Donors!M77,"$",""),",","")),0)</f>
        <v>15</v>
      </c>
      <c r="O77" s="10" t="n">
        <f aca="false">IFERROR(VALUE(SUBSTITUTE(SUBSTITUTE(Raw_Donors!N77,"$",""),",","")),0)</f>
        <v>0</v>
      </c>
      <c r="P77" s="10" t="n">
        <f aca="false">IFERROR(VALUE(SUBSTITUTE(SUBSTITUTE(Raw_Donors!O77,"$",""),",","")),0)</f>
        <v>0</v>
      </c>
      <c r="Q77" s="10" t="n">
        <f aca="false">IFERROR(VALUE(SUBSTITUTE(SUBSTITUTE(Raw_Donors!P77,"$",""),",","")),0)</f>
        <v>0</v>
      </c>
      <c r="R77" s="10" t="n">
        <f aca="false">Raw_Donors!Q77</f>
        <v>60</v>
      </c>
      <c r="S77" s="9" t="str">
        <f aca="false">Raw_Donors!R77</f>
        <v>Y</v>
      </c>
      <c r="T77" s="9" t="str">
        <f aca="false">IF(Raw_Donors!S77="","",Raw_Donors!S77)</f>
        <v/>
      </c>
      <c r="U77" s="9" t="str">
        <f aca="false">IF(AND((O77+P77)&gt;0,Q77=0),"Lapsed - Follow Up","")</f>
        <v/>
      </c>
      <c r="V77" s="9" t="n">
        <f aca="false">RANK(R77,$R$2:$R$759)+COUNTIF($R$2:R77,R77)-1</f>
        <v>350</v>
      </c>
      <c r="W77" s="9" t="str">
        <f aca="false">IF(U77="Lapsed - Follow Up",COUNTIF($U$2:U77,"Lapsed - Follow Up"),"")</f>
        <v/>
      </c>
    </row>
    <row r="78" customFormat="false" ht="15" hidden="false" customHeight="true" outlineLevel="0" collapsed="false">
      <c r="A78" s="9" t="str">
        <f aca="false">Raw_Donors!A78</f>
        <v>D1076</v>
      </c>
      <c r="B78" s="9" t="str">
        <f aca="false">IF(ISNUMBER(SEARCH("-DUP",A78)),"Duplicate ID","")</f>
        <v/>
      </c>
      <c r="C78" s="9" t="n">
        <f aca="false">Raw_Donors!B78</f>
        <v>75686</v>
      </c>
      <c r="D78" s="9" t="n">
        <f aca="false">Raw_Donors!C78</f>
        <v>0</v>
      </c>
      <c r="E78" s="9" t="str">
        <f aca="false">IFERROR(IF(Raw_Donors!D78="","Unknown",Raw_Donors!D78),"Unknown")</f>
        <v>Unknown</v>
      </c>
      <c r="F78" s="9" t="str">
        <f aca="false">IFERROR(IF(Raw_Donors!E78="","Unknown",Raw_Donors!E78),"Unknown")</f>
        <v>Female</v>
      </c>
      <c r="G78" s="9" t="str">
        <f aca="false">PROPER(TRIM(Raw_Donors!F78))</f>
        <v>Individual Donor</v>
      </c>
      <c r="H78" s="9" t="str">
        <f aca="false">IFERROR(IF(Raw_Donors!G78="","N",Raw_Donors!G78),"N")</f>
        <v>N</v>
      </c>
      <c r="I78" s="9" t="str">
        <f aca="false">IF(Raw_Donors!H78="","Not Rated",Raw_Donors!H78)</f>
        <v>Not Rated</v>
      </c>
      <c r="J78" s="9" t="str">
        <f aca="false">IF(TRIM(Raw_Donors!I78)="","Unknown",TRIM(Raw_Donors!I78))</f>
        <v>HOME</v>
      </c>
      <c r="K78" s="9" t="str">
        <f aca="false">Raw_Donors!J78</f>
        <v>N</v>
      </c>
      <c r="L78" s="9" t="n">
        <f aca="false">Raw_Donors!K78</f>
        <v>5</v>
      </c>
      <c r="M78" s="10" t="n">
        <f aca="false">IFERROR(VALUE(SUBSTITUTE(SUBSTITUTE(Raw_Donors!L78,"$",""),",","")),0)</f>
        <v>0</v>
      </c>
      <c r="N78" s="10" t="n">
        <f aca="false">IFERROR(VALUE(SUBSTITUTE(SUBSTITUTE(Raw_Donors!M78,"$",""),",","")),0)</f>
        <v>0</v>
      </c>
      <c r="O78" s="10" t="n">
        <f aca="false">IFERROR(VALUE(SUBSTITUTE(SUBSTITUTE(Raw_Donors!N78,"$",""),",","")),0)</f>
        <v>0</v>
      </c>
      <c r="P78" s="10" t="n">
        <f aca="false">IFERROR(VALUE(SUBSTITUTE(SUBSTITUTE(Raw_Donors!O78,"$",""),",","")),0)</f>
        <v>0</v>
      </c>
      <c r="Q78" s="10" t="n">
        <f aca="false">IFERROR(VALUE(SUBSTITUTE(SUBSTITUTE(Raw_Donors!P78,"$",""),",","")),0)</f>
        <v>0</v>
      </c>
      <c r="R78" s="10" t="n">
        <f aca="false">Raw_Donors!Q78</f>
        <v>1110</v>
      </c>
      <c r="S78" s="9" t="str">
        <f aca="false">Raw_Donors!R78</f>
        <v>Y</v>
      </c>
      <c r="T78" s="9" t="str">
        <f aca="false">IF(Raw_Donors!S78="","",Raw_Donors!S78)</f>
        <v/>
      </c>
      <c r="U78" s="9" t="str">
        <f aca="false">IF(AND((O78+P78)&gt;0,Q78=0),"Lapsed - Follow Up","")</f>
        <v/>
      </c>
      <c r="V78" s="9" t="n">
        <f aca="false">RANK(R78,$R$2:$R$759)+COUNTIF($R$2:R78,R78)-1</f>
        <v>54</v>
      </c>
      <c r="W78" s="9" t="str">
        <f aca="false">IF(U78="Lapsed - Follow Up",COUNTIF($U$2:U78,"Lapsed - Follow Up"),"")</f>
        <v/>
      </c>
    </row>
    <row r="79" customFormat="false" ht="15" hidden="false" customHeight="true" outlineLevel="0" collapsed="false">
      <c r="A79" s="9" t="str">
        <f aca="false">Raw_Donors!A79</f>
        <v>D1077</v>
      </c>
      <c r="B79" s="9" t="str">
        <f aca="false">IF(ISNUMBER(SEARCH("-DUP",A79)),"Duplicate ID","")</f>
        <v/>
      </c>
      <c r="C79" s="9" t="n">
        <f aca="false">Raw_Donors!B79</f>
        <v>95666</v>
      </c>
      <c r="D79" s="9" t="n">
        <f aca="false">Raw_Donors!C79</f>
        <v>70</v>
      </c>
      <c r="E79" s="9" t="str">
        <f aca="false">IFERROR(IF(Raw_Donors!D79="","Unknown",Raw_Donors!D79),"Unknown")</f>
        <v>Unknown</v>
      </c>
      <c r="F79" s="9" t="str">
        <f aca="false">IFERROR(IF(Raw_Donors!E79="","Unknown",Raw_Donors!E79),"Unknown")</f>
        <v>Female</v>
      </c>
      <c r="G79" s="9" t="str">
        <f aca="false">PROPER(TRIM(Raw_Donors!F79))</f>
        <v>Community Partner</v>
      </c>
      <c r="H79" s="9" t="str">
        <f aca="false">IFERROR(IF(Raw_Donors!G79="","N",Raw_Donors!G79),"N")</f>
        <v>Y</v>
      </c>
      <c r="I79" s="9" t="str">
        <f aca="false">IF(Raw_Donors!H79="","Not Rated",Raw_Donors!H79)</f>
        <v>Not Rated</v>
      </c>
      <c r="J79" s="9" t="str">
        <f aca="false">IF(TRIM(Raw_Donors!I79)="","Unknown",TRIM(Raw_Donors!I79))</f>
        <v>HOME</v>
      </c>
      <c r="K79" s="9" t="str">
        <f aca="false">Raw_Donors!J79</f>
        <v>N</v>
      </c>
      <c r="L79" s="9" t="n">
        <f aca="false">Raw_Donors!K79</f>
        <v>5</v>
      </c>
      <c r="M79" s="10" t="n">
        <f aca="false">IFERROR(VALUE(SUBSTITUTE(SUBSTITUTE(Raw_Donors!L79,"$",""),",","")),0)</f>
        <v>0</v>
      </c>
      <c r="N79" s="10" t="n">
        <f aca="false">IFERROR(VALUE(SUBSTITUTE(SUBSTITUTE(Raw_Donors!M79,"$",""),",","")),0)</f>
        <v>0</v>
      </c>
      <c r="O79" s="10" t="n">
        <f aca="false">IFERROR(VALUE(SUBSTITUTE(SUBSTITUTE(Raw_Donors!N79,"$",""),",","")),0)</f>
        <v>0</v>
      </c>
      <c r="P79" s="10" t="n">
        <f aca="false">IFERROR(VALUE(SUBSTITUTE(SUBSTITUTE(Raw_Donors!O79,"$",""),",","")),0)</f>
        <v>0</v>
      </c>
      <c r="Q79" s="10" t="n">
        <f aca="false">IFERROR(VALUE(SUBSTITUTE(SUBSTITUTE(Raw_Donors!P79,"$",""),",","")),0)</f>
        <v>0</v>
      </c>
      <c r="R79" s="10" t="n">
        <f aca="false">Raw_Donors!Q79</f>
        <v>0</v>
      </c>
      <c r="S79" s="9" t="str">
        <f aca="false">Raw_Donors!R79</f>
        <v>N</v>
      </c>
      <c r="T79" s="9" t="str">
        <f aca="false">IF(Raw_Donors!S79="","",Raw_Donors!S79)</f>
        <v>1947-08-05</v>
      </c>
      <c r="U79" s="9" t="str">
        <f aca="false">IF(AND((O79+P79)&gt;0,Q79=0),"Lapsed - Follow Up","")</f>
        <v/>
      </c>
      <c r="V79" s="9" t="n">
        <f aca="false">RANK(R79,$R$2:$R$759)+COUNTIF($R$2:R79,R79)-1</f>
        <v>579</v>
      </c>
      <c r="W79" s="9" t="str">
        <f aca="false">IF(U79="Lapsed - Follow Up",COUNTIF($U$2:U79,"Lapsed - Follow Up"),"")</f>
        <v/>
      </c>
    </row>
    <row r="80" customFormat="false" ht="15" hidden="false" customHeight="true" outlineLevel="0" collapsed="false">
      <c r="A80" s="9" t="str">
        <f aca="false">Raw_Donors!A80</f>
        <v>D1078</v>
      </c>
      <c r="B80" s="9" t="str">
        <f aca="false">IF(ISNUMBER(SEARCH("-DUP",A80)),"Duplicate ID","")</f>
        <v/>
      </c>
      <c r="C80" s="9" t="n">
        <f aca="false">Raw_Donors!B80</f>
        <v>27528</v>
      </c>
      <c r="D80" s="9" t="n">
        <f aca="false">Raw_Donors!C80</f>
        <v>0</v>
      </c>
      <c r="E80" s="9" t="str">
        <f aca="false">IFERROR(IF(Raw_Donors!D80="","Unknown",Raw_Donors!D80),"Unknown")</f>
        <v>Unknown</v>
      </c>
      <c r="F80" s="9" t="str">
        <f aca="false">IFERROR(IF(Raw_Donors!E80="","Unknown",Raw_Donors!E80),"Unknown")</f>
        <v>Female</v>
      </c>
      <c r="G80" s="9" t="str">
        <f aca="false">PROPER(TRIM(Raw_Donors!F80))</f>
        <v>Individual Donor</v>
      </c>
      <c r="H80" s="9" t="str">
        <f aca="false">IFERROR(IF(Raw_Donors!G80="","N",Raw_Donors!G80),"N")</f>
        <v>N</v>
      </c>
      <c r="I80" s="9" t="str">
        <f aca="false">IF(Raw_Donors!H80="","Not Rated",Raw_Donors!H80)</f>
        <v>$100,000-$249,999</v>
      </c>
      <c r="J80" s="9" t="str">
        <f aca="false">IF(TRIM(Raw_Donors!I80)="","Unknown",TRIM(Raw_Donors!I80))</f>
        <v>HOME</v>
      </c>
      <c r="K80" s="9" t="str">
        <f aca="false">Raw_Donors!J80</f>
        <v>N</v>
      </c>
      <c r="L80" s="9" t="n">
        <f aca="false">Raw_Donors!K80</f>
        <v>2</v>
      </c>
      <c r="M80" s="10" t="n">
        <f aca="false">IFERROR(VALUE(SUBSTITUTE(SUBSTITUTE(Raw_Donors!L80,"$",""),",","")),0)</f>
        <v>0</v>
      </c>
      <c r="N80" s="10" t="n">
        <f aca="false">IFERROR(VALUE(SUBSTITUTE(SUBSTITUTE(Raw_Donors!M80,"$",""),",","")),0)</f>
        <v>0</v>
      </c>
      <c r="O80" s="10" t="n">
        <f aca="false">IFERROR(VALUE(SUBSTITUTE(SUBSTITUTE(Raw_Donors!N80,"$",""),",","")),0)</f>
        <v>0</v>
      </c>
      <c r="P80" s="10" t="n">
        <f aca="false">IFERROR(VALUE(SUBSTITUTE(SUBSTITUTE(Raw_Donors!O80,"$",""),",","")),0)</f>
        <v>0</v>
      </c>
      <c r="Q80" s="10" t="n">
        <f aca="false">IFERROR(VALUE(SUBSTITUTE(SUBSTITUTE(Raw_Donors!P80,"$",""),",","")),0)</f>
        <v>0</v>
      </c>
      <c r="R80" s="10" t="n">
        <f aca="false">Raw_Donors!Q80</f>
        <v>0</v>
      </c>
      <c r="S80" s="9" t="str">
        <f aca="false">Raw_Donors!R80</f>
        <v>N</v>
      </c>
      <c r="T80" s="9" t="str">
        <f aca="false">IF(Raw_Donors!S80="","",Raw_Donors!S80)</f>
        <v/>
      </c>
      <c r="U80" s="9" t="str">
        <f aca="false">IF(AND((O80+P80)&gt;0,Q80=0),"Lapsed - Follow Up","")</f>
        <v/>
      </c>
      <c r="V80" s="9" t="n">
        <f aca="false">RANK(R80,$R$2:$R$759)+COUNTIF($R$2:R80,R80)-1</f>
        <v>580</v>
      </c>
      <c r="W80" s="9" t="str">
        <f aca="false">IF(U80="Lapsed - Follow Up",COUNTIF($U$2:U80,"Lapsed - Follow Up"),"")</f>
        <v/>
      </c>
    </row>
    <row r="81" customFormat="false" ht="15" hidden="false" customHeight="true" outlineLevel="0" collapsed="false">
      <c r="A81" s="9" t="str">
        <f aca="false">Raw_Donors!A81</f>
        <v>D1079</v>
      </c>
      <c r="B81" s="9" t="str">
        <f aca="false">IF(ISNUMBER(SEARCH("-DUP",A81)),"Duplicate ID","")</f>
        <v/>
      </c>
      <c r="C81" s="9" t="n">
        <f aca="false">Raw_Donors!B81</f>
        <v>90265</v>
      </c>
      <c r="D81" s="9" t="n">
        <f aca="false">Raw_Donors!C81</f>
        <v>0</v>
      </c>
      <c r="E81" s="9" t="str">
        <f aca="false">IFERROR(IF(Raw_Donors!D81="","Unknown",Raw_Donors!D81),"Unknown")</f>
        <v>Married</v>
      </c>
      <c r="F81" s="9" t="str">
        <f aca="false">IFERROR(IF(Raw_Donors!E81="","Unknown",Raw_Donors!E81),"Unknown")</f>
        <v>Female</v>
      </c>
      <c r="G81" s="9" t="str">
        <f aca="false">PROPER(TRIM(Raw_Donors!F81))</f>
        <v>Individual Donor</v>
      </c>
      <c r="H81" s="9" t="str">
        <f aca="false">IFERROR(IF(Raw_Donors!G81="","N",Raw_Donors!G81),"N")</f>
        <v>N</v>
      </c>
      <c r="I81" s="9" t="str">
        <f aca="false">IF(Raw_Donors!H81="","Not Rated",Raw_Donors!H81)</f>
        <v>$50,000-$99,999</v>
      </c>
      <c r="J81" s="9" t="str">
        <f aca="false">IF(TRIM(Raw_Donors!I81)="","Unknown",TRIM(Raw_Donors!I81))</f>
        <v>HOME</v>
      </c>
      <c r="K81" s="9" t="str">
        <f aca="false">Raw_Donors!J81</f>
        <v>N</v>
      </c>
      <c r="L81" s="9" t="n">
        <f aca="false">Raw_Donors!K81</f>
        <v>2</v>
      </c>
      <c r="M81" s="10" t="n">
        <f aca="false">IFERROR(VALUE(SUBSTITUTE(SUBSTITUTE(Raw_Donors!L81,"$",""),",","")),0)</f>
        <v>0</v>
      </c>
      <c r="N81" s="10" t="n">
        <f aca="false">IFERROR(VALUE(SUBSTITUTE(SUBSTITUTE(Raw_Donors!M81,"$",""),",","")),0)</f>
        <v>0</v>
      </c>
      <c r="O81" s="10" t="n">
        <f aca="false">IFERROR(VALUE(SUBSTITUTE(SUBSTITUTE(Raw_Donors!N81,"$",""),",","")),0)</f>
        <v>11</v>
      </c>
      <c r="P81" s="10" t="n">
        <f aca="false">IFERROR(VALUE(SUBSTITUTE(SUBSTITUTE(Raw_Donors!O81,"$",""),",","")),0)</f>
        <v>0</v>
      </c>
      <c r="Q81" s="10" t="n">
        <f aca="false">IFERROR(VALUE(SUBSTITUTE(SUBSTITUTE(Raw_Donors!P81,"$",""),",","")),0)</f>
        <v>0</v>
      </c>
      <c r="R81" s="10" t="n">
        <f aca="false">Raw_Donors!Q81</f>
        <v>11</v>
      </c>
      <c r="S81" s="9" t="str">
        <f aca="false">Raw_Donors!R81</f>
        <v>Y</v>
      </c>
      <c r="T81" s="9" t="str">
        <f aca="false">IF(Raw_Donors!S81="","",Raw_Donors!S81)</f>
        <v/>
      </c>
      <c r="U81" s="9" t="str">
        <f aca="false">IF(AND((O81+P81)&gt;0,Q81=0),"Lapsed - Follow Up","")</f>
        <v>Lapsed - Follow Up</v>
      </c>
      <c r="V81" s="9" t="n">
        <f aca="false">RANK(R81,$R$2:$R$759)+COUNTIF($R$2:R81,R81)-1</f>
        <v>492</v>
      </c>
      <c r="W81" s="9" t="n">
        <f aca="false">IF(U81="Lapsed - Follow Up",COUNTIF($U$2:U81,"Lapsed - Follow Up"),"")</f>
        <v>16</v>
      </c>
    </row>
    <row r="82" customFormat="false" ht="15" hidden="false" customHeight="true" outlineLevel="0" collapsed="false">
      <c r="A82" s="9" t="str">
        <f aca="false">Raw_Donors!A82</f>
        <v>D1080</v>
      </c>
      <c r="B82" s="9" t="str">
        <f aca="false">IF(ISNUMBER(SEARCH("-DUP",A82)),"Duplicate ID","")</f>
        <v/>
      </c>
      <c r="C82" s="9" t="n">
        <f aca="false">Raw_Donors!B82</f>
        <v>24457</v>
      </c>
      <c r="D82" s="9" t="n">
        <f aca="false">Raw_Donors!C82</f>
        <v>0</v>
      </c>
      <c r="E82" s="9" t="str">
        <f aca="false">IFERROR(IF(Raw_Donors!D82="","Unknown",Raw_Donors!D82),"Unknown")</f>
        <v>Married</v>
      </c>
      <c r="F82" s="9" t="str">
        <f aca="false">IFERROR(IF(Raw_Donors!E82="","Unknown",Raw_Donors!E82),"Unknown")</f>
        <v>Unknown</v>
      </c>
      <c r="G82" s="9" t="str">
        <f aca="false">PROPER(TRIM(Raw_Donors!F82))</f>
        <v>Family Donor</v>
      </c>
      <c r="H82" s="9" t="str">
        <f aca="false">IFERROR(IF(Raw_Donors!G82="","N",Raw_Donors!G82),"N")</f>
        <v>N</v>
      </c>
      <c r="I82" s="9" t="str">
        <f aca="false">IF(Raw_Donors!H82="","Not Rated",Raw_Donors!H82)</f>
        <v>Not Rated</v>
      </c>
      <c r="J82" s="9" t="str">
        <f aca="false">IF(TRIM(Raw_Donors!I82)="","Unknown",TRIM(Raw_Donors!I82))</f>
        <v>HOME</v>
      </c>
      <c r="K82" s="9" t="str">
        <f aca="false">Raw_Donors!J82</f>
        <v>Y</v>
      </c>
      <c r="L82" s="9" t="n">
        <f aca="false">Raw_Donors!K82</f>
        <v>0</v>
      </c>
      <c r="M82" s="10" t="n">
        <f aca="false">IFERROR(VALUE(SUBSTITUTE(SUBSTITUTE(Raw_Donors!L82,"$",""),",","")),0)</f>
        <v>0</v>
      </c>
      <c r="N82" s="10" t="n">
        <f aca="false">IFERROR(VALUE(SUBSTITUTE(SUBSTITUTE(Raw_Donors!M82,"$",""),",","")),0)</f>
        <v>0</v>
      </c>
      <c r="O82" s="10" t="n">
        <f aca="false">IFERROR(VALUE(SUBSTITUTE(SUBSTITUTE(Raw_Donors!N82,"$",""),",","")),0)</f>
        <v>0</v>
      </c>
      <c r="P82" s="10" t="n">
        <f aca="false">IFERROR(VALUE(SUBSTITUTE(SUBSTITUTE(Raw_Donors!O82,"$",""),",","")),0)</f>
        <v>1</v>
      </c>
      <c r="Q82" s="10" t="n">
        <f aca="false">IFERROR(VALUE(SUBSTITUTE(SUBSTITUTE(Raw_Donors!P82,"$",""),",","")),0)</f>
        <v>0</v>
      </c>
      <c r="R82" s="10" t="n">
        <f aca="false">Raw_Donors!Q82</f>
        <v>18</v>
      </c>
      <c r="S82" s="9" t="str">
        <f aca="false">Raw_Donors!R82</f>
        <v>Y</v>
      </c>
      <c r="T82" s="9" t="str">
        <f aca="false">IF(Raw_Donors!S82="","",Raw_Donors!S82)</f>
        <v/>
      </c>
      <c r="U82" s="9" t="str">
        <f aca="false">IF(AND((O82+P82)&gt;0,Q82=0),"Lapsed - Follow Up","")</f>
        <v>Lapsed - Follow Up</v>
      </c>
      <c r="V82" s="9" t="n">
        <f aca="false">RANK(R82,$R$2:$R$759)+COUNTIF($R$2:R82,R82)-1</f>
        <v>476</v>
      </c>
      <c r="W82" s="9" t="n">
        <f aca="false">IF(U82="Lapsed - Follow Up",COUNTIF($U$2:U82,"Lapsed - Follow Up"),"")</f>
        <v>17</v>
      </c>
    </row>
    <row r="83" customFormat="false" ht="15" hidden="false" customHeight="true" outlineLevel="0" collapsed="false">
      <c r="A83" s="9" t="str">
        <f aca="false">Raw_Donors!A83</f>
        <v>D1081</v>
      </c>
      <c r="B83" s="9" t="str">
        <f aca="false">IF(ISNUMBER(SEARCH("-DUP",A83)),"Duplicate ID","")</f>
        <v/>
      </c>
      <c r="C83" s="9" t="n">
        <f aca="false">Raw_Donors!B83</f>
        <v>90265</v>
      </c>
      <c r="D83" s="9" t="n">
        <f aca="false">Raw_Donors!C83</f>
        <v>26</v>
      </c>
      <c r="E83" s="9" t="str">
        <f aca="false">IFERROR(IF(Raw_Donors!D83="","Unknown",Raw_Donors!D83),"Unknown")</f>
        <v>Unknown</v>
      </c>
      <c r="F83" s="9" t="str">
        <f aca="false">IFERROR(IF(Raw_Donors!E83="","Unknown",Raw_Donors!E83),"Unknown")</f>
        <v>Female</v>
      </c>
      <c r="G83" s="9" t="str">
        <f aca="false">PROPER(TRIM(Raw_Donors!F83))</f>
        <v>Community Partner</v>
      </c>
      <c r="H83" s="9" t="str">
        <f aca="false">IFERROR(IF(Raw_Donors!G83="","N",Raw_Donors!G83),"N")</f>
        <v>Y</v>
      </c>
      <c r="I83" s="9" t="str">
        <f aca="false">IF(Raw_Donors!H83="","Not Rated",Raw_Donors!H83)</f>
        <v>Not Rated</v>
      </c>
      <c r="J83" s="9" t="str">
        <f aca="false">IF(TRIM(Raw_Donors!I83)="","Unknown",TRIM(Raw_Donors!I83))</f>
        <v>HOME</v>
      </c>
      <c r="K83" s="9" t="str">
        <f aca="false">Raw_Donors!J83</f>
        <v>Y</v>
      </c>
      <c r="L83" s="9" t="n">
        <f aca="false">Raw_Donors!K83</f>
        <v>1</v>
      </c>
      <c r="M83" s="10" t="n">
        <f aca="false">IFERROR(VALUE(SUBSTITUTE(SUBSTITUTE(Raw_Donors!L83,"$",""),",","")),0)</f>
        <v>0</v>
      </c>
      <c r="N83" s="10" t="n">
        <f aca="false">IFERROR(VALUE(SUBSTITUTE(SUBSTITUTE(Raw_Donors!M83,"$",""),",","")),0)</f>
        <v>0</v>
      </c>
      <c r="O83" s="10" t="n">
        <f aca="false">IFERROR(VALUE(SUBSTITUTE(SUBSTITUTE(Raw_Donors!N83,"$",""),",","")),0)</f>
        <v>0</v>
      </c>
      <c r="P83" s="10" t="n">
        <f aca="false">IFERROR(VALUE(SUBSTITUTE(SUBSTITUTE(Raw_Donors!O83,"$",""),",","")),0)</f>
        <v>0</v>
      </c>
      <c r="Q83" s="10" t="n">
        <f aca="false">IFERROR(VALUE(SUBSTITUTE(SUBSTITUTE(Raw_Donors!P83,"$",""),",","")),0)</f>
        <v>0</v>
      </c>
      <c r="R83" s="10" t="n">
        <f aca="false">Raw_Donors!Q83</f>
        <v>0</v>
      </c>
      <c r="S83" s="9" t="str">
        <f aca="false">Raw_Donors!R83</f>
        <v>N</v>
      </c>
      <c r="T83" s="9" t="str">
        <f aca="false">IF(Raw_Donors!S83="","",Raw_Donors!S83)</f>
        <v>1991-09-11</v>
      </c>
      <c r="U83" s="9" t="str">
        <f aca="false">IF(AND((O83+P83)&gt;0,Q83=0),"Lapsed - Follow Up","")</f>
        <v/>
      </c>
      <c r="V83" s="9" t="n">
        <f aca="false">RANK(R83,$R$2:$R$759)+COUNTIF($R$2:R83,R83)-1</f>
        <v>581</v>
      </c>
      <c r="W83" s="9" t="str">
        <f aca="false">IF(U83="Lapsed - Follow Up",COUNTIF($U$2:U83,"Lapsed - Follow Up"),"")</f>
        <v/>
      </c>
    </row>
    <row r="84" customFormat="false" ht="15" hidden="false" customHeight="true" outlineLevel="0" collapsed="false">
      <c r="A84" s="9" t="str">
        <f aca="false">Raw_Donors!A84</f>
        <v>D1082</v>
      </c>
      <c r="B84" s="9" t="str">
        <f aca="false">IF(ISNUMBER(SEARCH("-DUP",A84)),"Duplicate ID","")</f>
        <v/>
      </c>
      <c r="C84" s="9" t="n">
        <f aca="false">Raw_Donors!B84</f>
        <v>43027</v>
      </c>
      <c r="D84" s="9" t="n">
        <f aca="false">Raw_Donors!C84</f>
        <v>0</v>
      </c>
      <c r="E84" s="9" t="str">
        <f aca="false">IFERROR(IF(Raw_Donors!D84="","Unknown",Raw_Donors!D84),"Unknown")</f>
        <v>Unknown</v>
      </c>
      <c r="F84" s="9" t="str">
        <f aca="false">IFERROR(IF(Raw_Donors!E84="","Unknown",Raw_Donors!E84),"Unknown")</f>
        <v>Male</v>
      </c>
      <c r="G84" s="9" t="str">
        <f aca="false">PROPER(TRIM(Raw_Donors!F84))</f>
        <v>Individual Donor</v>
      </c>
      <c r="H84" s="9" t="str">
        <f aca="false">IFERROR(IF(Raw_Donors!G84="","N",Raw_Donors!G84),"N")</f>
        <v>N</v>
      </c>
      <c r="I84" s="9" t="str">
        <f aca="false">IF(Raw_Donors!H84="","Not Rated",Raw_Donors!H84)</f>
        <v>Not Rated</v>
      </c>
      <c r="J84" s="9" t="str">
        <f aca="false">IF(TRIM(Raw_Donors!I84)="","Unknown",TRIM(Raw_Donors!I84))</f>
        <v>HOME</v>
      </c>
      <c r="K84" s="9" t="str">
        <f aca="false">Raw_Donors!J84</f>
        <v>N</v>
      </c>
      <c r="L84" s="9" t="n">
        <f aca="false">Raw_Donors!K84</f>
        <v>1</v>
      </c>
      <c r="M84" s="10" t="n">
        <f aca="false">IFERROR(VALUE(SUBSTITUTE(SUBSTITUTE(Raw_Donors!L84,"$",""),",","")),0)</f>
        <v>0</v>
      </c>
      <c r="N84" s="10" t="n">
        <f aca="false">IFERROR(VALUE(SUBSTITUTE(SUBSTITUTE(Raw_Donors!M84,"$",""),",","")),0)</f>
        <v>0</v>
      </c>
      <c r="O84" s="10" t="n">
        <f aca="false">IFERROR(VALUE(SUBSTITUTE(SUBSTITUTE(Raw_Donors!N84,"$",""),",","")),0)</f>
        <v>0</v>
      </c>
      <c r="P84" s="10" t="n">
        <f aca="false">IFERROR(VALUE(SUBSTITUTE(SUBSTITUTE(Raw_Donors!O84,"$",""),",","")),0)</f>
        <v>0</v>
      </c>
      <c r="Q84" s="10" t="n">
        <f aca="false">IFERROR(VALUE(SUBSTITUTE(SUBSTITUTE(Raw_Donors!P84,"$",""),",","")),0)</f>
        <v>0</v>
      </c>
      <c r="R84" s="10" t="n">
        <f aca="false">Raw_Donors!Q84</f>
        <v>354</v>
      </c>
      <c r="S84" s="9" t="str">
        <f aca="false">Raw_Donors!R84</f>
        <v>Y</v>
      </c>
      <c r="T84" s="9" t="str">
        <f aca="false">IF(Raw_Donors!S84="","",Raw_Donors!S84)</f>
        <v/>
      </c>
      <c r="U84" s="9" t="str">
        <f aca="false">IF(AND((O84+P84)&gt;0,Q84=0),"Lapsed - Follow Up","")</f>
        <v/>
      </c>
      <c r="V84" s="9" t="n">
        <f aca="false">RANK(R84,$R$2:$R$759)+COUNTIF($R$2:R84,R84)-1</f>
        <v>124</v>
      </c>
      <c r="W84" s="9" t="str">
        <f aca="false">IF(U84="Lapsed - Follow Up",COUNTIF($U$2:U84,"Lapsed - Follow Up"),"")</f>
        <v/>
      </c>
    </row>
    <row r="85" customFormat="false" ht="15" hidden="false" customHeight="true" outlineLevel="0" collapsed="false">
      <c r="A85" s="9" t="str">
        <f aca="false">Raw_Donors!A85</f>
        <v>D1083</v>
      </c>
      <c r="B85" s="9" t="str">
        <f aca="false">IF(ISNUMBER(SEARCH("-DUP",A85)),"Duplicate ID","")</f>
        <v/>
      </c>
      <c r="C85" s="9" t="n">
        <f aca="false">Raw_Donors!B85</f>
        <v>60612</v>
      </c>
      <c r="D85" s="9" t="n">
        <f aca="false">Raw_Donors!C85</f>
        <v>0</v>
      </c>
      <c r="E85" s="9" t="str">
        <f aca="false">IFERROR(IF(Raw_Donors!D85="","Unknown",Raw_Donors!D85),"Unknown")</f>
        <v>Unknown</v>
      </c>
      <c r="F85" s="9" t="str">
        <f aca="false">IFERROR(IF(Raw_Donors!E85="","Unknown",Raw_Donors!E85),"Unknown")</f>
        <v>Male</v>
      </c>
      <c r="G85" s="9" t="str">
        <f aca="false">PROPER(TRIM(Raw_Donors!F85))</f>
        <v>Individual Donor</v>
      </c>
      <c r="H85" s="9" t="str">
        <f aca="false">IFERROR(IF(Raw_Donors!G85="","N",Raw_Donors!G85),"N")</f>
        <v>N</v>
      </c>
      <c r="I85" s="9" t="str">
        <f aca="false">IF(Raw_Donors!H85="","Not Rated",Raw_Donors!H85)</f>
        <v>Not Rated</v>
      </c>
      <c r="J85" s="9" t="str">
        <f aca="false">IF(TRIM(Raw_Donors!I85)="","Unknown",TRIM(Raw_Donors!I85))</f>
        <v>HOME</v>
      </c>
      <c r="K85" s="9" t="str">
        <f aca="false">Raw_Donors!J85</f>
        <v>N</v>
      </c>
      <c r="L85" s="9" t="n">
        <f aca="false">Raw_Donors!K85</f>
        <v>0</v>
      </c>
      <c r="M85" s="10" t="n">
        <f aca="false">IFERROR(VALUE(SUBSTITUTE(SUBSTITUTE(Raw_Donors!L85,"$",""),",","")),0)</f>
        <v>0</v>
      </c>
      <c r="N85" s="10" t="n">
        <f aca="false">IFERROR(VALUE(SUBSTITUTE(SUBSTITUTE(Raw_Donors!M85,"$",""),",","")),0)</f>
        <v>0</v>
      </c>
      <c r="O85" s="10" t="n">
        <f aca="false">IFERROR(VALUE(SUBSTITUTE(SUBSTITUTE(Raw_Donors!N85,"$",""),",","")),0)</f>
        <v>0</v>
      </c>
      <c r="P85" s="10" t="n">
        <f aca="false">IFERROR(VALUE(SUBSTITUTE(SUBSTITUTE(Raw_Donors!O85,"$",""),",","")),0)</f>
        <v>0</v>
      </c>
      <c r="Q85" s="10" t="n">
        <f aca="false">IFERROR(VALUE(SUBSTITUTE(SUBSTITUTE(Raw_Donors!P85,"$",""),",","")),0)</f>
        <v>0</v>
      </c>
      <c r="R85" s="10" t="n">
        <f aca="false">Raw_Donors!Q85</f>
        <v>21</v>
      </c>
      <c r="S85" s="9" t="str">
        <f aca="false">Raw_Donors!R85</f>
        <v>Y</v>
      </c>
      <c r="T85" s="9" t="str">
        <f aca="false">IF(Raw_Donors!S85="","",Raw_Donors!S85)</f>
        <v/>
      </c>
      <c r="U85" s="9" t="str">
        <f aca="false">IF(AND((O85+P85)&gt;0,Q85=0),"Lapsed - Follow Up","")</f>
        <v/>
      </c>
      <c r="V85" s="9" t="n">
        <f aca="false">RANK(R85,$R$2:$R$759)+COUNTIF($R$2:R85,R85)-1</f>
        <v>466</v>
      </c>
      <c r="W85" s="9" t="str">
        <f aca="false">IF(U85="Lapsed - Follow Up",COUNTIF($U$2:U85,"Lapsed - Follow Up"),"")</f>
        <v/>
      </c>
    </row>
    <row r="86" customFormat="false" ht="15" hidden="false" customHeight="true" outlineLevel="0" collapsed="false">
      <c r="A86" s="9" t="str">
        <f aca="false">Raw_Donors!A86</f>
        <v>D1084</v>
      </c>
      <c r="B86" s="9" t="str">
        <f aca="false">IF(ISNUMBER(SEARCH("-DUP",A86)),"Duplicate ID","")</f>
        <v/>
      </c>
      <c r="C86" s="9" t="n">
        <f aca="false">Raw_Donors!B86</f>
        <v>92591</v>
      </c>
      <c r="D86" s="9" t="n">
        <f aca="false">Raw_Donors!C86</f>
        <v>0</v>
      </c>
      <c r="E86" s="9" t="str">
        <f aca="false">IFERROR(IF(Raw_Donors!D86="","Unknown",Raw_Donors!D86),"Unknown")</f>
        <v>Unknown</v>
      </c>
      <c r="F86" s="9" t="str">
        <f aca="false">IFERROR(IF(Raw_Donors!E86="","Unknown",Raw_Donors!E86),"Unknown")</f>
        <v>Male</v>
      </c>
      <c r="G86" s="9" t="str">
        <f aca="false">PROPER(TRIM(Raw_Donors!F86))</f>
        <v>Individual Donor</v>
      </c>
      <c r="H86" s="9" t="str">
        <f aca="false">IFERROR(IF(Raw_Donors!G86="","N",Raw_Donors!G86),"N")</f>
        <v>N</v>
      </c>
      <c r="I86" s="9" t="str">
        <f aca="false">IF(Raw_Donors!H86="","Not Rated",Raw_Donors!H86)</f>
        <v>$50,000-$99,999</v>
      </c>
      <c r="J86" s="9" t="str">
        <f aca="false">IF(TRIM(Raw_Donors!I86)="","Unknown",TRIM(Raw_Donors!I86))</f>
        <v>HOME</v>
      </c>
      <c r="K86" s="9" t="str">
        <f aca="false">Raw_Donors!J86</f>
        <v>N</v>
      </c>
      <c r="L86" s="9" t="n">
        <f aca="false">Raw_Donors!K86</f>
        <v>3</v>
      </c>
      <c r="M86" s="10" t="n">
        <f aca="false">IFERROR(VALUE(SUBSTITUTE(SUBSTITUTE(Raw_Donors!L86,"$",""),",","")),0)</f>
        <v>108</v>
      </c>
      <c r="N86" s="10" t="n">
        <f aca="false">IFERROR(VALUE(SUBSTITUTE(SUBSTITUTE(Raw_Donors!M86,"$",""),",","")),0)</f>
        <v>50</v>
      </c>
      <c r="O86" s="10" t="n">
        <f aca="false">IFERROR(VALUE(SUBSTITUTE(SUBSTITUTE(Raw_Donors!N86,"$",""),",","")),0)</f>
        <v>0</v>
      </c>
      <c r="P86" s="10" t="n">
        <f aca="false">IFERROR(VALUE(SUBSTITUTE(SUBSTITUTE(Raw_Donors!O86,"$",""),",","")),0)</f>
        <v>0</v>
      </c>
      <c r="Q86" s="10" t="n">
        <f aca="false">IFERROR(VALUE(SUBSTITUTE(SUBSTITUTE(Raw_Donors!P86,"$",""),",","")),0)</f>
        <v>0</v>
      </c>
      <c r="R86" s="10" t="n">
        <f aca="false">Raw_Donors!Q86</f>
        <v>158</v>
      </c>
      <c r="S86" s="9" t="str">
        <f aca="false">Raw_Donors!R86</f>
        <v>Y</v>
      </c>
      <c r="T86" s="9" t="str">
        <f aca="false">IF(Raw_Donors!S86="","",Raw_Donors!S86)</f>
        <v/>
      </c>
      <c r="U86" s="9" t="str">
        <f aca="false">IF(AND((O86+P86)&gt;0,Q86=0),"Lapsed - Follow Up","")</f>
        <v/>
      </c>
      <c r="V86" s="9" t="n">
        <f aca="false">RANK(R86,$R$2:$R$759)+COUNTIF($R$2:R86,R86)-1</f>
        <v>226</v>
      </c>
      <c r="W86" s="9" t="str">
        <f aca="false">IF(U86="Lapsed - Follow Up",COUNTIF($U$2:U86,"Lapsed - Follow Up"),"")</f>
        <v/>
      </c>
    </row>
    <row r="87" customFormat="false" ht="15" hidden="false" customHeight="true" outlineLevel="0" collapsed="false">
      <c r="A87" s="9" t="str">
        <f aca="false">Raw_Donors!A87</f>
        <v>D1085</v>
      </c>
      <c r="B87" s="9" t="str">
        <f aca="false">IF(ISNUMBER(SEARCH("-DUP",A87)),"Duplicate ID","")</f>
        <v/>
      </c>
      <c r="C87" s="9" t="n">
        <f aca="false">Raw_Donors!B87</f>
        <v>26560</v>
      </c>
      <c r="D87" s="9" t="n">
        <f aca="false">Raw_Donors!C87</f>
        <v>0</v>
      </c>
      <c r="E87" s="9" t="str">
        <f aca="false">IFERROR(IF(Raw_Donors!D87="","Unknown",Raw_Donors!D87),"Unknown")</f>
        <v>Unknown</v>
      </c>
      <c r="F87" s="9" t="str">
        <f aca="false">IFERROR(IF(Raw_Donors!E87="","Unknown",Raw_Donors!E87),"Unknown")</f>
        <v>Male</v>
      </c>
      <c r="G87" s="9" t="str">
        <f aca="false">PROPER(TRIM(Raw_Donors!F87))</f>
        <v>Individual Donor</v>
      </c>
      <c r="H87" s="9" t="str">
        <f aca="false">IFERROR(IF(Raw_Donors!G87="","N",Raw_Donors!G87),"N")</f>
        <v>N</v>
      </c>
      <c r="I87" s="9" t="str">
        <f aca="false">IF(Raw_Donors!H87="","Not Rated",Raw_Donors!H87)</f>
        <v>Not Rated</v>
      </c>
      <c r="J87" s="9" t="str">
        <f aca="false">IF(TRIM(Raw_Donors!I87)="","Unknown",TRIM(Raw_Donors!I87))</f>
        <v>HOME</v>
      </c>
      <c r="K87" s="9" t="str">
        <f aca="false">Raw_Donors!J87</f>
        <v>N</v>
      </c>
      <c r="L87" s="9" t="n">
        <f aca="false">Raw_Donors!K87</f>
        <v>1</v>
      </c>
      <c r="M87" s="10" t="n">
        <f aca="false">IFERROR(VALUE(SUBSTITUTE(SUBSTITUTE(Raw_Donors!L87,"$",""),",","")),0)</f>
        <v>0</v>
      </c>
      <c r="N87" s="10" t="n">
        <f aca="false">IFERROR(VALUE(SUBSTITUTE(SUBSTITUTE(Raw_Donors!M87,"$",""),",","")),0)</f>
        <v>0</v>
      </c>
      <c r="O87" s="10" t="n">
        <f aca="false">IFERROR(VALUE(SUBSTITUTE(SUBSTITUTE(Raw_Donors!N87,"$",""),",","")),0)</f>
        <v>120</v>
      </c>
      <c r="P87" s="10" t="n">
        <f aca="false">IFERROR(VALUE(SUBSTITUTE(SUBSTITUTE(Raw_Donors!O87,"$",""),",","")),0)</f>
        <v>0</v>
      </c>
      <c r="Q87" s="10" t="n">
        <f aca="false">IFERROR(VALUE(SUBSTITUTE(SUBSTITUTE(Raw_Donors!P87,"$",""),",","")),0)</f>
        <v>0</v>
      </c>
      <c r="R87" s="10" t="n">
        <f aca="false">Raw_Donors!Q87</f>
        <v>120</v>
      </c>
      <c r="S87" s="9" t="str">
        <f aca="false">Raw_Donors!R87</f>
        <v>Y</v>
      </c>
      <c r="T87" s="9" t="str">
        <f aca="false">IF(Raw_Donors!S87="","",Raw_Donors!S87)</f>
        <v/>
      </c>
      <c r="U87" s="9" t="str">
        <f aca="false">IF(AND((O87+P87)&gt;0,Q87=0),"Lapsed - Follow Up","")</f>
        <v>Lapsed - Follow Up</v>
      </c>
      <c r="V87" s="9" t="n">
        <f aca="false">RANK(R87,$R$2:$R$759)+COUNTIF($R$2:R87,R87)-1</f>
        <v>250</v>
      </c>
      <c r="W87" s="9" t="n">
        <f aca="false">IF(U87="Lapsed - Follow Up",COUNTIF($U$2:U87,"Lapsed - Follow Up"),"")</f>
        <v>18</v>
      </c>
    </row>
    <row r="88" customFormat="false" ht="15" hidden="false" customHeight="true" outlineLevel="0" collapsed="false">
      <c r="A88" s="9" t="str">
        <f aca="false">Raw_Donors!A88</f>
        <v>D1086</v>
      </c>
      <c r="B88" s="9" t="str">
        <f aca="false">IF(ISNUMBER(SEARCH("-DUP",A88)),"Duplicate ID","")</f>
        <v/>
      </c>
      <c r="C88" s="9" t="n">
        <f aca="false">Raw_Donors!B88</f>
        <v>45274</v>
      </c>
      <c r="D88" s="9" t="n">
        <f aca="false">Raw_Donors!C88</f>
        <v>0</v>
      </c>
      <c r="E88" s="9" t="str">
        <f aca="false">IFERROR(IF(Raw_Donors!D88="","Unknown",Raw_Donors!D88),"Unknown")</f>
        <v>Single</v>
      </c>
      <c r="F88" s="9" t="str">
        <f aca="false">IFERROR(IF(Raw_Donors!E88="","Unknown",Raw_Donors!E88),"Unknown")</f>
        <v>Female</v>
      </c>
      <c r="G88" s="9" t="str">
        <f aca="false">PROPER(TRIM(Raw_Donors!F88))</f>
        <v>Individual Donor</v>
      </c>
      <c r="H88" s="9" t="str">
        <f aca="false">IFERROR(IF(Raw_Donors!G88="","N",Raw_Donors!G88),"N")</f>
        <v>N</v>
      </c>
      <c r="I88" s="9" t="str">
        <f aca="false">IF(Raw_Donors!H88="","Not Rated",Raw_Donors!H88)</f>
        <v>Not Rated</v>
      </c>
      <c r="J88" s="9" t="str">
        <f aca="false">IF(TRIM(Raw_Donors!I88)="","Unknown",TRIM(Raw_Donors!I88))</f>
        <v>Unknown</v>
      </c>
      <c r="K88" s="9" t="str">
        <f aca="false">Raw_Donors!J88</f>
        <v>N</v>
      </c>
      <c r="L88" s="9" t="n">
        <f aca="false">Raw_Donors!K88</f>
        <v>0</v>
      </c>
      <c r="M88" s="10" t="n">
        <f aca="false">IFERROR(VALUE(SUBSTITUTE(SUBSTITUTE(Raw_Donors!L88,"$",""),",","")),0)</f>
        <v>0</v>
      </c>
      <c r="N88" s="10" t="n">
        <f aca="false">IFERROR(VALUE(SUBSTITUTE(SUBSTITUTE(Raw_Donors!M88,"$",""),",","")),0)</f>
        <v>0</v>
      </c>
      <c r="O88" s="10" t="n">
        <f aca="false">IFERROR(VALUE(SUBSTITUTE(SUBSTITUTE(Raw_Donors!N88,"$",""),",","")),0)</f>
        <v>0</v>
      </c>
      <c r="P88" s="10" t="n">
        <f aca="false">IFERROR(VALUE(SUBSTITUTE(SUBSTITUTE(Raw_Donors!O88,"$",""),",","")),0)</f>
        <v>0</v>
      </c>
      <c r="Q88" s="10" t="n">
        <f aca="false">IFERROR(VALUE(SUBSTITUTE(SUBSTITUTE(Raw_Donors!P88,"$",""),",","")),0)</f>
        <v>0</v>
      </c>
      <c r="R88" s="10" t="n">
        <f aca="false">Raw_Donors!Q88</f>
        <v>0</v>
      </c>
      <c r="S88" s="9" t="str">
        <f aca="false">Raw_Donors!R88</f>
        <v>N</v>
      </c>
      <c r="T88" s="9" t="str">
        <f aca="false">IF(Raw_Donors!S88="","",Raw_Donors!S88)</f>
        <v/>
      </c>
      <c r="U88" s="9" t="str">
        <f aca="false">IF(AND((O88+P88)&gt;0,Q88=0),"Lapsed - Follow Up","")</f>
        <v/>
      </c>
      <c r="V88" s="9" t="n">
        <f aca="false">RANK(R88,$R$2:$R$759)+COUNTIF($R$2:R88,R88)-1</f>
        <v>582</v>
      </c>
      <c r="W88" s="9" t="str">
        <f aca="false">IF(U88="Lapsed - Follow Up",COUNTIF($U$2:U88,"Lapsed - Follow Up"),"")</f>
        <v/>
      </c>
    </row>
    <row r="89" customFormat="false" ht="15" hidden="false" customHeight="true" outlineLevel="0" collapsed="false">
      <c r="A89" s="9" t="str">
        <f aca="false">Raw_Donors!A89</f>
        <v>D1087</v>
      </c>
      <c r="B89" s="9" t="str">
        <f aca="false">IF(ISNUMBER(SEARCH("-DUP",A89)),"Duplicate ID","")</f>
        <v/>
      </c>
      <c r="C89" s="9" t="n">
        <f aca="false">Raw_Donors!B89</f>
        <v>90265</v>
      </c>
      <c r="D89" s="9" t="n">
        <f aca="false">Raw_Donors!C89</f>
        <v>48</v>
      </c>
      <c r="E89" s="9" t="str">
        <f aca="false">IFERROR(IF(Raw_Donors!D89="","Unknown",Raw_Donors!D89),"Unknown")</f>
        <v>Unknown</v>
      </c>
      <c r="F89" s="9" t="str">
        <f aca="false">IFERROR(IF(Raw_Donors!E89="","Unknown",Raw_Donors!E89),"Unknown")</f>
        <v>Female</v>
      </c>
      <c r="G89" s="9" t="str">
        <f aca="false">PROPER(TRIM(Raw_Donors!F89))</f>
        <v>Individual Donor</v>
      </c>
      <c r="H89" s="9" t="str">
        <f aca="false">IFERROR(IF(Raw_Donors!G89="","N",Raw_Donors!G89),"N")</f>
        <v>N</v>
      </c>
      <c r="I89" s="9" t="str">
        <f aca="false">IF(Raw_Donors!H89="","Not Rated",Raw_Donors!H89)</f>
        <v>Not Rated</v>
      </c>
      <c r="J89" s="9" t="str">
        <f aca="false">IF(TRIM(Raw_Donors!I89)="","Unknown",TRIM(Raw_Donors!I89))</f>
        <v>HOME</v>
      </c>
      <c r="K89" s="9" t="str">
        <f aca="false">Raw_Donors!J89</f>
        <v>Y</v>
      </c>
      <c r="L89" s="9" t="n">
        <f aca="false">Raw_Donors!K89</f>
        <v>0</v>
      </c>
      <c r="M89" s="10" t="n">
        <f aca="false">IFERROR(VALUE(SUBSTITUTE(SUBSTITUTE(Raw_Donors!L89,"$",""),",","")),0)</f>
        <v>0</v>
      </c>
      <c r="N89" s="10" t="n">
        <f aca="false">IFERROR(VALUE(SUBSTITUTE(SUBSTITUTE(Raw_Donors!M89,"$",""),",","")),0)</f>
        <v>0</v>
      </c>
      <c r="O89" s="10" t="n">
        <f aca="false">IFERROR(VALUE(SUBSTITUTE(SUBSTITUTE(Raw_Donors!N89,"$",""),",","")),0)</f>
        <v>97850</v>
      </c>
      <c r="P89" s="10" t="n">
        <f aca="false">IFERROR(VALUE(SUBSTITUTE(SUBSTITUTE(Raw_Donors!O89,"$",""),",","")),0)</f>
        <v>10000</v>
      </c>
      <c r="Q89" s="10" t="n">
        <f aca="false">IFERROR(VALUE(SUBSTITUTE(SUBSTITUTE(Raw_Donors!P89,"$",""),",","")),0)</f>
        <v>100000</v>
      </c>
      <c r="R89" s="10" t="n">
        <f aca="false">Raw_Donors!Q89</f>
        <v>585400</v>
      </c>
      <c r="S89" s="9" t="str">
        <f aca="false">Raw_Donors!R89</f>
        <v>Y</v>
      </c>
      <c r="T89" s="9" t="str">
        <f aca="false">IF(Raw_Donors!S89="","",Raw_Donors!S89)</f>
        <v>1969-06-11</v>
      </c>
      <c r="U89" s="9" t="str">
        <f aca="false">IF(AND((O89+P89)&gt;0,Q89=0),"Lapsed - Follow Up","")</f>
        <v/>
      </c>
      <c r="V89" s="9" t="n">
        <f aca="false">RANK(R89,$R$2:$R$759)+COUNTIF($R$2:R89,R89)-1</f>
        <v>1</v>
      </c>
      <c r="W89" s="9" t="str">
        <f aca="false">IF(U89="Lapsed - Follow Up",COUNTIF($U$2:U89,"Lapsed - Follow Up"),"")</f>
        <v/>
      </c>
    </row>
    <row r="90" customFormat="false" ht="15" hidden="false" customHeight="true" outlineLevel="0" collapsed="false">
      <c r="A90" s="9" t="str">
        <f aca="false">Raw_Donors!A90</f>
        <v>D1088</v>
      </c>
      <c r="B90" s="9" t="str">
        <f aca="false">IF(ISNUMBER(SEARCH("-DUP",A90)),"Duplicate ID","")</f>
        <v/>
      </c>
      <c r="C90" s="9" t="n">
        <f aca="false">Raw_Donors!B90</f>
        <v>67071</v>
      </c>
      <c r="D90" s="9" t="n">
        <f aca="false">Raw_Donors!C90</f>
        <v>0</v>
      </c>
      <c r="E90" s="9" t="str">
        <f aca="false">IFERROR(IF(Raw_Donors!D90="","Unknown",Raw_Donors!D90),"Unknown")</f>
        <v>Married</v>
      </c>
      <c r="F90" s="9" t="str">
        <f aca="false">IFERROR(IF(Raw_Donors!E90="","Unknown",Raw_Donors!E90),"Unknown")</f>
        <v>Female</v>
      </c>
      <c r="G90" s="9" t="str">
        <f aca="false">PROPER(TRIM(Raw_Donors!F90))</f>
        <v>Family Donor</v>
      </c>
      <c r="H90" s="9" t="str">
        <f aca="false">IFERROR(IF(Raw_Donors!G90="","N",Raw_Donors!G90),"N")</f>
        <v>N</v>
      </c>
      <c r="I90" s="9" t="str">
        <f aca="false">IF(Raw_Donors!H90="","Not Rated",Raw_Donors!H90)</f>
        <v>Not Rated</v>
      </c>
      <c r="J90" s="9" t="str">
        <f aca="false">IF(TRIM(Raw_Donors!I90)="","Unknown",TRIM(Raw_Donors!I90))</f>
        <v>HOME</v>
      </c>
      <c r="K90" s="9" t="str">
        <f aca="false">Raw_Donors!J90</f>
        <v>Y</v>
      </c>
      <c r="L90" s="9" t="n">
        <f aca="false">Raw_Donors!K90</f>
        <v>1</v>
      </c>
      <c r="M90" s="10" t="n">
        <f aca="false">IFERROR(VALUE(SUBSTITUTE(SUBSTITUTE(Raw_Donors!L90,"$",""),",","")),0)</f>
        <v>0</v>
      </c>
      <c r="N90" s="10" t="n">
        <f aca="false">IFERROR(VALUE(SUBSTITUTE(SUBSTITUTE(Raw_Donors!M90,"$",""),",","")),0)</f>
        <v>0</v>
      </c>
      <c r="O90" s="10" t="n">
        <f aca="false">IFERROR(VALUE(SUBSTITUTE(SUBSTITUTE(Raw_Donors!N90,"$",""),",","")),0)</f>
        <v>0</v>
      </c>
      <c r="P90" s="10" t="n">
        <f aca="false">IFERROR(VALUE(SUBSTITUTE(SUBSTITUTE(Raw_Donors!O90,"$",""),",","")),0)</f>
        <v>0</v>
      </c>
      <c r="Q90" s="10" t="n">
        <f aca="false">IFERROR(VALUE(SUBSTITUTE(SUBSTITUTE(Raw_Donors!P90,"$",""),",","")),0)</f>
        <v>0</v>
      </c>
      <c r="R90" s="10" t="n">
        <f aca="false">Raw_Donors!Q90</f>
        <v>500</v>
      </c>
      <c r="S90" s="9" t="str">
        <f aca="false">Raw_Donors!R90</f>
        <v>Y</v>
      </c>
      <c r="T90" s="9" t="str">
        <f aca="false">IF(Raw_Donors!S90="","",Raw_Donors!S90)</f>
        <v/>
      </c>
      <c r="U90" s="9" t="str">
        <f aca="false">IF(AND((O90+P90)&gt;0,Q90=0),"Lapsed - Follow Up","")</f>
        <v/>
      </c>
      <c r="V90" s="9" t="n">
        <f aca="false">RANK(R90,$R$2:$R$759)+COUNTIF($R$2:R90,R90)-1</f>
        <v>89</v>
      </c>
      <c r="W90" s="9" t="str">
        <f aca="false">IF(U90="Lapsed - Follow Up",COUNTIF($U$2:U90,"Lapsed - Follow Up"),"")</f>
        <v/>
      </c>
    </row>
    <row r="91" customFormat="false" ht="15" hidden="false" customHeight="true" outlineLevel="0" collapsed="false">
      <c r="A91" s="9" t="str">
        <f aca="false">Raw_Donors!A91</f>
        <v>D1089</v>
      </c>
      <c r="B91" s="9" t="str">
        <f aca="false">IF(ISNUMBER(SEARCH("-DUP",A91)),"Duplicate ID","")</f>
        <v/>
      </c>
      <c r="C91" s="9" t="n">
        <f aca="false">Raw_Donors!B91</f>
        <v>97217</v>
      </c>
      <c r="D91" s="9" t="n">
        <f aca="false">Raw_Donors!C91</f>
        <v>0</v>
      </c>
      <c r="E91" s="9" t="str">
        <f aca="false">IFERROR(IF(Raw_Donors!D91="","Unknown",Raw_Donors!D91),"Unknown")</f>
        <v>Widowed</v>
      </c>
      <c r="F91" s="9" t="str">
        <f aca="false">IFERROR(IF(Raw_Donors!E91="","Unknown",Raw_Donors!E91),"Unknown")</f>
        <v>Male</v>
      </c>
      <c r="G91" s="9" t="str">
        <f aca="false">PROPER(TRIM(Raw_Donors!F91))</f>
        <v>Individual Donor</v>
      </c>
      <c r="H91" s="9" t="str">
        <f aca="false">IFERROR(IF(Raw_Donors!G91="","N",Raw_Donors!G91),"N")</f>
        <v>N</v>
      </c>
      <c r="I91" s="9" t="str">
        <f aca="false">IF(Raw_Donors!H91="","Not Rated",Raw_Donors!H91)</f>
        <v>Not Rated</v>
      </c>
      <c r="J91" s="9" t="str">
        <f aca="false">IF(TRIM(Raw_Donors!I91)="","Unknown",TRIM(Raw_Donors!I91))</f>
        <v>HOME</v>
      </c>
      <c r="K91" s="9" t="str">
        <f aca="false">Raw_Donors!J91</f>
        <v>N</v>
      </c>
      <c r="L91" s="9" t="n">
        <f aca="false">Raw_Donors!K91</f>
        <v>3</v>
      </c>
      <c r="M91" s="10" t="n">
        <f aca="false">IFERROR(VALUE(SUBSTITUTE(SUBSTITUTE(Raw_Donors!L91,"$",""),",","")),0)</f>
        <v>0</v>
      </c>
      <c r="N91" s="10" t="n">
        <f aca="false">IFERROR(VALUE(SUBSTITUTE(SUBSTITUTE(Raw_Donors!M91,"$",""),",","")),0)</f>
        <v>0</v>
      </c>
      <c r="O91" s="10" t="n">
        <f aca="false">IFERROR(VALUE(SUBSTITUTE(SUBSTITUTE(Raw_Donors!N91,"$",""),",","")),0)</f>
        <v>0</v>
      </c>
      <c r="P91" s="10" t="n">
        <f aca="false">IFERROR(VALUE(SUBSTITUTE(SUBSTITUTE(Raw_Donors!O91,"$",""),",","")),0)</f>
        <v>0</v>
      </c>
      <c r="Q91" s="10" t="n">
        <f aca="false">IFERROR(VALUE(SUBSTITUTE(SUBSTITUTE(Raw_Donors!P91,"$",""),",","")),0)</f>
        <v>0</v>
      </c>
      <c r="R91" s="10" t="n">
        <f aca="false">Raw_Donors!Q91</f>
        <v>100</v>
      </c>
      <c r="S91" s="9" t="str">
        <f aca="false">Raw_Donors!R91</f>
        <v>Y</v>
      </c>
      <c r="T91" s="9" t="str">
        <f aca="false">IF(Raw_Donors!S91="","",Raw_Donors!S91)</f>
        <v/>
      </c>
      <c r="U91" s="9" t="str">
        <f aca="false">IF(AND((O91+P91)&gt;0,Q91=0),"Lapsed - Follow Up","")</f>
        <v/>
      </c>
      <c r="V91" s="9" t="n">
        <f aca="false">RANK(R91,$R$2:$R$759)+COUNTIF($R$2:R91,R91)-1</f>
        <v>274</v>
      </c>
      <c r="W91" s="9" t="str">
        <f aca="false">IF(U91="Lapsed - Follow Up",COUNTIF($U$2:U91,"Lapsed - Follow Up"),"")</f>
        <v/>
      </c>
    </row>
    <row r="92" customFormat="false" ht="15" hidden="false" customHeight="true" outlineLevel="0" collapsed="false">
      <c r="A92" s="9" t="str">
        <f aca="false">Raw_Donors!A92</f>
        <v>D1090</v>
      </c>
      <c r="B92" s="9" t="str">
        <f aca="false">IF(ISNUMBER(SEARCH("-DUP",A92)),"Duplicate ID","")</f>
        <v/>
      </c>
      <c r="C92" s="9" t="n">
        <f aca="false">Raw_Donors!B92</f>
        <v>70393</v>
      </c>
      <c r="D92" s="9" t="n">
        <f aca="false">Raw_Donors!C92</f>
        <v>0</v>
      </c>
      <c r="E92" s="9" t="str">
        <f aca="false">IFERROR(IF(Raw_Donors!D92="","Unknown",Raw_Donors!D92),"Unknown")</f>
        <v>Unknown</v>
      </c>
      <c r="F92" s="9" t="str">
        <f aca="false">IFERROR(IF(Raw_Donors!E92="","Unknown",Raw_Donors!E92),"Unknown")</f>
        <v>Male</v>
      </c>
      <c r="G92" s="9" t="str">
        <f aca="false">PROPER(TRIM(Raw_Donors!F92))</f>
        <v>Community Partner</v>
      </c>
      <c r="H92" s="9" t="str">
        <f aca="false">IFERROR(IF(Raw_Donors!G92="","N",Raw_Donors!G92),"N")</f>
        <v>N</v>
      </c>
      <c r="I92" s="9" t="str">
        <f aca="false">IF(Raw_Donors!H92="","Not Rated",Raw_Donors!H92)</f>
        <v>Not Rated</v>
      </c>
      <c r="J92" s="9" t="str">
        <f aca="false">IF(TRIM(Raw_Donors!I92)="","Unknown",TRIM(Raw_Donors!I92))</f>
        <v>HOME</v>
      </c>
      <c r="K92" s="9" t="str">
        <f aca="false">Raw_Donors!J92</f>
        <v>N</v>
      </c>
      <c r="L92" s="9" t="n">
        <f aca="false">Raw_Donors!K92</f>
        <v>0</v>
      </c>
      <c r="M92" s="10" t="n">
        <f aca="false">IFERROR(VALUE(SUBSTITUTE(SUBSTITUTE(Raw_Donors!L92,"$",""),",","")),0)</f>
        <v>0</v>
      </c>
      <c r="N92" s="10" t="n">
        <f aca="false">IFERROR(VALUE(SUBSTITUTE(SUBSTITUTE(Raw_Donors!M92,"$",""),",","")),0)</f>
        <v>5</v>
      </c>
      <c r="O92" s="10" t="n">
        <f aca="false">IFERROR(VALUE(SUBSTITUTE(SUBSTITUTE(Raw_Donors!N92,"$",""),",","")),0)</f>
        <v>0</v>
      </c>
      <c r="P92" s="10" t="n">
        <f aca="false">IFERROR(VALUE(SUBSTITUTE(SUBSTITUTE(Raw_Donors!O92,"$",""),",","")),0)</f>
        <v>0</v>
      </c>
      <c r="Q92" s="10" t="n">
        <f aca="false">IFERROR(VALUE(SUBSTITUTE(SUBSTITUTE(Raw_Donors!P92,"$",""),",","")),0)</f>
        <v>150</v>
      </c>
      <c r="R92" s="10" t="n">
        <f aca="false">Raw_Donors!Q92</f>
        <v>175</v>
      </c>
      <c r="S92" s="9" t="str">
        <f aca="false">Raw_Donors!R92</f>
        <v>Y</v>
      </c>
      <c r="T92" s="9" t="str">
        <f aca="false">IF(Raw_Donors!S92="","",Raw_Donors!S92)</f>
        <v/>
      </c>
      <c r="U92" s="9" t="str">
        <f aca="false">IF(AND((O92+P92)&gt;0,Q92=0),"Lapsed - Follow Up","")</f>
        <v/>
      </c>
      <c r="V92" s="9" t="n">
        <f aca="false">RANK(R92,$R$2:$R$759)+COUNTIF($R$2:R92,R92)-1</f>
        <v>218</v>
      </c>
      <c r="W92" s="9" t="str">
        <f aca="false">IF(U92="Lapsed - Follow Up",COUNTIF($U$2:U92,"Lapsed - Follow Up"),"")</f>
        <v/>
      </c>
    </row>
    <row r="93" customFormat="false" ht="15" hidden="false" customHeight="true" outlineLevel="0" collapsed="false">
      <c r="A93" s="9" t="str">
        <f aca="false">Raw_Donors!A93</f>
        <v>D1091</v>
      </c>
      <c r="B93" s="9" t="str">
        <f aca="false">IF(ISNUMBER(SEARCH("-DUP",A93)),"Duplicate ID","")</f>
        <v/>
      </c>
      <c r="C93" s="9" t="n">
        <f aca="false">Raw_Donors!B93</f>
        <v>75386</v>
      </c>
      <c r="D93" s="9" t="n">
        <f aca="false">Raw_Donors!C93</f>
        <v>0</v>
      </c>
      <c r="E93" s="9" t="str">
        <f aca="false">IFERROR(IF(Raw_Donors!D93="","Unknown",Raw_Donors!D93),"Unknown")</f>
        <v>Unknown</v>
      </c>
      <c r="F93" s="9" t="str">
        <f aca="false">IFERROR(IF(Raw_Donors!E93="","Unknown",Raw_Donors!E93),"Unknown")</f>
        <v>Female</v>
      </c>
      <c r="G93" s="9" t="str">
        <f aca="false">PROPER(TRIM(Raw_Donors!F93))</f>
        <v>Individual Donor</v>
      </c>
      <c r="H93" s="9" t="str">
        <f aca="false">IFERROR(IF(Raw_Donors!G93="","N",Raw_Donors!G93),"N")</f>
        <v>N</v>
      </c>
      <c r="I93" s="9" t="str">
        <f aca="false">IF(Raw_Donors!H93="","Not Rated",Raw_Donors!H93)</f>
        <v>Not Rated</v>
      </c>
      <c r="J93" s="9" t="str">
        <f aca="false">IF(TRIM(Raw_Donors!I93)="","Unknown",TRIM(Raw_Donors!I93))</f>
        <v>HOME</v>
      </c>
      <c r="K93" s="9" t="str">
        <f aca="false">Raw_Donors!J93</f>
        <v>Y</v>
      </c>
      <c r="L93" s="9" t="n">
        <f aca="false">Raw_Donors!K93</f>
        <v>1</v>
      </c>
      <c r="M93" s="10" t="n">
        <f aca="false">IFERROR(VALUE(SUBSTITUTE(SUBSTITUTE(Raw_Donors!L93,"$",""),",","")),0)</f>
        <v>0</v>
      </c>
      <c r="N93" s="10" t="n">
        <f aca="false">IFERROR(VALUE(SUBSTITUTE(SUBSTITUTE(Raw_Donors!M93,"$",""),",","")),0)</f>
        <v>0</v>
      </c>
      <c r="O93" s="10" t="n">
        <f aca="false">IFERROR(VALUE(SUBSTITUTE(SUBSTITUTE(Raw_Donors!N93,"$",""),",","")),0)</f>
        <v>0</v>
      </c>
      <c r="P93" s="10" t="n">
        <f aca="false">IFERROR(VALUE(SUBSTITUTE(SUBSTITUTE(Raw_Donors!O93,"$",""),",","")),0)</f>
        <v>0</v>
      </c>
      <c r="Q93" s="10" t="n">
        <f aca="false">IFERROR(VALUE(SUBSTITUTE(SUBSTITUTE(Raw_Donors!P93,"$",""),",","")),0)</f>
        <v>0</v>
      </c>
      <c r="R93" s="10" t="n">
        <f aca="false">Raw_Donors!Q93</f>
        <v>11704</v>
      </c>
      <c r="S93" s="9" t="str">
        <f aca="false">Raw_Donors!R93</f>
        <v>Y</v>
      </c>
      <c r="T93" s="9" t="str">
        <f aca="false">IF(Raw_Donors!S93="","",Raw_Donors!S93)</f>
        <v/>
      </c>
      <c r="U93" s="9" t="str">
        <f aca="false">IF(AND((O93+P93)&gt;0,Q93=0),"Lapsed - Follow Up","")</f>
        <v/>
      </c>
      <c r="V93" s="9" t="n">
        <f aca="false">RANK(R93,$R$2:$R$759)+COUNTIF($R$2:R93,R93)-1</f>
        <v>7</v>
      </c>
      <c r="W93" s="9" t="str">
        <f aca="false">IF(U93="Lapsed - Follow Up",COUNTIF($U$2:U93,"Lapsed - Follow Up"),"")</f>
        <v/>
      </c>
    </row>
    <row r="94" customFormat="false" ht="15" hidden="false" customHeight="true" outlineLevel="0" collapsed="false">
      <c r="A94" s="9" t="str">
        <f aca="false">Raw_Donors!A94</f>
        <v>D1092</v>
      </c>
      <c r="B94" s="9" t="str">
        <f aca="false">IF(ISNUMBER(SEARCH("-DUP",A94)),"Duplicate ID","")</f>
        <v/>
      </c>
      <c r="C94" s="9" t="n">
        <f aca="false">Raw_Donors!B94</f>
        <v>32635</v>
      </c>
      <c r="D94" s="9" t="n">
        <f aca="false">Raw_Donors!C94</f>
        <v>0</v>
      </c>
      <c r="E94" s="9" t="str">
        <f aca="false">IFERROR(IF(Raw_Donors!D94="","Unknown",Raw_Donors!D94),"Unknown")</f>
        <v>Unknown</v>
      </c>
      <c r="F94" s="9" t="str">
        <f aca="false">IFERROR(IF(Raw_Donors!E94="","Unknown",Raw_Donors!E94),"Unknown")</f>
        <v>Male</v>
      </c>
      <c r="G94" s="9" t="str">
        <f aca="false">PROPER(TRIM(Raw_Donors!F94))</f>
        <v>Individual Donor</v>
      </c>
      <c r="H94" s="9" t="str">
        <f aca="false">IFERROR(IF(Raw_Donors!G94="","N",Raw_Donors!G94),"N")</f>
        <v>N</v>
      </c>
      <c r="I94" s="9" t="str">
        <f aca="false">IF(Raw_Donors!H94="","Not Rated",Raw_Donors!H94)</f>
        <v>Not Rated</v>
      </c>
      <c r="J94" s="9" t="str">
        <f aca="false">IF(TRIM(Raw_Donors!I94)="","Unknown",TRIM(Raw_Donors!I94))</f>
        <v>BUSN</v>
      </c>
      <c r="K94" s="9" t="str">
        <f aca="false">Raw_Donors!J94</f>
        <v>Y</v>
      </c>
      <c r="L94" s="9" t="n">
        <f aca="false">Raw_Donors!K94</f>
        <v>0</v>
      </c>
      <c r="M94" s="10" t="n">
        <f aca="false">IFERROR(VALUE(SUBSTITUTE(SUBSTITUTE(Raw_Donors!L94,"$",""),",","")),0)</f>
        <v>0</v>
      </c>
      <c r="N94" s="10" t="n">
        <f aca="false">IFERROR(VALUE(SUBSTITUTE(SUBSTITUTE(Raw_Donors!M94,"$",""),",","")),0)</f>
        <v>0</v>
      </c>
      <c r="O94" s="10" t="n">
        <f aca="false">IFERROR(VALUE(SUBSTITUTE(SUBSTITUTE(Raw_Donors!N94,"$",""),",","")),0)</f>
        <v>0</v>
      </c>
      <c r="P94" s="10" t="n">
        <f aca="false">IFERROR(VALUE(SUBSTITUTE(SUBSTITUTE(Raw_Donors!O94,"$",""),",","")),0)</f>
        <v>0</v>
      </c>
      <c r="Q94" s="10" t="n">
        <f aca="false">IFERROR(VALUE(SUBSTITUTE(SUBSTITUTE(Raw_Donors!P94,"$",""),",","")),0)</f>
        <v>0</v>
      </c>
      <c r="R94" s="10" t="n">
        <f aca="false">Raw_Donors!Q94</f>
        <v>150</v>
      </c>
      <c r="S94" s="9" t="str">
        <f aca="false">Raw_Donors!R94</f>
        <v>Y</v>
      </c>
      <c r="T94" s="9" t="str">
        <f aca="false">IF(Raw_Donors!S94="","",Raw_Donors!S94)</f>
        <v/>
      </c>
      <c r="U94" s="9" t="str">
        <f aca="false">IF(AND((O94+P94)&gt;0,Q94=0),"Lapsed - Follow Up","")</f>
        <v/>
      </c>
      <c r="V94" s="9" t="n">
        <f aca="false">RANK(R94,$R$2:$R$759)+COUNTIF($R$2:R94,R94)-1</f>
        <v>227</v>
      </c>
      <c r="W94" s="9" t="str">
        <f aca="false">IF(U94="Lapsed - Follow Up",COUNTIF($U$2:U94,"Lapsed - Follow Up"),"")</f>
        <v/>
      </c>
    </row>
    <row r="95" customFormat="false" ht="15" hidden="false" customHeight="true" outlineLevel="0" collapsed="false">
      <c r="A95" s="9" t="str">
        <f aca="false">Raw_Donors!A95</f>
        <v>D1093</v>
      </c>
      <c r="B95" s="9" t="str">
        <f aca="false">IF(ISNUMBER(SEARCH("-DUP",A95)),"Duplicate ID","")</f>
        <v/>
      </c>
      <c r="C95" s="9" t="n">
        <f aca="false">Raw_Donors!B95</f>
        <v>95470</v>
      </c>
      <c r="D95" s="9" t="n">
        <f aca="false">Raw_Donors!C95</f>
        <v>25</v>
      </c>
      <c r="E95" s="9" t="str">
        <f aca="false">IFERROR(IF(Raw_Donors!D95="","Unknown",Raw_Donors!D95),"Unknown")</f>
        <v>Unknown</v>
      </c>
      <c r="F95" s="9" t="str">
        <f aca="false">IFERROR(IF(Raw_Donors!E95="","Unknown",Raw_Donors!E95),"Unknown")</f>
        <v>Female</v>
      </c>
      <c r="G95" s="9" t="str">
        <f aca="false">PROPER(TRIM(Raw_Donors!F95))</f>
        <v>Individual Donor</v>
      </c>
      <c r="H95" s="9" t="str">
        <f aca="false">IFERROR(IF(Raw_Donors!G95="","N",Raw_Donors!G95),"N")</f>
        <v>N</v>
      </c>
      <c r="I95" s="9" t="str">
        <f aca="false">IF(Raw_Donors!H95="","Not Rated",Raw_Donors!H95)</f>
        <v>Not Rated</v>
      </c>
      <c r="J95" s="9" t="str">
        <f aca="false">IF(TRIM(Raw_Donors!I95)="","Unknown",TRIM(Raw_Donors!I95))</f>
        <v>CAMP</v>
      </c>
      <c r="K95" s="9" t="str">
        <f aca="false">Raw_Donors!J95</f>
        <v>Y</v>
      </c>
      <c r="L95" s="9" t="n">
        <f aca="false">Raw_Donors!K95</f>
        <v>0</v>
      </c>
      <c r="M95" s="10" t="n">
        <f aca="false">IFERROR(VALUE(SUBSTITUTE(SUBSTITUTE(Raw_Donors!L95,"$",""),",","")),0)</f>
        <v>0</v>
      </c>
      <c r="N95" s="10" t="n">
        <f aca="false">IFERROR(VALUE(SUBSTITUTE(SUBSTITUTE(Raw_Donors!M95,"$",""),",","")),0)</f>
        <v>0</v>
      </c>
      <c r="O95" s="10" t="n">
        <f aca="false">IFERROR(VALUE(SUBSTITUTE(SUBSTITUTE(Raw_Donors!N95,"$",""),",","")),0)</f>
        <v>0</v>
      </c>
      <c r="P95" s="10" t="n">
        <f aca="false">IFERROR(VALUE(SUBSTITUTE(SUBSTITUTE(Raw_Donors!O95,"$",""),",","")),0)</f>
        <v>0</v>
      </c>
      <c r="Q95" s="10" t="n">
        <f aca="false">IFERROR(VALUE(SUBSTITUTE(SUBSTITUTE(Raw_Donors!P95,"$",""),",","")),0)</f>
        <v>0</v>
      </c>
      <c r="R95" s="10" t="n">
        <f aca="false">Raw_Donors!Q95</f>
        <v>5</v>
      </c>
      <c r="S95" s="9" t="str">
        <f aca="false">Raw_Donors!R95</f>
        <v>Y</v>
      </c>
      <c r="T95" s="9" t="str">
        <f aca="false">IF(Raw_Donors!S95="","",Raw_Donors!S95)</f>
        <v>1992-06-11</v>
      </c>
      <c r="U95" s="9" t="str">
        <f aca="false">IF(AND((O95+P95)&gt;0,Q95=0),"Lapsed - Follow Up","")</f>
        <v/>
      </c>
      <c r="V95" s="9" t="n">
        <f aca="false">RANK(R95,$R$2:$R$759)+COUNTIF($R$2:R95,R95)-1</f>
        <v>514</v>
      </c>
      <c r="W95" s="9" t="str">
        <f aca="false">IF(U95="Lapsed - Follow Up",COUNTIF($U$2:U95,"Lapsed - Follow Up"),"")</f>
        <v/>
      </c>
    </row>
    <row r="96" customFormat="false" ht="15" hidden="false" customHeight="true" outlineLevel="0" collapsed="false">
      <c r="A96" s="9" t="str">
        <f aca="false">Raw_Donors!A96</f>
        <v>D1094</v>
      </c>
      <c r="B96" s="9" t="str">
        <f aca="false">IF(ISNUMBER(SEARCH("-DUP",A96)),"Duplicate ID","")</f>
        <v/>
      </c>
      <c r="C96" s="9" t="n">
        <f aca="false">Raw_Donors!B96</f>
        <v>98029</v>
      </c>
      <c r="D96" s="9" t="n">
        <f aca="false">Raw_Donors!C96</f>
        <v>0</v>
      </c>
      <c r="E96" s="9" t="str">
        <f aca="false">IFERROR(IF(Raw_Donors!D96="","Unknown",Raw_Donors!D96),"Unknown")</f>
        <v>Married</v>
      </c>
      <c r="F96" s="9" t="str">
        <f aca="false">IFERROR(IF(Raw_Donors!E96="","Unknown",Raw_Donors!E96),"Unknown")</f>
        <v>Male</v>
      </c>
      <c r="G96" s="9" t="str">
        <f aca="false">PROPER(TRIM(Raw_Donors!F96))</f>
        <v>Community Partner</v>
      </c>
      <c r="H96" s="9" t="str">
        <f aca="false">IFERROR(IF(Raw_Donors!G96="","N",Raw_Donors!G96),"N")</f>
        <v>N</v>
      </c>
      <c r="I96" s="9" t="str">
        <f aca="false">IF(Raw_Donors!H96="","Not Rated",Raw_Donors!H96)</f>
        <v>Not Rated</v>
      </c>
      <c r="J96" s="9" t="str">
        <f aca="false">IF(TRIM(Raw_Donors!I96)="","Unknown",TRIM(Raw_Donors!I96))</f>
        <v>Unknown</v>
      </c>
      <c r="K96" s="9" t="str">
        <f aca="false">Raw_Donors!J96</f>
        <v>N</v>
      </c>
      <c r="L96" s="9" t="n">
        <f aca="false">Raw_Donors!K96</f>
        <v>0</v>
      </c>
      <c r="M96" s="10" t="n">
        <f aca="false">IFERROR(VALUE(SUBSTITUTE(SUBSTITUTE(Raw_Donors!L96,"$",""),",","")),0)</f>
        <v>0</v>
      </c>
      <c r="N96" s="10" t="n">
        <f aca="false">IFERROR(VALUE(SUBSTITUTE(SUBSTITUTE(Raw_Donors!M96,"$",""),",","")),0)</f>
        <v>0</v>
      </c>
      <c r="O96" s="10" t="n">
        <f aca="false">IFERROR(VALUE(SUBSTITUTE(SUBSTITUTE(Raw_Donors!N96,"$",""),",","")),0)</f>
        <v>0</v>
      </c>
      <c r="P96" s="10" t="n">
        <f aca="false">IFERROR(VALUE(SUBSTITUTE(SUBSTITUTE(Raw_Donors!O96,"$",""),",","")),0)</f>
        <v>25</v>
      </c>
      <c r="Q96" s="10" t="n">
        <f aca="false">IFERROR(VALUE(SUBSTITUTE(SUBSTITUTE(Raw_Donors!P96,"$",""),",","")),0)</f>
        <v>0</v>
      </c>
      <c r="R96" s="10" t="n">
        <f aca="false">Raw_Donors!Q96</f>
        <v>25</v>
      </c>
      <c r="S96" s="9" t="str">
        <f aca="false">Raw_Donors!R96</f>
        <v>Y</v>
      </c>
      <c r="T96" s="9" t="str">
        <f aca="false">IF(Raw_Donors!S96="","",Raw_Donors!S96)</f>
        <v/>
      </c>
      <c r="U96" s="9" t="str">
        <f aca="false">IF(AND((O96+P96)&gt;0,Q96=0),"Lapsed - Follow Up","")</f>
        <v>Lapsed - Follow Up</v>
      </c>
      <c r="V96" s="9" t="n">
        <f aca="false">RANK(R96,$R$2:$R$759)+COUNTIF($R$2:R96,R96)-1</f>
        <v>430</v>
      </c>
      <c r="W96" s="9" t="n">
        <f aca="false">IF(U96="Lapsed - Follow Up",COUNTIF($U$2:U96,"Lapsed - Follow Up"),"")</f>
        <v>19</v>
      </c>
    </row>
    <row r="97" customFormat="false" ht="15" hidden="false" customHeight="true" outlineLevel="0" collapsed="false">
      <c r="A97" s="9" t="str">
        <f aca="false">Raw_Donors!A97</f>
        <v>D1095</v>
      </c>
      <c r="B97" s="9" t="str">
        <f aca="false">IF(ISNUMBER(SEARCH("-DUP",A97)),"Duplicate ID","")</f>
        <v/>
      </c>
      <c r="C97" s="9" t="n">
        <f aca="false">Raw_Donors!B97</f>
        <v>70607</v>
      </c>
      <c r="D97" s="9" t="n">
        <f aca="false">Raw_Donors!C97</f>
        <v>0</v>
      </c>
      <c r="E97" s="9" t="str">
        <f aca="false">IFERROR(IF(Raw_Donors!D97="","Unknown",Raw_Donors!D97),"Unknown")</f>
        <v>Unknown</v>
      </c>
      <c r="F97" s="9" t="str">
        <f aca="false">IFERROR(IF(Raw_Donors!E97="","Unknown",Raw_Donors!E97),"Unknown")</f>
        <v>Female</v>
      </c>
      <c r="G97" s="9" t="str">
        <f aca="false">PROPER(TRIM(Raw_Donors!F97))</f>
        <v>Individual Donor</v>
      </c>
      <c r="H97" s="9" t="str">
        <f aca="false">IFERROR(IF(Raw_Donors!G97="","N",Raw_Donors!G97),"N")</f>
        <v>N</v>
      </c>
      <c r="I97" s="9" t="str">
        <f aca="false">IF(Raw_Donors!H97="","Not Rated",Raw_Donors!H97)</f>
        <v>Not Rated</v>
      </c>
      <c r="J97" s="9" t="str">
        <f aca="false">IF(TRIM(Raw_Donors!I97)="","Unknown",TRIM(Raw_Donors!I97))</f>
        <v>Unknown</v>
      </c>
      <c r="K97" s="9" t="str">
        <f aca="false">Raw_Donors!J97</f>
        <v>N</v>
      </c>
      <c r="L97" s="9" t="n">
        <f aca="false">Raw_Donors!K97</f>
        <v>2</v>
      </c>
      <c r="M97" s="10" t="n">
        <f aca="false">IFERROR(VALUE(SUBSTITUTE(SUBSTITUTE(Raw_Donors!L97,"$",""),",","")),0)</f>
        <v>0</v>
      </c>
      <c r="N97" s="10" t="n">
        <f aca="false">IFERROR(VALUE(SUBSTITUTE(SUBSTITUTE(Raw_Donors!M97,"$",""),",","")),0)</f>
        <v>0</v>
      </c>
      <c r="O97" s="10" t="n">
        <f aca="false">IFERROR(VALUE(SUBSTITUTE(SUBSTITUTE(Raw_Donors!N97,"$",""),",","")),0)</f>
        <v>0</v>
      </c>
      <c r="P97" s="10" t="n">
        <f aca="false">IFERROR(VALUE(SUBSTITUTE(SUBSTITUTE(Raw_Donors!O97,"$",""),",","")),0)</f>
        <v>0</v>
      </c>
      <c r="Q97" s="10" t="n">
        <f aca="false">IFERROR(VALUE(SUBSTITUTE(SUBSTITUTE(Raw_Donors!P97,"$",""),",","")),0)</f>
        <v>0</v>
      </c>
      <c r="R97" s="10" t="n">
        <f aca="false">Raw_Donors!Q97</f>
        <v>0</v>
      </c>
      <c r="S97" s="9" t="str">
        <f aca="false">Raw_Donors!R97</f>
        <v>N</v>
      </c>
      <c r="T97" s="9" t="str">
        <f aca="false">IF(Raw_Donors!S97="","",Raw_Donors!S97)</f>
        <v/>
      </c>
      <c r="U97" s="9" t="str">
        <f aca="false">IF(AND((O97+P97)&gt;0,Q97=0),"Lapsed - Follow Up","")</f>
        <v/>
      </c>
      <c r="V97" s="9" t="n">
        <f aca="false">RANK(R97,$R$2:$R$759)+COUNTIF($R$2:R97,R97)-1</f>
        <v>583</v>
      </c>
      <c r="W97" s="9" t="str">
        <f aca="false">IF(U97="Lapsed - Follow Up",COUNTIF($U$2:U97,"Lapsed - Follow Up"),"")</f>
        <v/>
      </c>
    </row>
    <row r="98" customFormat="false" ht="15" hidden="false" customHeight="true" outlineLevel="0" collapsed="false">
      <c r="A98" s="9" t="str">
        <f aca="false">Raw_Donors!A98</f>
        <v>D1096</v>
      </c>
      <c r="B98" s="9" t="str">
        <f aca="false">IF(ISNUMBER(SEARCH("-DUP",A98)),"Duplicate ID","")</f>
        <v/>
      </c>
      <c r="C98" s="9" t="n">
        <f aca="false">Raw_Donors!B98</f>
        <v>7080</v>
      </c>
      <c r="D98" s="9" t="n">
        <f aca="false">Raw_Donors!C98</f>
        <v>0</v>
      </c>
      <c r="E98" s="9" t="str">
        <f aca="false">IFERROR(IF(Raw_Donors!D98="","Unknown",Raw_Donors!D98),"Unknown")</f>
        <v>Married</v>
      </c>
      <c r="F98" s="9" t="str">
        <f aca="false">IFERROR(IF(Raw_Donors!E98="","Unknown",Raw_Donors!E98),"Unknown")</f>
        <v>Male</v>
      </c>
      <c r="G98" s="9" t="str">
        <f aca="false">PROPER(TRIM(Raw_Donors!F98))</f>
        <v>Family Donor</v>
      </c>
      <c r="H98" s="9" t="str">
        <f aca="false">IFERROR(IF(Raw_Donors!G98="","N",Raw_Donors!G98),"N")</f>
        <v>N</v>
      </c>
      <c r="I98" s="9" t="str">
        <f aca="false">IF(Raw_Donors!H98="","Not Rated",Raw_Donors!H98)</f>
        <v>Not Rated</v>
      </c>
      <c r="J98" s="9" t="str">
        <f aca="false">IF(TRIM(Raw_Donors!I98)="","Unknown",TRIM(Raw_Donors!I98))</f>
        <v>HOME</v>
      </c>
      <c r="K98" s="9" t="str">
        <f aca="false">Raw_Donors!J98</f>
        <v>N</v>
      </c>
      <c r="L98" s="9" t="n">
        <f aca="false">Raw_Donors!K98</f>
        <v>0</v>
      </c>
      <c r="M98" s="10" t="n">
        <f aca="false">IFERROR(VALUE(SUBSTITUTE(SUBSTITUTE(Raw_Donors!L98,"$",""),",","")),0)</f>
        <v>0</v>
      </c>
      <c r="N98" s="10" t="n">
        <f aca="false">IFERROR(VALUE(SUBSTITUTE(SUBSTITUTE(Raw_Donors!M98,"$",""),",","")),0)</f>
        <v>0</v>
      </c>
      <c r="O98" s="10" t="n">
        <f aca="false">IFERROR(VALUE(SUBSTITUTE(SUBSTITUTE(Raw_Donors!N98,"$",""),",","")),0)</f>
        <v>0</v>
      </c>
      <c r="P98" s="10" t="n">
        <f aca="false">IFERROR(VALUE(SUBSTITUTE(SUBSTITUTE(Raw_Donors!O98,"$",""),",","")),0)</f>
        <v>0</v>
      </c>
      <c r="Q98" s="10" t="n">
        <f aca="false">IFERROR(VALUE(SUBSTITUTE(SUBSTITUTE(Raw_Donors!P98,"$",""),",","")),0)</f>
        <v>0</v>
      </c>
      <c r="R98" s="10" t="n">
        <f aca="false">Raw_Donors!Q98</f>
        <v>61</v>
      </c>
      <c r="S98" s="9" t="str">
        <f aca="false">Raw_Donors!R98</f>
        <v>Y</v>
      </c>
      <c r="T98" s="9" t="str">
        <f aca="false">IF(Raw_Donors!S98="","",Raw_Donors!S98)</f>
        <v/>
      </c>
      <c r="U98" s="9" t="str">
        <f aca="false">IF(AND((O98+P98)&gt;0,Q98=0),"Lapsed - Follow Up","")</f>
        <v/>
      </c>
      <c r="V98" s="9" t="n">
        <f aca="false">RANK(R98,$R$2:$R$759)+COUNTIF($R$2:R98,R98)-1</f>
        <v>348</v>
      </c>
      <c r="W98" s="9" t="str">
        <f aca="false">IF(U98="Lapsed - Follow Up",COUNTIF($U$2:U98,"Lapsed - Follow Up"),"")</f>
        <v/>
      </c>
    </row>
    <row r="99" customFormat="false" ht="15" hidden="false" customHeight="true" outlineLevel="0" collapsed="false">
      <c r="A99" s="9" t="str">
        <f aca="false">Raw_Donors!A99</f>
        <v>D1097</v>
      </c>
      <c r="B99" s="9" t="str">
        <f aca="false">IF(ISNUMBER(SEARCH("-DUP",A99)),"Duplicate ID","")</f>
        <v/>
      </c>
      <c r="C99" s="9" t="n">
        <f aca="false">Raw_Donors!B99</f>
        <v>90230</v>
      </c>
      <c r="D99" s="9" t="n">
        <f aca="false">Raw_Donors!C99</f>
        <v>0</v>
      </c>
      <c r="E99" s="9" t="str">
        <f aca="false">IFERROR(IF(Raw_Donors!D99="","Unknown",Raw_Donors!D99),"Unknown")</f>
        <v>Unknown</v>
      </c>
      <c r="F99" s="9" t="str">
        <f aca="false">IFERROR(IF(Raw_Donors!E99="","Unknown",Raw_Donors!E99),"Unknown")</f>
        <v>Female</v>
      </c>
      <c r="G99" s="9" t="str">
        <f aca="false">PROPER(TRIM(Raw_Donors!F99))</f>
        <v>Individual Donor</v>
      </c>
      <c r="H99" s="9" t="str">
        <f aca="false">IFERROR(IF(Raw_Donors!G99="","N",Raw_Donors!G99),"N")</f>
        <v>N</v>
      </c>
      <c r="I99" s="9" t="str">
        <f aca="false">IF(Raw_Donors!H99="","Not Rated",Raw_Donors!H99)</f>
        <v>Not Rated</v>
      </c>
      <c r="J99" s="9" t="str">
        <f aca="false">IF(TRIM(Raw_Donors!I99)="","Unknown",TRIM(Raw_Donors!I99))</f>
        <v>HOME</v>
      </c>
      <c r="K99" s="9" t="str">
        <f aca="false">Raw_Donors!J99</f>
        <v>N</v>
      </c>
      <c r="L99" s="9" t="n">
        <f aca="false">Raw_Donors!K99</f>
        <v>3</v>
      </c>
      <c r="M99" s="10" t="n">
        <f aca="false">IFERROR(VALUE(SUBSTITUTE(SUBSTITUTE(Raw_Donors!L99,"$",""),",","")),0)</f>
        <v>0</v>
      </c>
      <c r="N99" s="10" t="n">
        <f aca="false">IFERROR(VALUE(SUBSTITUTE(SUBSTITUTE(Raw_Donors!M99,"$",""),",","")),0)</f>
        <v>0</v>
      </c>
      <c r="O99" s="10" t="n">
        <f aca="false">IFERROR(VALUE(SUBSTITUTE(SUBSTITUTE(Raw_Donors!N99,"$",""),",","")),0)</f>
        <v>0</v>
      </c>
      <c r="P99" s="10" t="n">
        <f aca="false">IFERROR(VALUE(SUBSTITUTE(SUBSTITUTE(Raw_Donors!O99,"$",""),",","")),0)</f>
        <v>0</v>
      </c>
      <c r="Q99" s="10" t="n">
        <f aca="false">IFERROR(VALUE(SUBSTITUTE(SUBSTITUTE(Raw_Donors!P99,"$",""),",","")),0)</f>
        <v>0</v>
      </c>
      <c r="R99" s="10" t="n">
        <f aca="false">Raw_Donors!Q99</f>
        <v>0</v>
      </c>
      <c r="S99" s="9" t="str">
        <f aca="false">Raw_Donors!R99</f>
        <v>N</v>
      </c>
      <c r="T99" s="9" t="str">
        <f aca="false">IF(Raw_Donors!S99="","",Raw_Donors!S99)</f>
        <v/>
      </c>
      <c r="U99" s="9" t="str">
        <f aca="false">IF(AND((O99+P99)&gt;0,Q99=0),"Lapsed - Follow Up","")</f>
        <v/>
      </c>
      <c r="V99" s="9" t="n">
        <f aca="false">RANK(R99,$R$2:$R$759)+COUNTIF($R$2:R99,R99)-1</f>
        <v>584</v>
      </c>
      <c r="W99" s="9" t="str">
        <f aca="false">IF(U99="Lapsed - Follow Up",COUNTIF($U$2:U99,"Lapsed - Follow Up"),"")</f>
        <v/>
      </c>
    </row>
    <row r="100" customFormat="false" ht="15" hidden="false" customHeight="true" outlineLevel="0" collapsed="false">
      <c r="A100" s="9" t="str">
        <f aca="false">Raw_Donors!A100</f>
        <v>D1098</v>
      </c>
      <c r="B100" s="9" t="str">
        <f aca="false">IF(ISNUMBER(SEARCH("-DUP",A100)),"Duplicate ID","")</f>
        <v/>
      </c>
      <c r="C100" s="9" t="n">
        <f aca="false">Raw_Donors!B100</f>
        <v>90265</v>
      </c>
      <c r="D100" s="9" t="n">
        <f aca="false">Raw_Donors!C100</f>
        <v>24</v>
      </c>
      <c r="E100" s="9" t="str">
        <f aca="false">IFERROR(IF(Raw_Donors!D100="","Unknown",Raw_Donors!D100),"Unknown")</f>
        <v>Unknown</v>
      </c>
      <c r="F100" s="9" t="str">
        <f aca="false">IFERROR(IF(Raw_Donors!E100="","Unknown",Raw_Donors!E100),"Unknown")</f>
        <v>Female</v>
      </c>
      <c r="G100" s="9" t="str">
        <f aca="false">PROPER(TRIM(Raw_Donors!F100))</f>
        <v>Community Partner</v>
      </c>
      <c r="H100" s="9" t="str">
        <f aca="false">IFERROR(IF(Raw_Donors!G100="","N",Raw_Donors!G100),"N")</f>
        <v>Y</v>
      </c>
      <c r="I100" s="9" t="str">
        <f aca="false">IF(Raw_Donors!H100="","Not Rated",Raw_Donors!H100)</f>
        <v>$50,000-$99,999</v>
      </c>
      <c r="J100" s="9" t="str">
        <f aca="false">IF(TRIM(Raw_Donors!I100)="","Unknown",TRIM(Raw_Donors!I100))</f>
        <v>HOME</v>
      </c>
      <c r="K100" s="9" t="str">
        <f aca="false">Raw_Donors!J100</f>
        <v>Y</v>
      </c>
      <c r="L100" s="9" t="n">
        <f aca="false">Raw_Donors!K100</f>
        <v>1</v>
      </c>
      <c r="M100" s="10" t="n">
        <f aca="false">IFERROR(VALUE(SUBSTITUTE(SUBSTITUTE(Raw_Donors!L100,"$",""),",","")),0)</f>
        <v>0</v>
      </c>
      <c r="N100" s="10" t="n">
        <f aca="false">IFERROR(VALUE(SUBSTITUTE(SUBSTITUTE(Raw_Donors!M100,"$",""),",","")),0)</f>
        <v>144</v>
      </c>
      <c r="O100" s="10" t="n">
        <f aca="false">IFERROR(VALUE(SUBSTITUTE(SUBSTITUTE(Raw_Donors!N100,"$",""),",","")),0)</f>
        <v>0</v>
      </c>
      <c r="P100" s="10" t="n">
        <f aca="false">IFERROR(VALUE(SUBSTITUTE(SUBSTITUTE(Raw_Donors!O100,"$",""),",","")),0)</f>
        <v>0</v>
      </c>
      <c r="Q100" s="10" t="n">
        <f aca="false">IFERROR(VALUE(SUBSTITUTE(SUBSTITUTE(Raw_Donors!P100,"$",""),",","")),0)</f>
        <v>0</v>
      </c>
      <c r="R100" s="10" t="n">
        <f aca="false">Raw_Donors!Q100</f>
        <v>144</v>
      </c>
      <c r="S100" s="9" t="str">
        <f aca="false">Raw_Donors!R100</f>
        <v>Y</v>
      </c>
      <c r="T100" s="9" t="str">
        <f aca="false">IF(Raw_Donors!S100="","",Raw_Donors!S100)</f>
        <v>1993-12-11</v>
      </c>
      <c r="U100" s="9" t="str">
        <f aca="false">IF(AND((O100+P100)&gt;0,Q100=0),"Lapsed - Follow Up","")</f>
        <v/>
      </c>
      <c r="V100" s="9" t="n">
        <f aca="false">RANK(R100,$R$2:$R$759)+COUNTIF($R$2:R100,R100)-1</f>
        <v>236</v>
      </c>
      <c r="W100" s="9" t="str">
        <f aca="false">IF(U100="Lapsed - Follow Up",COUNTIF($U$2:U100,"Lapsed - Follow Up"),"")</f>
        <v/>
      </c>
    </row>
    <row r="101" customFormat="false" ht="15" hidden="false" customHeight="true" outlineLevel="0" collapsed="false">
      <c r="A101" s="9" t="str">
        <f aca="false">Raw_Donors!A101</f>
        <v>D1099</v>
      </c>
      <c r="B101" s="9" t="str">
        <f aca="false">IF(ISNUMBER(SEARCH("-DUP",A101)),"Duplicate ID","")</f>
        <v/>
      </c>
      <c r="C101" s="9" t="n">
        <f aca="false">Raw_Donors!B101</f>
        <v>90250</v>
      </c>
      <c r="D101" s="9" t="n">
        <f aca="false">Raw_Donors!C101</f>
        <v>33</v>
      </c>
      <c r="E101" s="9" t="str">
        <f aca="false">IFERROR(IF(Raw_Donors!D101="","Unknown",Raw_Donors!D101),"Unknown")</f>
        <v>Unknown</v>
      </c>
      <c r="F101" s="9" t="str">
        <f aca="false">IFERROR(IF(Raw_Donors!E101="","Unknown",Raw_Donors!E101),"Unknown")</f>
        <v>Male</v>
      </c>
      <c r="G101" s="9" t="str">
        <f aca="false">PROPER(TRIM(Raw_Donors!F101))</f>
        <v>Community Partner</v>
      </c>
      <c r="H101" s="9" t="str">
        <f aca="false">IFERROR(IF(Raw_Donors!G101="","N",Raw_Donors!G101),"N")</f>
        <v>Y</v>
      </c>
      <c r="I101" s="9" t="str">
        <f aca="false">IF(Raw_Donors!H101="","Not Rated",Raw_Donors!H101)</f>
        <v>Not Rated</v>
      </c>
      <c r="J101" s="9" t="str">
        <f aca="false">IF(TRIM(Raw_Donors!I101)="","Unknown",TRIM(Raw_Donors!I101))</f>
        <v>HOME</v>
      </c>
      <c r="K101" s="9" t="str">
        <f aca="false">Raw_Donors!J101</f>
        <v>Y</v>
      </c>
      <c r="L101" s="9" t="n">
        <f aca="false">Raw_Donors!K101</f>
        <v>0</v>
      </c>
      <c r="M101" s="10" t="n">
        <f aca="false">IFERROR(VALUE(SUBSTITUTE(SUBSTITUTE(Raw_Donors!L101,"$",""),",","")),0)</f>
        <v>0</v>
      </c>
      <c r="N101" s="10" t="n">
        <f aca="false">IFERROR(VALUE(SUBSTITUTE(SUBSTITUTE(Raw_Donors!M101,"$",""),",","")),0)</f>
        <v>0</v>
      </c>
      <c r="O101" s="10" t="n">
        <f aca="false">IFERROR(VALUE(SUBSTITUTE(SUBSTITUTE(Raw_Donors!N101,"$",""),",","")),0)</f>
        <v>0</v>
      </c>
      <c r="P101" s="10" t="n">
        <f aca="false">IFERROR(VALUE(SUBSTITUTE(SUBSTITUTE(Raw_Donors!O101,"$",""),",","")),0)</f>
        <v>0</v>
      </c>
      <c r="Q101" s="10" t="n">
        <f aca="false">IFERROR(VALUE(SUBSTITUTE(SUBSTITUTE(Raw_Donors!P101,"$",""),",","")),0)</f>
        <v>25</v>
      </c>
      <c r="R101" s="10" t="n">
        <f aca="false">Raw_Donors!Q101</f>
        <v>25</v>
      </c>
      <c r="S101" s="9" t="str">
        <f aca="false">Raw_Donors!R101</f>
        <v>Y</v>
      </c>
      <c r="T101" s="9" t="str">
        <f aca="false">IF(Raw_Donors!S101="","",Raw_Donors!S101)</f>
        <v>1984-12-17</v>
      </c>
      <c r="U101" s="9" t="str">
        <f aca="false">IF(AND((O101+P101)&gt;0,Q101=0),"Lapsed - Follow Up","")</f>
        <v/>
      </c>
      <c r="V101" s="9" t="n">
        <f aca="false">RANK(R101,$R$2:$R$759)+COUNTIF($R$2:R101,R101)-1</f>
        <v>431</v>
      </c>
      <c r="W101" s="9" t="str">
        <f aca="false">IF(U101="Lapsed - Follow Up",COUNTIF($U$2:U101,"Lapsed - Follow Up"),"")</f>
        <v/>
      </c>
    </row>
    <row r="102" customFormat="false" ht="15" hidden="false" customHeight="true" outlineLevel="0" collapsed="false">
      <c r="A102" s="9" t="str">
        <f aca="false">Raw_Donors!A102</f>
        <v>D1100</v>
      </c>
      <c r="B102" s="9" t="str">
        <f aca="false">IF(ISNUMBER(SEARCH("-DUP",A102)),"Duplicate ID","")</f>
        <v/>
      </c>
      <c r="C102" s="9" t="n">
        <f aca="false">Raw_Donors!B102</f>
        <v>4262</v>
      </c>
      <c r="D102" s="9" t="n">
        <f aca="false">Raw_Donors!C102</f>
        <v>0</v>
      </c>
      <c r="E102" s="9" t="str">
        <f aca="false">IFERROR(IF(Raw_Donors!D102="","Unknown",Raw_Donors!D102),"Unknown")</f>
        <v>Unknown</v>
      </c>
      <c r="F102" s="9" t="str">
        <f aca="false">IFERROR(IF(Raw_Donors!E102="","Unknown",Raw_Donors!E102),"Unknown")</f>
        <v>Female</v>
      </c>
      <c r="G102" s="9" t="str">
        <f aca="false">PROPER(TRIM(Raw_Donors!F102))</f>
        <v>Individual Donor</v>
      </c>
      <c r="H102" s="9" t="str">
        <f aca="false">IFERROR(IF(Raw_Donors!G102="","N",Raw_Donors!G102),"N")</f>
        <v>Y</v>
      </c>
      <c r="I102" s="9" t="str">
        <f aca="false">IF(Raw_Donors!H102="","Not Rated",Raw_Donors!H102)</f>
        <v>Not Rated</v>
      </c>
      <c r="J102" s="9" t="str">
        <f aca="false">IF(TRIM(Raw_Donors!I102)="","Unknown",TRIM(Raw_Donors!I102))</f>
        <v>HOME</v>
      </c>
      <c r="K102" s="9" t="str">
        <f aca="false">Raw_Donors!J102</f>
        <v>Y</v>
      </c>
      <c r="L102" s="9" t="n">
        <f aca="false">Raw_Donors!K102</f>
        <v>3</v>
      </c>
      <c r="M102" s="10" t="n">
        <f aca="false">IFERROR(VALUE(SUBSTITUTE(SUBSTITUTE(Raw_Donors!L102,"$",""),",","")),0)</f>
        <v>108</v>
      </c>
      <c r="N102" s="10" t="n">
        <f aca="false">IFERROR(VALUE(SUBSTITUTE(SUBSTITUTE(Raw_Donors!M102,"$",""),",","")),0)</f>
        <v>0</v>
      </c>
      <c r="O102" s="10" t="n">
        <f aca="false">IFERROR(VALUE(SUBSTITUTE(SUBSTITUTE(Raw_Donors!N102,"$",""),",","")),0)</f>
        <v>0</v>
      </c>
      <c r="P102" s="10" t="n">
        <f aca="false">IFERROR(VALUE(SUBSTITUTE(SUBSTITUTE(Raw_Donors!O102,"$",""),",","")),0)</f>
        <v>0</v>
      </c>
      <c r="Q102" s="10" t="n">
        <f aca="false">IFERROR(VALUE(SUBSTITUTE(SUBSTITUTE(Raw_Donors!P102,"$",""),",","")),0)</f>
        <v>0</v>
      </c>
      <c r="R102" s="10" t="n">
        <f aca="false">Raw_Donors!Q102</f>
        <v>108</v>
      </c>
      <c r="S102" s="9" t="str">
        <f aca="false">Raw_Donors!R102</f>
        <v>Y</v>
      </c>
      <c r="T102" s="9" t="str">
        <f aca="false">IF(Raw_Donors!S102="","",Raw_Donors!S102)</f>
        <v/>
      </c>
      <c r="U102" s="9" t="str">
        <f aca="false">IF(AND((O102+P102)&gt;0,Q102=0),"Lapsed - Follow Up","")</f>
        <v/>
      </c>
      <c r="V102" s="9" t="n">
        <f aca="false">RANK(R102,$R$2:$R$759)+COUNTIF($R$2:R102,R102)-1</f>
        <v>264</v>
      </c>
      <c r="W102" s="9" t="str">
        <f aca="false">IF(U102="Lapsed - Follow Up",COUNTIF($U$2:U102,"Lapsed - Follow Up"),"")</f>
        <v/>
      </c>
    </row>
    <row r="103" customFormat="false" ht="15" hidden="false" customHeight="true" outlineLevel="0" collapsed="false">
      <c r="A103" s="9" t="str">
        <f aca="false">Raw_Donors!A103</f>
        <v>D1101</v>
      </c>
      <c r="B103" s="9" t="str">
        <f aca="false">IF(ISNUMBER(SEARCH("-DUP",A103)),"Duplicate ID","")</f>
        <v/>
      </c>
      <c r="C103" s="9" t="n">
        <f aca="false">Raw_Donors!B103</f>
        <v>90265</v>
      </c>
      <c r="D103" s="9" t="n">
        <f aca="false">Raw_Donors!C103</f>
        <v>0</v>
      </c>
      <c r="E103" s="9" t="str">
        <f aca="false">IFERROR(IF(Raw_Donors!D103="","Unknown",Raw_Donors!D103),"Unknown")</f>
        <v>Married</v>
      </c>
      <c r="F103" s="9" t="str">
        <f aca="false">IFERROR(IF(Raw_Donors!E103="","Unknown",Raw_Donors!E103),"Unknown")</f>
        <v>Female</v>
      </c>
      <c r="G103" s="9" t="str">
        <f aca="false">PROPER(TRIM(Raw_Donors!F103))</f>
        <v>Family Donor</v>
      </c>
      <c r="H103" s="9" t="str">
        <f aca="false">IFERROR(IF(Raw_Donors!G103="","N",Raw_Donors!G103),"N")</f>
        <v>N</v>
      </c>
      <c r="I103" s="9" t="str">
        <f aca="false">IF(Raw_Donors!H103="","Not Rated",Raw_Donors!H103)</f>
        <v>Not Rated</v>
      </c>
      <c r="J103" s="9" t="str">
        <f aca="false">IF(TRIM(Raw_Donors!I103)="","Unknown",TRIM(Raw_Donors!I103))</f>
        <v>HOME</v>
      </c>
      <c r="K103" s="9" t="str">
        <f aca="false">Raw_Donors!J103</f>
        <v>Y</v>
      </c>
      <c r="L103" s="9" t="n">
        <f aca="false">Raw_Donors!K103</f>
        <v>0</v>
      </c>
      <c r="M103" s="10" t="n">
        <f aca="false">IFERROR(VALUE(SUBSTITUTE(SUBSTITUTE(Raw_Donors!L103,"$",""),",","")),0)</f>
        <v>0</v>
      </c>
      <c r="N103" s="10" t="n">
        <f aca="false">IFERROR(VALUE(SUBSTITUTE(SUBSTITUTE(Raw_Donors!M103,"$",""),",","")),0)</f>
        <v>1000</v>
      </c>
      <c r="O103" s="10" t="n">
        <f aca="false">IFERROR(VALUE(SUBSTITUTE(SUBSTITUTE(Raw_Donors!N103,"$",""),",","")),0)</f>
        <v>0</v>
      </c>
      <c r="P103" s="10" t="n">
        <f aca="false">IFERROR(VALUE(SUBSTITUTE(SUBSTITUTE(Raw_Donors!O103,"$",""),",","")),0)</f>
        <v>1000</v>
      </c>
      <c r="Q103" s="10" t="n">
        <f aca="false">IFERROR(VALUE(SUBSTITUTE(SUBSTITUTE(Raw_Donors!P103,"$",""),",","")),0)</f>
        <v>0</v>
      </c>
      <c r="R103" s="10" t="n">
        <f aca="false">Raw_Donors!Q103</f>
        <v>2000</v>
      </c>
      <c r="S103" s="9" t="str">
        <f aca="false">Raw_Donors!R103</f>
        <v>Y</v>
      </c>
      <c r="T103" s="9" t="str">
        <f aca="false">IF(Raw_Donors!S103="","",Raw_Donors!S103)</f>
        <v/>
      </c>
      <c r="U103" s="9" t="str">
        <f aca="false">IF(AND((O103+P103)&gt;0,Q103=0),"Lapsed - Follow Up","")</f>
        <v>Lapsed - Follow Up</v>
      </c>
      <c r="V103" s="9" t="n">
        <f aca="false">RANK(R103,$R$2:$R$759)+COUNTIF($R$2:R103,R103)-1</f>
        <v>30</v>
      </c>
      <c r="W103" s="9" t="n">
        <f aca="false">IF(U103="Lapsed - Follow Up",COUNTIF($U$2:U103,"Lapsed - Follow Up"),"")</f>
        <v>20</v>
      </c>
    </row>
    <row r="104" customFormat="false" ht="15" hidden="false" customHeight="true" outlineLevel="0" collapsed="false">
      <c r="A104" s="9" t="str">
        <f aca="false">Raw_Donors!A104</f>
        <v>D1102</v>
      </c>
      <c r="B104" s="9" t="str">
        <f aca="false">IF(ISNUMBER(SEARCH("-DUP",A104)),"Duplicate ID","")</f>
        <v/>
      </c>
      <c r="C104" s="9" t="n">
        <f aca="false">Raw_Donors!B104</f>
        <v>71322</v>
      </c>
      <c r="D104" s="9" t="n">
        <f aca="false">Raw_Donors!C104</f>
        <v>0</v>
      </c>
      <c r="E104" s="9" t="str">
        <f aca="false">IFERROR(IF(Raw_Donors!D104="","Unknown",Raw_Donors!D104),"Unknown")</f>
        <v>Married</v>
      </c>
      <c r="F104" s="9" t="str">
        <f aca="false">IFERROR(IF(Raw_Donors!E104="","Unknown",Raw_Donors!E104),"Unknown")</f>
        <v>Male</v>
      </c>
      <c r="G104" s="9" t="str">
        <f aca="false">PROPER(TRIM(Raw_Donors!F104))</f>
        <v>Individual Donor</v>
      </c>
      <c r="H104" s="9" t="str">
        <f aca="false">IFERROR(IF(Raw_Donors!G104="","N",Raw_Donors!G104),"N")</f>
        <v>N</v>
      </c>
      <c r="I104" s="9" t="str">
        <f aca="false">IF(Raw_Donors!H104="","Not Rated",Raw_Donors!H104)</f>
        <v>Not Rated</v>
      </c>
      <c r="J104" s="9" t="str">
        <f aca="false">IF(TRIM(Raw_Donors!I104)="","Unknown",TRIM(Raw_Donors!I104))</f>
        <v>HOME</v>
      </c>
      <c r="K104" s="9" t="str">
        <f aca="false">Raw_Donors!J104</f>
        <v>N</v>
      </c>
      <c r="L104" s="9" t="n">
        <f aca="false">Raw_Donors!K104</f>
        <v>1</v>
      </c>
      <c r="M104" s="10" t="n">
        <f aca="false">IFERROR(VALUE(SUBSTITUTE(SUBSTITUTE(Raw_Donors!L104,"$",""),",","")),0)</f>
        <v>0</v>
      </c>
      <c r="N104" s="10" t="n">
        <f aca="false">IFERROR(VALUE(SUBSTITUTE(SUBSTITUTE(Raw_Donors!M104,"$",""),",","")),0)</f>
        <v>0</v>
      </c>
      <c r="O104" s="10" t="n">
        <f aca="false">IFERROR(VALUE(SUBSTITUTE(SUBSTITUTE(Raw_Donors!N104,"$",""),",","")),0)</f>
        <v>0</v>
      </c>
      <c r="P104" s="10" t="n">
        <f aca="false">IFERROR(VALUE(SUBSTITUTE(SUBSTITUTE(Raw_Donors!O104,"$",""),",","")),0)</f>
        <v>0</v>
      </c>
      <c r="Q104" s="10" t="n">
        <f aca="false">IFERROR(VALUE(SUBSTITUTE(SUBSTITUTE(Raw_Donors!P104,"$",""),",","")),0)</f>
        <v>0</v>
      </c>
      <c r="R104" s="10" t="n">
        <f aca="false">Raw_Donors!Q104</f>
        <v>0</v>
      </c>
      <c r="S104" s="9" t="str">
        <f aca="false">Raw_Donors!R104</f>
        <v>N</v>
      </c>
      <c r="T104" s="9" t="str">
        <f aca="false">IF(Raw_Donors!S104="","",Raw_Donors!S104)</f>
        <v/>
      </c>
      <c r="U104" s="9" t="str">
        <f aca="false">IF(AND((O104+P104)&gt;0,Q104=0),"Lapsed - Follow Up","")</f>
        <v/>
      </c>
      <c r="V104" s="9" t="n">
        <f aca="false">RANK(R104,$R$2:$R$759)+COUNTIF($R$2:R104,R104)-1</f>
        <v>585</v>
      </c>
      <c r="W104" s="9" t="str">
        <f aca="false">IF(U104="Lapsed - Follow Up",COUNTIF($U$2:U104,"Lapsed - Follow Up"),"")</f>
        <v/>
      </c>
    </row>
    <row r="105" customFormat="false" ht="15" hidden="false" customHeight="true" outlineLevel="0" collapsed="false">
      <c r="A105" s="9" t="str">
        <f aca="false">Raw_Donors!A105</f>
        <v>D1103</v>
      </c>
      <c r="B105" s="9" t="str">
        <f aca="false">IF(ISNUMBER(SEARCH("-DUP",A105)),"Duplicate ID","")</f>
        <v/>
      </c>
      <c r="C105" s="9" t="n">
        <f aca="false">Raw_Donors!B105</f>
        <v>4406</v>
      </c>
      <c r="D105" s="9" t="n">
        <f aca="false">Raw_Donors!C105</f>
        <v>0</v>
      </c>
      <c r="E105" s="9" t="str">
        <f aca="false">IFERROR(IF(Raw_Donors!D105="","Unknown",Raw_Donors!D105),"Unknown")</f>
        <v>Married</v>
      </c>
      <c r="F105" s="9" t="str">
        <f aca="false">IFERROR(IF(Raw_Donors!E105="","Unknown",Raw_Donors!E105),"Unknown")</f>
        <v>Female</v>
      </c>
      <c r="G105" s="9" t="str">
        <f aca="false">PROPER(TRIM(Raw_Donors!F105))</f>
        <v>Individual Donor</v>
      </c>
      <c r="H105" s="9" t="str">
        <f aca="false">IFERROR(IF(Raw_Donors!G105="","N",Raw_Donors!G105),"N")</f>
        <v>N</v>
      </c>
      <c r="I105" s="9" t="str">
        <f aca="false">IF(Raw_Donors!H105="","Not Rated",Raw_Donors!H105)</f>
        <v>Not Rated</v>
      </c>
      <c r="J105" s="9" t="str">
        <f aca="false">IF(TRIM(Raw_Donors!I105)="","Unknown",TRIM(Raw_Donors!I105))</f>
        <v>HOME</v>
      </c>
      <c r="K105" s="9" t="str">
        <f aca="false">Raw_Donors!J105</f>
        <v>N</v>
      </c>
      <c r="L105" s="9" t="n">
        <f aca="false">Raw_Donors!K105</f>
        <v>5</v>
      </c>
      <c r="M105" s="10" t="n">
        <f aca="false">IFERROR(VALUE(SUBSTITUTE(SUBSTITUTE(Raw_Donors!L105,"$",""),",","")),0)</f>
        <v>274</v>
      </c>
      <c r="N105" s="10" t="n">
        <f aca="false">IFERROR(VALUE(SUBSTITUTE(SUBSTITUTE(Raw_Donors!M105,"$",""),",","")),0)</f>
        <v>0</v>
      </c>
      <c r="O105" s="10" t="n">
        <f aca="false">IFERROR(VALUE(SUBSTITUTE(SUBSTITUTE(Raw_Donors!N105,"$",""),",","")),0)</f>
        <v>40</v>
      </c>
      <c r="P105" s="10" t="n">
        <f aca="false">IFERROR(VALUE(SUBSTITUTE(SUBSTITUTE(Raw_Donors!O105,"$",""),",","")),0)</f>
        <v>0</v>
      </c>
      <c r="Q105" s="10" t="n">
        <f aca="false">IFERROR(VALUE(SUBSTITUTE(SUBSTITUTE(Raw_Donors!P105,"$",""),",","")),0)</f>
        <v>0</v>
      </c>
      <c r="R105" s="10" t="n">
        <f aca="false">Raw_Donors!Q105</f>
        <v>314</v>
      </c>
      <c r="S105" s="9" t="str">
        <f aca="false">Raw_Donors!R105</f>
        <v>Y</v>
      </c>
      <c r="T105" s="9" t="str">
        <f aca="false">IF(Raw_Donors!S105="","",Raw_Donors!S105)</f>
        <v/>
      </c>
      <c r="U105" s="9" t="str">
        <f aca="false">IF(AND((O105+P105)&gt;0,Q105=0),"Lapsed - Follow Up","")</f>
        <v>Lapsed - Follow Up</v>
      </c>
      <c r="V105" s="9" t="n">
        <f aca="false">RANK(R105,$R$2:$R$759)+COUNTIF($R$2:R105,R105)-1</f>
        <v>138</v>
      </c>
      <c r="W105" s="9" t="n">
        <f aca="false">IF(U105="Lapsed - Follow Up",COUNTIF($U$2:U105,"Lapsed - Follow Up"),"")</f>
        <v>21</v>
      </c>
    </row>
    <row r="106" customFormat="false" ht="15" hidden="false" customHeight="true" outlineLevel="0" collapsed="false">
      <c r="A106" s="9" t="str">
        <f aca="false">Raw_Donors!A106</f>
        <v>D1104</v>
      </c>
      <c r="B106" s="9" t="str">
        <f aca="false">IF(ISNUMBER(SEARCH("-DUP",A106)),"Duplicate ID","")</f>
        <v/>
      </c>
      <c r="C106" s="9" t="n">
        <f aca="false">Raw_Donors!B106</f>
        <v>21403</v>
      </c>
      <c r="D106" s="9" t="n">
        <f aca="false">Raw_Donors!C106</f>
        <v>38</v>
      </c>
      <c r="E106" s="9" t="str">
        <f aca="false">IFERROR(IF(Raw_Donors!D106="","Unknown",Raw_Donors!D106),"Unknown")</f>
        <v>Unknown</v>
      </c>
      <c r="F106" s="9" t="str">
        <f aca="false">IFERROR(IF(Raw_Donors!E106="","Unknown",Raw_Donors!E106),"Unknown")</f>
        <v>Male</v>
      </c>
      <c r="G106" s="9" t="str">
        <f aca="false">PROPER(TRIM(Raw_Donors!F106))</f>
        <v>Community Partner</v>
      </c>
      <c r="H106" s="9" t="str">
        <f aca="false">IFERROR(IF(Raw_Donors!G106="","N",Raw_Donors!G106),"N")</f>
        <v>N</v>
      </c>
      <c r="I106" s="9" t="str">
        <f aca="false">IF(Raw_Donors!H106="","Not Rated",Raw_Donors!H106)</f>
        <v>Not Rated</v>
      </c>
      <c r="J106" s="9" t="str">
        <f aca="false">IF(TRIM(Raw_Donors!I106)="","Unknown",TRIM(Raw_Donors!I106))</f>
        <v>HOME</v>
      </c>
      <c r="K106" s="9" t="str">
        <f aca="false">Raw_Donors!J106</f>
        <v>Y</v>
      </c>
      <c r="L106" s="9" t="n">
        <f aca="false">Raw_Donors!K106</f>
        <v>0</v>
      </c>
      <c r="M106" s="10" t="n">
        <f aca="false">IFERROR(VALUE(SUBSTITUTE(SUBSTITUTE(Raw_Donors!L106,"$",""),",","")),0)</f>
        <v>0</v>
      </c>
      <c r="N106" s="10" t="n">
        <f aca="false">IFERROR(VALUE(SUBSTITUTE(SUBSTITUTE(Raw_Donors!M106,"$",""),",","")),0)</f>
        <v>0</v>
      </c>
      <c r="O106" s="10" t="n">
        <f aca="false">IFERROR(VALUE(SUBSTITUTE(SUBSTITUTE(Raw_Donors!N106,"$",""),",","")),0)</f>
        <v>0</v>
      </c>
      <c r="P106" s="10" t="n">
        <f aca="false">IFERROR(VALUE(SUBSTITUTE(SUBSTITUTE(Raw_Donors!O106,"$",""),",","")),0)</f>
        <v>0</v>
      </c>
      <c r="Q106" s="10" t="n">
        <f aca="false">IFERROR(VALUE(SUBSTITUTE(SUBSTITUTE(Raw_Donors!P106,"$",""),",","")),0)</f>
        <v>0</v>
      </c>
      <c r="R106" s="10" t="n">
        <f aca="false">Raw_Donors!Q106</f>
        <v>200</v>
      </c>
      <c r="S106" s="9" t="str">
        <f aca="false">Raw_Donors!R106</f>
        <v>Y</v>
      </c>
      <c r="T106" s="9" t="str">
        <f aca="false">IF(Raw_Donors!S106="","",Raw_Donors!S106)</f>
        <v>1979-05-23</v>
      </c>
      <c r="U106" s="9" t="str">
        <f aca="false">IF(AND((O106+P106)&gt;0,Q106=0),"Lapsed - Follow Up","")</f>
        <v/>
      </c>
      <c r="V106" s="9" t="n">
        <f aca="false">RANK(R106,$R$2:$R$759)+COUNTIF($R$2:R106,R106)-1</f>
        <v>199</v>
      </c>
      <c r="W106" s="9" t="str">
        <f aca="false">IF(U106="Lapsed - Follow Up",COUNTIF($U$2:U106,"Lapsed - Follow Up"),"")</f>
        <v/>
      </c>
    </row>
    <row r="107" customFormat="false" ht="15" hidden="false" customHeight="true" outlineLevel="0" collapsed="false">
      <c r="A107" s="9" t="str">
        <f aca="false">Raw_Donors!A107</f>
        <v>D1105</v>
      </c>
      <c r="B107" s="9" t="str">
        <f aca="false">IF(ISNUMBER(SEARCH("-DUP",A107)),"Duplicate ID","")</f>
        <v/>
      </c>
      <c r="C107" s="9" t="n">
        <f aca="false">Raw_Donors!B107</f>
        <v>7902</v>
      </c>
      <c r="D107" s="9" t="n">
        <f aca="false">Raw_Donors!C107</f>
        <v>0</v>
      </c>
      <c r="E107" s="9" t="str">
        <f aca="false">IFERROR(IF(Raw_Donors!D107="","Unknown",Raw_Donors!D107),"Unknown")</f>
        <v>Unknown</v>
      </c>
      <c r="F107" s="9" t="str">
        <f aca="false">IFERROR(IF(Raw_Donors!E107="","Unknown",Raw_Donors!E107),"Unknown")</f>
        <v>Male</v>
      </c>
      <c r="G107" s="9" t="str">
        <f aca="false">PROPER(TRIM(Raw_Donors!F107))</f>
        <v>Individual Donor</v>
      </c>
      <c r="H107" s="9" t="str">
        <f aca="false">IFERROR(IF(Raw_Donors!G107="","N",Raw_Donors!G107),"N")</f>
        <v>N</v>
      </c>
      <c r="I107" s="9" t="str">
        <f aca="false">IF(Raw_Donors!H107="","Not Rated",Raw_Donors!H107)</f>
        <v>$25,000-$49,999</v>
      </c>
      <c r="J107" s="9" t="str">
        <f aca="false">IF(TRIM(Raw_Donors!I107)="","Unknown",TRIM(Raw_Donors!I107))</f>
        <v>HOME</v>
      </c>
      <c r="K107" s="9" t="str">
        <f aca="false">Raw_Donors!J107</f>
        <v>N</v>
      </c>
      <c r="L107" s="9" t="n">
        <f aca="false">Raw_Donors!K107</f>
        <v>1</v>
      </c>
      <c r="M107" s="10" t="n">
        <f aca="false">IFERROR(VALUE(SUBSTITUTE(SUBSTITUTE(Raw_Donors!L107,"$",""),",","")),0)</f>
        <v>0</v>
      </c>
      <c r="N107" s="10" t="n">
        <f aca="false">IFERROR(VALUE(SUBSTITUTE(SUBSTITUTE(Raw_Donors!M107,"$",""),",","")),0)</f>
        <v>0</v>
      </c>
      <c r="O107" s="10" t="n">
        <f aca="false">IFERROR(VALUE(SUBSTITUTE(SUBSTITUTE(Raw_Donors!N107,"$",""),",","")),0)</f>
        <v>0</v>
      </c>
      <c r="P107" s="10" t="n">
        <f aca="false">IFERROR(VALUE(SUBSTITUTE(SUBSTITUTE(Raw_Donors!O107,"$",""),",","")),0)</f>
        <v>0</v>
      </c>
      <c r="Q107" s="10" t="n">
        <f aca="false">IFERROR(VALUE(SUBSTITUTE(SUBSTITUTE(Raw_Donors!P107,"$",""),",","")),0)</f>
        <v>0</v>
      </c>
      <c r="R107" s="10" t="n">
        <f aca="false">Raw_Donors!Q107</f>
        <v>0</v>
      </c>
      <c r="S107" s="9" t="str">
        <f aca="false">Raw_Donors!R107</f>
        <v>N</v>
      </c>
      <c r="T107" s="9" t="str">
        <f aca="false">IF(Raw_Donors!S107="","",Raw_Donors!S107)</f>
        <v/>
      </c>
      <c r="U107" s="9" t="str">
        <f aca="false">IF(AND((O107+P107)&gt;0,Q107=0),"Lapsed - Follow Up","")</f>
        <v/>
      </c>
      <c r="V107" s="9" t="n">
        <f aca="false">RANK(R107,$R$2:$R$759)+COUNTIF($R$2:R107,R107)-1</f>
        <v>586</v>
      </c>
      <c r="W107" s="9" t="str">
        <f aca="false">IF(U107="Lapsed - Follow Up",COUNTIF($U$2:U107,"Lapsed - Follow Up"),"")</f>
        <v/>
      </c>
    </row>
    <row r="108" customFormat="false" ht="15" hidden="false" customHeight="true" outlineLevel="0" collapsed="false">
      <c r="A108" s="9" t="str">
        <f aca="false">Raw_Donors!A108</f>
        <v>D1106</v>
      </c>
      <c r="B108" s="9" t="str">
        <f aca="false">IF(ISNUMBER(SEARCH("-DUP",A108)),"Duplicate ID","")</f>
        <v/>
      </c>
      <c r="C108" s="9" t="n">
        <f aca="false">Raw_Donors!B108</f>
        <v>33050</v>
      </c>
      <c r="D108" s="9" t="n">
        <f aca="false">Raw_Donors!C108</f>
        <v>77</v>
      </c>
      <c r="E108" s="9" t="str">
        <f aca="false">IFERROR(IF(Raw_Donors!D108="","Unknown",Raw_Donors!D108),"Unknown")</f>
        <v>Unknown</v>
      </c>
      <c r="F108" s="9" t="str">
        <f aca="false">IFERROR(IF(Raw_Donors!E108="","Unknown",Raw_Donors!E108),"Unknown")</f>
        <v>Male</v>
      </c>
      <c r="G108" s="9" t="str">
        <f aca="false">PROPER(TRIM(Raw_Donors!F108))</f>
        <v>Individual Donor</v>
      </c>
      <c r="H108" s="9" t="str">
        <f aca="false">IFERROR(IF(Raw_Donors!G108="","N",Raw_Donors!G108),"N")</f>
        <v>N</v>
      </c>
      <c r="I108" s="9" t="str">
        <f aca="false">IF(Raw_Donors!H108="","Not Rated",Raw_Donors!H108)</f>
        <v>Not Rated</v>
      </c>
      <c r="J108" s="9" t="str">
        <f aca="false">IF(TRIM(Raw_Donors!I108)="","Unknown",TRIM(Raw_Donors!I108))</f>
        <v>HOME</v>
      </c>
      <c r="K108" s="9" t="str">
        <f aca="false">Raw_Donors!J108</f>
        <v>N</v>
      </c>
      <c r="L108" s="9" t="n">
        <f aca="false">Raw_Donors!K108</f>
        <v>0</v>
      </c>
      <c r="M108" s="10" t="n">
        <f aca="false">IFERROR(VALUE(SUBSTITUTE(SUBSTITUTE(Raw_Donors!L108,"$",""),",","")),0)</f>
        <v>0</v>
      </c>
      <c r="N108" s="10" t="n">
        <f aca="false">IFERROR(VALUE(SUBSTITUTE(SUBSTITUTE(Raw_Donors!M108,"$",""),",","")),0)</f>
        <v>0</v>
      </c>
      <c r="O108" s="10" t="n">
        <f aca="false">IFERROR(VALUE(SUBSTITUTE(SUBSTITUTE(Raw_Donors!N108,"$",""),",","")),0)</f>
        <v>200</v>
      </c>
      <c r="P108" s="10" t="n">
        <f aca="false">IFERROR(VALUE(SUBSTITUTE(SUBSTITUTE(Raw_Donors!O108,"$",""),",","")),0)</f>
        <v>120</v>
      </c>
      <c r="Q108" s="10" t="n">
        <f aca="false">IFERROR(VALUE(SUBSTITUTE(SUBSTITUTE(Raw_Donors!P108,"$",""),",","")),0)</f>
        <v>0</v>
      </c>
      <c r="R108" s="10" t="n">
        <f aca="false">Raw_Donors!Q108</f>
        <v>345</v>
      </c>
      <c r="S108" s="9" t="str">
        <f aca="false">Raw_Donors!R108</f>
        <v>Y</v>
      </c>
      <c r="T108" s="9" t="str">
        <f aca="false">IF(Raw_Donors!S108="","",Raw_Donors!S108)</f>
        <v>1940-12-19</v>
      </c>
      <c r="U108" s="9" t="str">
        <f aca="false">IF(AND((O108+P108)&gt;0,Q108=0),"Lapsed - Follow Up","")</f>
        <v>Lapsed - Follow Up</v>
      </c>
      <c r="V108" s="9" t="n">
        <f aca="false">RANK(R108,$R$2:$R$759)+COUNTIF($R$2:R108,R108)-1</f>
        <v>128</v>
      </c>
      <c r="W108" s="9" t="n">
        <f aca="false">IF(U108="Lapsed - Follow Up",COUNTIF($U$2:U108,"Lapsed - Follow Up"),"")</f>
        <v>22</v>
      </c>
    </row>
    <row r="109" customFormat="false" ht="15" hidden="false" customHeight="true" outlineLevel="0" collapsed="false">
      <c r="A109" s="9" t="str">
        <f aca="false">Raw_Donors!A109</f>
        <v>D1107</v>
      </c>
      <c r="B109" s="9" t="str">
        <f aca="false">IF(ISNUMBER(SEARCH("-DUP",A109)),"Duplicate ID","")</f>
        <v/>
      </c>
      <c r="C109" s="9" t="n">
        <f aca="false">Raw_Donors!B109</f>
        <v>79009</v>
      </c>
      <c r="D109" s="9" t="n">
        <f aca="false">Raw_Donors!C109</f>
        <v>0</v>
      </c>
      <c r="E109" s="9" t="str">
        <f aca="false">IFERROR(IF(Raw_Donors!D109="","Unknown",Raw_Donors!D109),"Unknown")</f>
        <v>Unknown</v>
      </c>
      <c r="F109" s="9" t="str">
        <f aca="false">IFERROR(IF(Raw_Donors!E109="","Unknown",Raw_Donors!E109),"Unknown")</f>
        <v>Male</v>
      </c>
      <c r="G109" s="9" t="str">
        <f aca="false">PROPER(TRIM(Raw_Donors!F109))</f>
        <v>Individual Donor</v>
      </c>
      <c r="H109" s="9" t="str">
        <f aca="false">IFERROR(IF(Raw_Donors!G109="","N",Raw_Donors!G109),"N")</f>
        <v>N</v>
      </c>
      <c r="I109" s="9" t="str">
        <f aca="false">IF(Raw_Donors!H109="","Not Rated",Raw_Donors!H109)</f>
        <v>$250,000-$499,999</v>
      </c>
      <c r="J109" s="9" t="str">
        <f aca="false">IF(TRIM(Raw_Donors!I109)="","Unknown",TRIM(Raw_Donors!I109))</f>
        <v>HOME</v>
      </c>
      <c r="K109" s="9" t="str">
        <f aca="false">Raw_Donors!J109</f>
        <v>N</v>
      </c>
      <c r="L109" s="9" t="n">
        <f aca="false">Raw_Donors!K109</f>
        <v>2</v>
      </c>
      <c r="M109" s="10" t="n">
        <f aca="false">IFERROR(VALUE(SUBSTITUTE(SUBSTITUTE(Raw_Donors!L109,"$",""),",","")),0)</f>
        <v>0</v>
      </c>
      <c r="N109" s="10" t="n">
        <f aca="false">IFERROR(VALUE(SUBSTITUTE(SUBSTITUTE(Raw_Donors!M109,"$",""),",","")),0)</f>
        <v>0</v>
      </c>
      <c r="O109" s="10" t="n">
        <f aca="false">IFERROR(VALUE(SUBSTITUTE(SUBSTITUTE(Raw_Donors!N109,"$",""),",","")),0)</f>
        <v>0</v>
      </c>
      <c r="P109" s="10" t="n">
        <f aca="false">IFERROR(VALUE(SUBSTITUTE(SUBSTITUTE(Raw_Donors!O109,"$",""),",","")),0)</f>
        <v>5500</v>
      </c>
      <c r="Q109" s="10" t="n">
        <f aca="false">IFERROR(VALUE(SUBSTITUTE(SUBSTITUTE(Raw_Donors!P109,"$",""),",","")),0)</f>
        <v>0</v>
      </c>
      <c r="R109" s="10" t="n">
        <f aca="false">Raw_Donors!Q109</f>
        <v>25500</v>
      </c>
      <c r="S109" s="9" t="str">
        <f aca="false">Raw_Donors!R109</f>
        <v>Y</v>
      </c>
      <c r="T109" s="9" t="str">
        <f aca="false">IF(Raw_Donors!S109="","",Raw_Donors!S109)</f>
        <v/>
      </c>
      <c r="U109" s="9" t="str">
        <f aca="false">IF(AND((O109+P109)&gt;0,Q109=0),"Lapsed - Follow Up","")</f>
        <v>Lapsed - Follow Up</v>
      </c>
      <c r="V109" s="9" t="n">
        <f aca="false">RANK(R109,$R$2:$R$759)+COUNTIF($R$2:R109,R109)-1</f>
        <v>6</v>
      </c>
      <c r="W109" s="9" t="n">
        <f aca="false">IF(U109="Lapsed - Follow Up",COUNTIF($U$2:U109,"Lapsed - Follow Up"),"")</f>
        <v>23</v>
      </c>
    </row>
    <row r="110" customFormat="false" ht="15" hidden="false" customHeight="true" outlineLevel="0" collapsed="false">
      <c r="A110" s="9" t="str">
        <f aca="false">Raw_Donors!A110</f>
        <v>D1108</v>
      </c>
      <c r="B110" s="9" t="str">
        <f aca="false">IF(ISNUMBER(SEARCH("-DUP",A110)),"Duplicate ID","")</f>
        <v/>
      </c>
      <c r="C110" s="9" t="n">
        <f aca="false">Raw_Donors!B110</f>
        <v>41307</v>
      </c>
      <c r="D110" s="9" t="n">
        <f aca="false">Raw_Donors!C110</f>
        <v>24</v>
      </c>
      <c r="E110" s="9" t="str">
        <f aca="false">IFERROR(IF(Raw_Donors!D110="","Unknown",Raw_Donors!D110),"Unknown")</f>
        <v>Unknown</v>
      </c>
      <c r="F110" s="9" t="str">
        <f aca="false">IFERROR(IF(Raw_Donors!E110="","Unknown",Raw_Donors!E110),"Unknown")</f>
        <v>Female</v>
      </c>
      <c r="G110" s="9" t="str">
        <f aca="false">PROPER(TRIM(Raw_Donors!F110))</f>
        <v>Individual Donor</v>
      </c>
      <c r="H110" s="9" t="str">
        <f aca="false">IFERROR(IF(Raw_Donors!G110="","N",Raw_Donors!G110),"N")</f>
        <v>N</v>
      </c>
      <c r="I110" s="9" t="str">
        <f aca="false">IF(Raw_Donors!H110="","Not Rated",Raw_Donors!H110)</f>
        <v>Not Rated</v>
      </c>
      <c r="J110" s="9" t="str">
        <f aca="false">IF(TRIM(Raw_Donors!I110)="","Unknown",TRIM(Raw_Donors!I110))</f>
        <v>HOME</v>
      </c>
      <c r="K110" s="9" t="str">
        <f aca="false">Raw_Donors!J110</f>
        <v>N</v>
      </c>
      <c r="L110" s="9" t="n">
        <f aca="false">Raw_Donors!K110</f>
        <v>0</v>
      </c>
      <c r="M110" s="10" t="n">
        <f aca="false">IFERROR(VALUE(SUBSTITUTE(SUBSTITUTE(Raw_Donors!L110,"$",""),",","")),0)</f>
        <v>0</v>
      </c>
      <c r="N110" s="10" t="n">
        <f aca="false">IFERROR(VALUE(SUBSTITUTE(SUBSTITUTE(Raw_Donors!M110,"$",""),",","")),0)</f>
        <v>0</v>
      </c>
      <c r="O110" s="10" t="n">
        <f aca="false">IFERROR(VALUE(SUBSTITUTE(SUBSTITUTE(Raw_Donors!N110,"$",""),",","")),0)</f>
        <v>0</v>
      </c>
      <c r="P110" s="10" t="n">
        <f aca="false">IFERROR(VALUE(SUBSTITUTE(SUBSTITUTE(Raw_Donors!O110,"$",""),",","")),0)</f>
        <v>0</v>
      </c>
      <c r="Q110" s="10" t="n">
        <f aca="false">IFERROR(VALUE(SUBSTITUTE(SUBSTITUTE(Raw_Donors!P110,"$",""),",","")),0)</f>
        <v>0</v>
      </c>
      <c r="R110" s="10" t="n">
        <f aca="false">Raw_Donors!Q110</f>
        <v>40</v>
      </c>
      <c r="S110" s="9" t="str">
        <f aca="false">Raw_Donors!R110</f>
        <v>Y</v>
      </c>
      <c r="T110" s="9" t="str">
        <f aca="false">IF(Raw_Donors!S110="","",Raw_Donors!S110)</f>
        <v>1993-09-14</v>
      </c>
      <c r="U110" s="9" t="str">
        <f aca="false">IF(AND((O110+P110)&gt;0,Q110=0),"Lapsed - Follow Up","")</f>
        <v/>
      </c>
      <c r="V110" s="9" t="n">
        <f aca="false">RANK(R110,$R$2:$R$759)+COUNTIF($R$2:R110,R110)-1</f>
        <v>392</v>
      </c>
      <c r="W110" s="9" t="str">
        <f aca="false">IF(U110="Lapsed - Follow Up",COUNTIF($U$2:U110,"Lapsed - Follow Up"),"")</f>
        <v/>
      </c>
    </row>
    <row r="111" customFormat="false" ht="15" hidden="false" customHeight="true" outlineLevel="0" collapsed="false">
      <c r="A111" s="9" t="str">
        <f aca="false">Raw_Donors!A111</f>
        <v>D1109</v>
      </c>
      <c r="B111" s="9" t="str">
        <f aca="false">IF(ISNUMBER(SEARCH("-DUP",A111)),"Duplicate ID","")</f>
        <v/>
      </c>
      <c r="C111" s="9" t="n">
        <f aca="false">Raw_Donors!B111</f>
        <v>29502</v>
      </c>
      <c r="D111" s="9" t="n">
        <f aca="false">Raw_Donors!C111</f>
        <v>0</v>
      </c>
      <c r="E111" s="9" t="str">
        <f aca="false">IFERROR(IF(Raw_Donors!D111="","Unknown",Raw_Donors!D111),"Unknown")</f>
        <v>Married</v>
      </c>
      <c r="F111" s="9" t="str">
        <f aca="false">IFERROR(IF(Raw_Donors!E111="","Unknown",Raw_Donors!E111),"Unknown")</f>
        <v>Female</v>
      </c>
      <c r="G111" s="9" t="str">
        <f aca="false">PROPER(TRIM(Raw_Donors!F111))</f>
        <v>Family Donor</v>
      </c>
      <c r="H111" s="9" t="str">
        <f aca="false">IFERROR(IF(Raw_Donors!G111="","N",Raw_Donors!G111),"N")</f>
        <v>N</v>
      </c>
      <c r="I111" s="9" t="str">
        <f aca="false">IF(Raw_Donors!H111="","Not Rated",Raw_Donors!H111)</f>
        <v>Not Rated</v>
      </c>
      <c r="J111" s="9" t="str">
        <f aca="false">IF(TRIM(Raw_Donors!I111)="","Unknown",TRIM(Raw_Donors!I111))</f>
        <v>HOME</v>
      </c>
      <c r="K111" s="9" t="str">
        <f aca="false">Raw_Donors!J111</f>
        <v>Y</v>
      </c>
      <c r="L111" s="9" t="n">
        <f aca="false">Raw_Donors!K111</f>
        <v>0</v>
      </c>
      <c r="M111" s="10" t="n">
        <f aca="false">IFERROR(VALUE(SUBSTITUTE(SUBSTITUTE(Raw_Donors!L111,"$",""),",","")),0)</f>
        <v>0</v>
      </c>
      <c r="N111" s="10" t="n">
        <f aca="false">IFERROR(VALUE(SUBSTITUTE(SUBSTITUTE(Raw_Donors!M111,"$",""),",","")),0)</f>
        <v>0</v>
      </c>
      <c r="O111" s="10" t="n">
        <f aca="false">IFERROR(VALUE(SUBSTITUTE(SUBSTITUTE(Raw_Donors!N111,"$",""),",","")),0)</f>
        <v>0</v>
      </c>
      <c r="P111" s="10" t="n">
        <f aca="false">IFERROR(VALUE(SUBSTITUTE(SUBSTITUTE(Raw_Donors!O111,"$",""),",","")),0)</f>
        <v>0</v>
      </c>
      <c r="Q111" s="10" t="n">
        <f aca="false">IFERROR(VALUE(SUBSTITUTE(SUBSTITUTE(Raw_Donors!P111,"$",""),",","")),0)</f>
        <v>0</v>
      </c>
      <c r="R111" s="10" t="n">
        <f aca="false">Raw_Donors!Q111</f>
        <v>20</v>
      </c>
      <c r="S111" s="9" t="str">
        <f aca="false">Raw_Donors!R111</f>
        <v>Y</v>
      </c>
      <c r="T111" s="9" t="str">
        <f aca="false">IF(Raw_Donors!S111="","",Raw_Donors!S111)</f>
        <v/>
      </c>
      <c r="U111" s="9" t="str">
        <f aca="false">IF(AND((O111+P111)&gt;0,Q111=0),"Lapsed - Follow Up","")</f>
        <v/>
      </c>
      <c r="V111" s="9" t="n">
        <f aca="false">RANK(R111,$R$2:$R$759)+COUNTIF($R$2:R111,R111)-1</f>
        <v>468</v>
      </c>
      <c r="W111" s="9" t="str">
        <f aca="false">IF(U111="Lapsed - Follow Up",COUNTIF($U$2:U111,"Lapsed - Follow Up"),"")</f>
        <v/>
      </c>
    </row>
    <row r="112" customFormat="false" ht="15" hidden="false" customHeight="true" outlineLevel="0" collapsed="false">
      <c r="A112" s="9" t="str">
        <f aca="false">Raw_Donors!A112</f>
        <v>D1110</v>
      </c>
      <c r="B112" s="9" t="str">
        <f aca="false">IF(ISNUMBER(SEARCH("-DUP",A112)),"Duplicate ID","")</f>
        <v/>
      </c>
      <c r="C112" s="9" t="n">
        <f aca="false">Raw_Donors!B112</f>
        <v>90265</v>
      </c>
      <c r="D112" s="9" t="n">
        <f aca="false">Raw_Donors!C112</f>
        <v>41</v>
      </c>
      <c r="E112" s="9" t="str">
        <f aca="false">IFERROR(IF(Raw_Donors!D112="","Unknown",Raw_Donors!D112),"Unknown")</f>
        <v>Unknown</v>
      </c>
      <c r="F112" s="9" t="str">
        <f aca="false">IFERROR(IF(Raw_Donors!E112="","Unknown",Raw_Donors!E112),"Unknown")</f>
        <v>Female</v>
      </c>
      <c r="G112" s="9" t="str">
        <f aca="false">PROPER(TRIM(Raw_Donors!F112))</f>
        <v>Individual Donor</v>
      </c>
      <c r="H112" s="9" t="str">
        <f aca="false">IFERROR(IF(Raw_Donors!G112="","N",Raw_Donors!G112),"N")</f>
        <v>N</v>
      </c>
      <c r="I112" s="9" t="str">
        <f aca="false">IF(Raw_Donors!H112="","Not Rated",Raw_Donors!H112)</f>
        <v>Not Rated</v>
      </c>
      <c r="J112" s="9" t="str">
        <f aca="false">IF(TRIM(Raw_Donors!I112)="","Unknown",TRIM(Raw_Donors!I112))</f>
        <v>HOME</v>
      </c>
      <c r="K112" s="9" t="str">
        <f aca="false">Raw_Donors!J112</f>
        <v>N</v>
      </c>
      <c r="L112" s="9" t="n">
        <f aca="false">Raw_Donors!K112</f>
        <v>0</v>
      </c>
      <c r="M112" s="10" t="n">
        <f aca="false">IFERROR(VALUE(SUBSTITUTE(SUBSTITUTE(Raw_Donors!L112,"$",""),",","")),0)</f>
        <v>0</v>
      </c>
      <c r="N112" s="10" t="n">
        <f aca="false">IFERROR(VALUE(SUBSTITUTE(SUBSTITUTE(Raw_Donors!M112,"$",""),",","")),0)</f>
        <v>0</v>
      </c>
      <c r="O112" s="10" t="n">
        <f aca="false">IFERROR(VALUE(SUBSTITUTE(SUBSTITUTE(Raw_Donors!N112,"$",""),",","")),0)</f>
        <v>0</v>
      </c>
      <c r="P112" s="10" t="n">
        <f aca="false">IFERROR(VALUE(SUBSTITUTE(SUBSTITUTE(Raw_Donors!O112,"$",""),",","")),0)</f>
        <v>0</v>
      </c>
      <c r="Q112" s="10" t="n">
        <f aca="false">IFERROR(VALUE(SUBSTITUTE(SUBSTITUTE(Raw_Donors!P112,"$",""),",","")),0)</f>
        <v>0</v>
      </c>
      <c r="R112" s="10" t="n">
        <f aca="false">Raw_Donors!Q112</f>
        <v>0</v>
      </c>
      <c r="S112" s="9" t="str">
        <f aca="false">Raw_Donors!R112</f>
        <v>N</v>
      </c>
      <c r="T112" s="9" t="str">
        <f aca="false">IF(Raw_Donors!S112="","",Raw_Donors!S112)</f>
        <v>1976-03-19</v>
      </c>
      <c r="U112" s="9" t="str">
        <f aca="false">IF(AND((O112+P112)&gt;0,Q112=0),"Lapsed - Follow Up","")</f>
        <v/>
      </c>
      <c r="V112" s="9" t="n">
        <f aca="false">RANK(R112,$R$2:$R$759)+COUNTIF($R$2:R112,R112)-1</f>
        <v>587</v>
      </c>
      <c r="W112" s="9" t="str">
        <f aca="false">IF(U112="Lapsed - Follow Up",COUNTIF($U$2:U112,"Lapsed - Follow Up"),"")</f>
        <v/>
      </c>
    </row>
    <row r="113" customFormat="false" ht="15" hidden="false" customHeight="true" outlineLevel="0" collapsed="false">
      <c r="A113" s="9" t="str">
        <f aca="false">Raw_Donors!A113</f>
        <v>D1111</v>
      </c>
      <c r="B113" s="9" t="str">
        <f aca="false">IF(ISNUMBER(SEARCH("-DUP",A113)),"Duplicate ID","")</f>
        <v/>
      </c>
      <c r="C113" s="9" t="n">
        <f aca="false">Raw_Donors!B113</f>
        <v>25267</v>
      </c>
      <c r="D113" s="9" t="n">
        <f aca="false">Raw_Donors!C113</f>
        <v>0</v>
      </c>
      <c r="E113" s="9" t="str">
        <f aca="false">IFERROR(IF(Raw_Donors!D113="","Unknown",Raw_Donors!D113),"Unknown")</f>
        <v>Unknown</v>
      </c>
      <c r="F113" s="9" t="str">
        <f aca="false">IFERROR(IF(Raw_Donors!E113="","Unknown",Raw_Donors!E113),"Unknown")</f>
        <v>Female</v>
      </c>
      <c r="G113" s="9" t="str">
        <f aca="false">PROPER(TRIM(Raw_Donors!F113))</f>
        <v>Individual Donor</v>
      </c>
      <c r="H113" s="9" t="str">
        <f aca="false">IFERROR(IF(Raw_Donors!G113="","N",Raw_Donors!G113),"N")</f>
        <v>N</v>
      </c>
      <c r="I113" s="9" t="str">
        <f aca="false">IF(Raw_Donors!H113="","Not Rated",Raw_Donors!H113)</f>
        <v>Not Rated</v>
      </c>
      <c r="J113" s="9" t="str">
        <f aca="false">IF(TRIM(Raw_Donors!I113)="","Unknown",TRIM(Raw_Donors!I113))</f>
        <v>Unknown</v>
      </c>
      <c r="K113" s="9" t="str">
        <f aca="false">Raw_Donors!J113</f>
        <v>N</v>
      </c>
      <c r="L113" s="9" t="n">
        <f aca="false">Raw_Donors!K113</f>
        <v>0</v>
      </c>
      <c r="M113" s="10" t="n">
        <f aca="false">IFERROR(VALUE(SUBSTITUTE(SUBSTITUTE(Raw_Donors!L113,"$",""),",","")),0)</f>
        <v>0</v>
      </c>
      <c r="N113" s="10" t="n">
        <f aca="false">IFERROR(VALUE(SUBSTITUTE(SUBSTITUTE(Raw_Donors!M113,"$",""),",","")),0)</f>
        <v>0</v>
      </c>
      <c r="O113" s="10" t="n">
        <f aca="false">IFERROR(VALUE(SUBSTITUTE(SUBSTITUTE(Raw_Donors!N113,"$",""),",","")),0)</f>
        <v>0</v>
      </c>
      <c r="P113" s="10" t="n">
        <f aca="false">IFERROR(VALUE(SUBSTITUTE(SUBSTITUTE(Raw_Donors!O113,"$",""),",","")),0)</f>
        <v>0</v>
      </c>
      <c r="Q113" s="10" t="n">
        <f aca="false">IFERROR(VALUE(SUBSTITUTE(SUBSTITUTE(Raw_Donors!P113,"$",""),",","")),0)</f>
        <v>0</v>
      </c>
      <c r="R113" s="10" t="n">
        <f aca="false">Raw_Donors!Q113</f>
        <v>30</v>
      </c>
      <c r="S113" s="9" t="str">
        <f aca="false">Raw_Donors!R113</f>
        <v>Y</v>
      </c>
      <c r="T113" s="9" t="str">
        <f aca="false">IF(Raw_Donors!S113="","",Raw_Donors!S113)</f>
        <v/>
      </c>
      <c r="U113" s="9" t="str">
        <f aca="false">IF(AND((O113+P113)&gt;0,Q113=0),"Lapsed - Follow Up","")</f>
        <v/>
      </c>
      <c r="V113" s="9" t="n">
        <f aca="false">RANK(R113,$R$2:$R$759)+COUNTIF($R$2:R113,R113)-1</f>
        <v>414</v>
      </c>
      <c r="W113" s="9" t="str">
        <f aca="false">IF(U113="Lapsed - Follow Up",COUNTIF($U$2:U113,"Lapsed - Follow Up"),"")</f>
        <v/>
      </c>
    </row>
    <row r="114" customFormat="false" ht="15" hidden="false" customHeight="true" outlineLevel="0" collapsed="false">
      <c r="A114" s="9" t="str">
        <f aca="false">Raw_Donors!A114</f>
        <v>D1112</v>
      </c>
      <c r="B114" s="9" t="str">
        <f aca="false">IF(ISNUMBER(SEARCH("-DUP",A114)),"Duplicate ID","")</f>
        <v/>
      </c>
      <c r="C114" s="9" t="n">
        <f aca="false">Raw_Donors!B114</f>
        <v>95164</v>
      </c>
      <c r="D114" s="9" t="n">
        <f aca="false">Raw_Donors!C114</f>
        <v>90</v>
      </c>
      <c r="E114" s="9" t="str">
        <f aca="false">IFERROR(IF(Raw_Donors!D114="","Unknown",Raw_Donors!D114),"Unknown")</f>
        <v>Unknown</v>
      </c>
      <c r="F114" s="9" t="str">
        <f aca="false">IFERROR(IF(Raw_Donors!E114="","Unknown",Raw_Donors!E114),"Unknown")</f>
        <v>Female</v>
      </c>
      <c r="G114" s="9" t="str">
        <f aca="false">PROPER(TRIM(Raw_Donors!F114))</f>
        <v>Community Partner</v>
      </c>
      <c r="H114" s="9" t="str">
        <f aca="false">IFERROR(IF(Raw_Donors!G114="","N",Raw_Donors!G114),"N")</f>
        <v>N</v>
      </c>
      <c r="I114" s="9" t="str">
        <f aca="false">IF(Raw_Donors!H114="","Not Rated",Raw_Donors!H114)</f>
        <v>Not Rated</v>
      </c>
      <c r="J114" s="9" t="str">
        <f aca="false">IF(TRIM(Raw_Donors!I114)="","Unknown",TRIM(Raw_Donors!I114))</f>
        <v>HOME</v>
      </c>
      <c r="K114" s="9" t="str">
        <f aca="false">Raw_Donors!J114</f>
        <v>Y</v>
      </c>
      <c r="L114" s="9" t="n">
        <f aca="false">Raw_Donors!K114</f>
        <v>4</v>
      </c>
      <c r="M114" s="10" t="n">
        <f aca="false">IFERROR(VALUE(SUBSTITUTE(SUBSTITUTE(Raw_Donors!L114,"$",""),",","")),0)</f>
        <v>40</v>
      </c>
      <c r="N114" s="10" t="n">
        <f aca="false">IFERROR(VALUE(SUBSTITUTE(SUBSTITUTE(Raw_Donors!M114,"$",""),",","")),0)</f>
        <v>0</v>
      </c>
      <c r="O114" s="10" t="n">
        <f aca="false">IFERROR(VALUE(SUBSTITUTE(SUBSTITUTE(Raw_Donors!N114,"$",""),",","")),0)</f>
        <v>150</v>
      </c>
      <c r="P114" s="10" t="n">
        <f aca="false">IFERROR(VALUE(SUBSTITUTE(SUBSTITUTE(Raw_Donors!O114,"$",""),",","")),0)</f>
        <v>100</v>
      </c>
      <c r="Q114" s="10" t="n">
        <f aca="false">IFERROR(VALUE(SUBSTITUTE(SUBSTITUTE(Raw_Donors!P114,"$",""),",","")),0)</f>
        <v>0</v>
      </c>
      <c r="R114" s="10" t="n">
        <f aca="false">Raw_Donors!Q114</f>
        <v>290</v>
      </c>
      <c r="S114" s="9" t="str">
        <f aca="false">Raw_Donors!R114</f>
        <v>Y</v>
      </c>
      <c r="T114" s="9" t="str">
        <f aca="false">IF(Raw_Donors!S114="","",Raw_Donors!S114)</f>
        <v>1927-09-11</v>
      </c>
      <c r="U114" s="9" t="str">
        <f aca="false">IF(AND((O114+P114)&gt;0,Q114=0),"Lapsed - Follow Up","")</f>
        <v>Lapsed - Follow Up</v>
      </c>
      <c r="V114" s="9" t="n">
        <f aca="false">RANK(R114,$R$2:$R$759)+COUNTIF($R$2:R114,R114)-1</f>
        <v>149</v>
      </c>
      <c r="W114" s="9" t="n">
        <f aca="false">IF(U114="Lapsed - Follow Up",COUNTIF($U$2:U114,"Lapsed - Follow Up"),"")</f>
        <v>24</v>
      </c>
    </row>
    <row r="115" customFormat="false" ht="15" hidden="false" customHeight="true" outlineLevel="0" collapsed="false">
      <c r="A115" s="9" t="str">
        <f aca="false">Raw_Donors!A115</f>
        <v>D1113</v>
      </c>
      <c r="B115" s="9" t="str">
        <f aca="false">IF(ISNUMBER(SEARCH("-DUP",A115)),"Duplicate ID","")</f>
        <v/>
      </c>
      <c r="C115" s="9" t="n">
        <f aca="false">Raw_Donors!B115</f>
        <v>98833</v>
      </c>
      <c r="D115" s="9" t="n">
        <f aca="false">Raw_Donors!C115</f>
        <v>19</v>
      </c>
      <c r="E115" s="9" t="str">
        <f aca="false">IFERROR(IF(Raw_Donors!D115="","Unknown",Raw_Donors!D115),"Unknown")</f>
        <v>Unknown</v>
      </c>
      <c r="F115" s="9" t="str">
        <f aca="false">IFERROR(IF(Raw_Donors!E115="","Unknown",Raw_Donors!E115),"Unknown")</f>
        <v>Female</v>
      </c>
      <c r="G115" s="9" t="str">
        <f aca="false">PROPER(TRIM(Raw_Donors!F115))</f>
        <v>Individual Donor</v>
      </c>
      <c r="H115" s="9" t="str">
        <f aca="false">IFERROR(IF(Raw_Donors!G115="","N",Raw_Donors!G115),"N")</f>
        <v>N</v>
      </c>
      <c r="I115" s="9" t="str">
        <f aca="false">IF(Raw_Donors!H115="","Not Rated",Raw_Donors!H115)</f>
        <v>Not Rated</v>
      </c>
      <c r="J115" s="9" t="str">
        <f aca="false">IF(TRIM(Raw_Donors!I115)="","Unknown",TRIM(Raw_Donors!I115))</f>
        <v>CAMP</v>
      </c>
      <c r="K115" s="9" t="str">
        <f aca="false">Raw_Donors!J115</f>
        <v>Y</v>
      </c>
      <c r="L115" s="9" t="n">
        <f aca="false">Raw_Donors!K115</f>
        <v>0</v>
      </c>
      <c r="M115" s="10" t="n">
        <f aca="false">IFERROR(VALUE(SUBSTITUTE(SUBSTITUTE(Raw_Donors!L115,"$",""),",","")),0)</f>
        <v>0</v>
      </c>
      <c r="N115" s="10" t="n">
        <f aca="false">IFERROR(VALUE(SUBSTITUTE(SUBSTITUTE(Raw_Donors!M115,"$",""),",","")),0)</f>
        <v>0</v>
      </c>
      <c r="O115" s="10" t="n">
        <f aca="false">IFERROR(VALUE(SUBSTITUTE(SUBSTITUTE(Raw_Donors!N115,"$",""),",","")),0)</f>
        <v>0</v>
      </c>
      <c r="P115" s="10" t="n">
        <f aca="false">IFERROR(VALUE(SUBSTITUTE(SUBSTITUTE(Raw_Donors!O115,"$",""),",","")),0)</f>
        <v>0</v>
      </c>
      <c r="Q115" s="10" t="n">
        <f aca="false">IFERROR(VALUE(SUBSTITUTE(SUBSTITUTE(Raw_Donors!P115,"$",""),",","")),0)</f>
        <v>0</v>
      </c>
      <c r="R115" s="10" t="n">
        <f aca="false">Raw_Donors!Q115</f>
        <v>100</v>
      </c>
      <c r="S115" s="9" t="str">
        <f aca="false">Raw_Donors!R115</f>
        <v>Y</v>
      </c>
      <c r="T115" s="9" t="str">
        <f aca="false">IF(Raw_Donors!S115="","",Raw_Donors!S115)</f>
        <v>1998-09-22</v>
      </c>
      <c r="U115" s="9" t="str">
        <f aca="false">IF(AND((O115+P115)&gt;0,Q115=0),"Lapsed - Follow Up","")</f>
        <v/>
      </c>
      <c r="V115" s="9" t="n">
        <f aca="false">RANK(R115,$R$2:$R$759)+COUNTIF($R$2:R115,R115)-1</f>
        <v>275</v>
      </c>
      <c r="W115" s="9" t="str">
        <f aca="false">IF(U115="Lapsed - Follow Up",COUNTIF($U$2:U115,"Lapsed - Follow Up"),"")</f>
        <v/>
      </c>
    </row>
    <row r="116" customFormat="false" ht="15" hidden="false" customHeight="true" outlineLevel="0" collapsed="false">
      <c r="A116" s="9" t="str">
        <f aca="false">Raw_Donors!A116</f>
        <v>D1114</v>
      </c>
      <c r="B116" s="9" t="str">
        <f aca="false">IF(ISNUMBER(SEARCH("-DUP",A116)),"Duplicate ID","")</f>
        <v/>
      </c>
      <c r="C116" s="9" t="n">
        <f aca="false">Raw_Donors!B116</f>
        <v>90265</v>
      </c>
      <c r="D116" s="9" t="n">
        <f aca="false">Raw_Donors!C116</f>
        <v>0</v>
      </c>
      <c r="E116" s="9" t="str">
        <f aca="false">IFERROR(IF(Raw_Donors!D116="","Unknown",Raw_Donors!D116),"Unknown")</f>
        <v>Unknown</v>
      </c>
      <c r="F116" s="9" t="str">
        <f aca="false">IFERROR(IF(Raw_Donors!E116="","Unknown",Raw_Donors!E116),"Unknown")</f>
        <v>Male</v>
      </c>
      <c r="G116" s="9" t="str">
        <f aca="false">PROPER(TRIM(Raw_Donors!F116))</f>
        <v>Community Partner</v>
      </c>
      <c r="H116" s="9" t="str">
        <f aca="false">IFERROR(IF(Raw_Donors!G116="","N",Raw_Donors!G116),"N")</f>
        <v>N</v>
      </c>
      <c r="I116" s="9" t="str">
        <f aca="false">IF(Raw_Donors!H116="","Not Rated",Raw_Donors!H116)</f>
        <v>Not Rated</v>
      </c>
      <c r="J116" s="9" t="str">
        <f aca="false">IF(TRIM(Raw_Donors!I116)="","Unknown",TRIM(Raw_Donors!I116))</f>
        <v>Unknown</v>
      </c>
      <c r="K116" s="9" t="str">
        <f aca="false">Raw_Donors!J116</f>
        <v>N</v>
      </c>
      <c r="L116" s="9" t="n">
        <f aca="false">Raw_Donors!K116</f>
        <v>0</v>
      </c>
      <c r="M116" s="10" t="n">
        <f aca="false">IFERROR(VALUE(SUBSTITUTE(SUBSTITUTE(Raw_Donors!L116,"$",""),",","")),0)</f>
        <v>0</v>
      </c>
      <c r="N116" s="10" t="n">
        <f aca="false">IFERROR(VALUE(SUBSTITUTE(SUBSTITUTE(Raw_Donors!M116,"$",""),",","")),0)</f>
        <v>0</v>
      </c>
      <c r="O116" s="10" t="n">
        <f aca="false">IFERROR(VALUE(SUBSTITUTE(SUBSTITUTE(Raw_Donors!N116,"$",""),",","")),0)</f>
        <v>0</v>
      </c>
      <c r="P116" s="10" t="n">
        <f aca="false">IFERROR(VALUE(SUBSTITUTE(SUBSTITUTE(Raw_Donors!O116,"$",""),",","")),0)</f>
        <v>0</v>
      </c>
      <c r="Q116" s="10" t="n">
        <f aca="false">IFERROR(VALUE(SUBSTITUTE(SUBSTITUTE(Raw_Donors!P116,"$",""),",","")),0)</f>
        <v>0</v>
      </c>
      <c r="R116" s="10" t="n">
        <f aca="false">Raw_Donors!Q116</f>
        <v>170</v>
      </c>
      <c r="S116" s="9" t="str">
        <f aca="false">Raw_Donors!R116</f>
        <v>Y</v>
      </c>
      <c r="T116" s="9" t="str">
        <f aca="false">IF(Raw_Donors!S116="","",Raw_Donors!S116)</f>
        <v/>
      </c>
      <c r="U116" s="9" t="str">
        <f aca="false">IF(AND((O116+P116)&gt;0,Q116=0),"Lapsed - Follow Up","")</f>
        <v/>
      </c>
      <c r="V116" s="9" t="n">
        <f aca="false">RANK(R116,$R$2:$R$759)+COUNTIF($R$2:R116,R116)-1</f>
        <v>220</v>
      </c>
      <c r="W116" s="9" t="str">
        <f aca="false">IF(U116="Lapsed - Follow Up",COUNTIF($U$2:U116,"Lapsed - Follow Up"),"")</f>
        <v/>
      </c>
    </row>
    <row r="117" customFormat="false" ht="15" hidden="false" customHeight="true" outlineLevel="0" collapsed="false">
      <c r="A117" s="9" t="str">
        <f aca="false">Raw_Donors!A117</f>
        <v>D1115</v>
      </c>
      <c r="B117" s="9" t="str">
        <f aca="false">IF(ISNUMBER(SEARCH("-DUP",A117)),"Duplicate ID","")</f>
        <v/>
      </c>
      <c r="C117" s="9" t="n">
        <f aca="false">Raw_Donors!B117</f>
        <v>60623</v>
      </c>
      <c r="D117" s="9" t="n">
        <f aca="false">Raw_Donors!C117</f>
        <v>0</v>
      </c>
      <c r="E117" s="9" t="str">
        <f aca="false">IFERROR(IF(Raw_Donors!D117="","Unknown",Raw_Donors!D117),"Unknown")</f>
        <v>Unknown</v>
      </c>
      <c r="F117" s="9" t="str">
        <f aca="false">IFERROR(IF(Raw_Donors!E117="","Unknown",Raw_Donors!E117),"Unknown")</f>
        <v>Female</v>
      </c>
      <c r="G117" s="9" t="str">
        <f aca="false">PROPER(TRIM(Raw_Donors!F117))</f>
        <v>Individual Donor</v>
      </c>
      <c r="H117" s="9" t="str">
        <f aca="false">IFERROR(IF(Raw_Donors!G117="","N",Raw_Donors!G117),"N")</f>
        <v>N</v>
      </c>
      <c r="I117" s="9" t="str">
        <f aca="false">IF(Raw_Donors!H117="","Not Rated",Raw_Donors!H117)</f>
        <v>Not Rated</v>
      </c>
      <c r="J117" s="9" t="str">
        <f aca="false">IF(TRIM(Raw_Donors!I117)="","Unknown",TRIM(Raw_Donors!I117))</f>
        <v>HOME</v>
      </c>
      <c r="K117" s="9" t="str">
        <f aca="false">Raw_Donors!J117</f>
        <v>N</v>
      </c>
      <c r="L117" s="9" t="n">
        <f aca="false">Raw_Donors!K117</f>
        <v>2</v>
      </c>
      <c r="M117" s="10" t="n">
        <f aca="false">IFERROR(VALUE(SUBSTITUTE(SUBSTITUTE(Raw_Donors!L117,"$",""),",","")),0)</f>
        <v>0</v>
      </c>
      <c r="N117" s="10" t="n">
        <f aca="false">IFERROR(VALUE(SUBSTITUTE(SUBSTITUTE(Raw_Donors!M117,"$",""),",","")),0)</f>
        <v>0</v>
      </c>
      <c r="O117" s="10" t="n">
        <f aca="false">IFERROR(VALUE(SUBSTITUTE(SUBSTITUTE(Raw_Donors!N117,"$",""),",","")),0)</f>
        <v>0</v>
      </c>
      <c r="P117" s="10" t="n">
        <f aca="false">IFERROR(VALUE(SUBSTITUTE(SUBSTITUTE(Raw_Donors!O117,"$",""),",","")),0)</f>
        <v>0</v>
      </c>
      <c r="Q117" s="10" t="n">
        <f aca="false">IFERROR(VALUE(SUBSTITUTE(SUBSTITUTE(Raw_Donors!P117,"$",""),",","")),0)</f>
        <v>0</v>
      </c>
      <c r="R117" s="10" t="n">
        <f aca="false">Raw_Donors!Q117</f>
        <v>255</v>
      </c>
      <c r="S117" s="9" t="str">
        <f aca="false">Raw_Donors!R117</f>
        <v>Y</v>
      </c>
      <c r="T117" s="9" t="str">
        <f aca="false">IF(Raw_Donors!S117="","",Raw_Donors!S117)</f>
        <v/>
      </c>
      <c r="U117" s="9" t="str">
        <f aca="false">IF(AND((O117+P117)&gt;0,Q117=0),"Lapsed - Follow Up","")</f>
        <v/>
      </c>
      <c r="V117" s="9" t="n">
        <f aca="false">RANK(R117,$R$2:$R$759)+COUNTIF($R$2:R117,R117)-1</f>
        <v>159</v>
      </c>
      <c r="W117" s="9" t="str">
        <f aca="false">IF(U117="Lapsed - Follow Up",COUNTIF($U$2:U117,"Lapsed - Follow Up"),"")</f>
        <v/>
      </c>
    </row>
    <row r="118" customFormat="false" ht="15" hidden="false" customHeight="true" outlineLevel="0" collapsed="false">
      <c r="A118" s="9" t="str">
        <f aca="false">Raw_Donors!A118</f>
        <v>D1116</v>
      </c>
      <c r="B118" s="9" t="str">
        <f aca="false">IF(ISNUMBER(SEARCH("-DUP",A118)),"Duplicate ID","")</f>
        <v/>
      </c>
      <c r="C118" s="9" t="n">
        <f aca="false">Raw_Donors!B118</f>
        <v>98840</v>
      </c>
      <c r="D118" s="9" t="n">
        <f aca="false">Raw_Donors!C118</f>
        <v>0</v>
      </c>
      <c r="E118" s="9" t="str">
        <f aca="false">IFERROR(IF(Raw_Donors!D118="","Unknown",Raw_Donors!D118),"Unknown")</f>
        <v>Unknown</v>
      </c>
      <c r="F118" s="9" t="str">
        <f aca="false">IFERROR(IF(Raw_Donors!E118="","Unknown",Raw_Donors!E118),"Unknown")</f>
        <v>Female</v>
      </c>
      <c r="G118" s="9" t="str">
        <f aca="false">PROPER(TRIM(Raw_Donors!F118))</f>
        <v>Individual Donor</v>
      </c>
      <c r="H118" s="9" t="str">
        <f aca="false">IFERROR(IF(Raw_Donors!G118="","N",Raw_Donors!G118),"N")</f>
        <v>N</v>
      </c>
      <c r="I118" s="9" t="str">
        <f aca="false">IF(Raw_Donors!H118="","Not Rated",Raw_Donors!H118)</f>
        <v>Not Rated</v>
      </c>
      <c r="J118" s="9" t="str">
        <f aca="false">IF(TRIM(Raw_Donors!I118)="","Unknown",TRIM(Raw_Donors!I118))</f>
        <v>OTR</v>
      </c>
      <c r="K118" s="9" t="str">
        <f aca="false">Raw_Donors!J118</f>
        <v>N</v>
      </c>
      <c r="L118" s="9" t="n">
        <f aca="false">Raw_Donors!K118</f>
        <v>1</v>
      </c>
      <c r="M118" s="10" t="n">
        <f aca="false">IFERROR(VALUE(SUBSTITUTE(SUBSTITUTE(Raw_Donors!L118,"$",""),",","")),0)</f>
        <v>0</v>
      </c>
      <c r="N118" s="10" t="n">
        <f aca="false">IFERROR(VALUE(SUBSTITUTE(SUBSTITUTE(Raw_Donors!M118,"$",""),",","")),0)</f>
        <v>0</v>
      </c>
      <c r="O118" s="10" t="n">
        <f aca="false">IFERROR(VALUE(SUBSTITUTE(SUBSTITUTE(Raw_Donors!N118,"$",""),",","")),0)</f>
        <v>0</v>
      </c>
      <c r="P118" s="10" t="n">
        <f aca="false">IFERROR(VALUE(SUBSTITUTE(SUBSTITUTE(Raw_Donors!O118,"$",""),",","")),0)</f>
        <v>0</v>
      </c>
      <c r="Q118" s="10" t="n">
        <f aca="false">IFERROR(VALUE(SUBSTITUTE(SUBSTITUTE(Raw_Donors!P118,"$",""),",","")),0)</f>
        <v>0</v>
      </c>
      <c r="R118" s="10" t="n">
        <f aca="false">Raw_Donors!Q118</f>
        <v>100</v>
      </c>
      <c r="S118" s="9" t="str">
        <f aca="false">Raw_Donors!R118</f>
        <v>Y</v>
      </c>
      <c r="T118" s="9" t="str">
        <f aca="false">IF(Raw_Donors!S118="","",Raw_Donors!S118)</f>
        <v/>
      </c>
      <c r="U118" s="9" t="str">
        <f aca="false">IF(AND((O118+P118)&gt;0,Q118=0),"Lapsed - Follow Up","")</f>
        <v/>
      </c>
      <c r="V118" s="9" t="n">
        <f aca="false">RANK(R118,$R$2:$R$759)+COUNTIF($R$2:R118,R118)-1</f>
        <v>276</v>
      </c>
      <c r="W118" s="9" t="str">
        <f aca="false">IF(U118="Lapsed - Follow Up",COUNTIF($U$2:U118,"Lapsed - Follow Up"),"")</f>
        <v/>
      </c>
    </row>
    <row r="119" customFormat="false" ht="15" hidden="false" customHeight="true" outlineLevel="0" collapsed="false">
      <c r="A119" s="9" t="str">
        <f aca="false">Raw_Donors!A119</f>
        <v>D1117</v>
      </c>
      <c r="B119" s="9" t="str">
        <f aca="false">IF(ISNUMBER(SEARCH("-DUP",A119)),"Duplicate ID","")</f>
        <v/>
      </c>
      <c r="C119" s="9" t="n">
        <f aca="false">Raw_Donors!B119</f>
        <v>76837</v>
      </c>
      <c r="D119" s="9" t="n">
        <f aca="false">Raw_Donors!C119</f>
        <v>0</v>
      </c>
      <c r="E119" s="9" t="str">
        <f aca="false">IFERROR(IF(Raw_Donors!D119="","Unknown",Raw_Donors!D119),"Unknown")</f>
        <v>Married</v>
      </c>
      <c r="F119" s="9" t="str">
        <f aca="false">IFERROR(IF(Raw_Donors!E119="","Unknown",Raw_Donors!E119),"Unknown")</f>
        <v>Female</v>
      </c>
      <c r="G119" s="9" t="str">
        <f aca="false">PROPER(TRIM(Raw_Donors!F119))</f>
        <v>Family Donor</v>
      </c>
      <c r="H119" s="9" t="str">
        <f aca="false">IFERROR(IF(Raw_Donors!G119="","N",Raw_Donors!G119),"N")</f>
        <v>N</v>
      </c>
      <c r="I119" s="9" t="str">
        <f aca="false">IF(Raw_Donors!H119="","Not Rated",Raw_Donors!H119)</f>
        <v>Not Rated</v>
      </c>
      <c r="J119" s="9" t="str">
        <f aca="false">IF(TRIM(Raw_Donors!I119)="","Unknown",TRIM(Raw_Donors!I119))</f>
        <v>HOME</v>
      </c>
      <c r="K119" s="9" t="str">
        <f aca="false">Raw_Donors!J119</f>
        <v>Y</v>
      </c>
      <c r="L119" s="9" t="n">
        <f aca="false">Raw_Donors!K119</f>
        <v>0</v>
      </c>
      <c r="M119" s="10" t="n">
        <f aca="false">IFERROR(VALUE(SUBSTITUTE(SUBSTITUTE(Raw_Donors!L119,"$",""),",","")),0)</f>
        <v>0</v>
      </c>
      <c r="N119" s="10" t="n">
        <f aca="false">IFERROR(VALUE(SUBSTITUTE(SUBSTITUTE(Raw_Donors!M119,"$",""),",","")),0)</f>
        <v>0</v>
      </c>
      <c r="O119" s="10" t="n">
        <f aca="false">IFERROR(VALUE(SUBSTITUTE(SUBSTITUTE(Raw_Donors!N119,"$",""),",","")),0)</f>
        <v>0</v>
      </c>
      <c r="P119" s="10" t="n">
        <f aca="false">IFERROR(VALUE(SUBSTITUTE(SUBSTITUTE(Raw_Donors!O119,"$",""),",","")),0)</f>
        <v>0</v>
      </c>
      <c r="Q119" s="10" t="n">
        <f aca="false">IFERROR(VALUE(SUBSTITUTE(SUBSTITUTE(Raw_Donors!P119,"$",""),",","")),0)</f>
        <v>0</v>
      </c>
      <c r="R119" s="10" t="n">
        <f aca="false">Raw_Donors!Q119</f>
        <v>0</v>
      </c>
      <c r="S119" s="9" t="str">
        <f aca="false">Raw_Donors!R119</f>
        <v>N</v>
      </c>
      <c r="T119" s="9" t="str">
        <f aca="false">IF(Raw_Donors!S119="","",Raw_Donors!S119)</f>
        <v/>
      </c>
      <c r="U119" s="9" t="str">
        <f aca="false">IF(AND((O119+P119)&gt;0,Q119=0),"Lapsed - Follow Up","")</f>
        <v/>
      </c>
      <c r="V119" s="9" t="n">
        <f aca="false">RANK(R119,$R$2:$R$759)+COUNTIF($R$2:R119,R119)-1</f>
        <v>588</v>
      </c>
      <c r="W119" s="9" t="str">
        <f aca="false">IF(U119="Lapsed - Follow Up",COUNTIF($U$2:U119,"Lapsed - Follow Up"),"")</f>
        <v/>
      </c>
    </row>
    <row r="120" customFormat="false" ht="15" hidden="false" customHeight="true" outlineLevel="0" collapsed="false">
      <c r="A120" s="9" t="str">
        <f aca="false">Raw_Donors!A120</f>
        <v>D1118</v>
      </c>
      <c r="B120" s="9" t="str">
        <f aca="false">IF(ISNUMBER(SEARCH("-DUP",A120)),"Duplicate ID","")</f>
        <v/>
      </c>
      <c r="C120" s="9" t="n">
        <f aca="false">Raw_Donors!B120</f>
        <v>90058</v>
      </c>
      <c r="D120" s="9" t="n">
        <f aca="false">Raw_Donors!C120</f>
        <v>0</v>
      </c>
      <c r="E120" s="9" t="str">
        <f aca="false">IFERROR(IF(Raw_Donors!D120="","Unknown",Raw_Donors!D120),"Unknown")</f>
        <v>Single</v>
      </c>
      <c r="F120" s="9" t="str">
        <f aca="false">IFERROR(IF(Raw_Donors!E120="","Unknown",Raw_Donors!E120),"Unknown")</f>
        <v>Uknown</v>
      </c>
      <c r="G120" s="9" t="str">
        <f aca="false">PROPER(TRIM(Raw_Donors!F120))</f>
        <v>Individual Donor</v>
      </c>
      <c r="H120" s="9" t="str">
        <f aca="false">IFERROR(IF(Raw_Donors!G120="","N",Raw_Donors!G120),"N")</f>
        <v>Y</v>
      </c>
      <c r="I120" s="9" t="str">
        <f aca="false">IF(Raw_Donors!H120="","Not Rated",Raw_Donors!H120)</f>
        <v>Not Rated</v>
      </c>
      <c r="J120" s="9" t="str">
        <f aca="false">IF(TRIM(Raw_Donors!I120)="","Unknown",TRIM(Raw_Donors!I120))</f>
        <v>Unknown</v>
      </c>
      <c r="K120" s="9" t="str">
        <f aca="false">Raw_Donors!J120</f>
        <v>N</v>
      </c>
      <c r="L120" s="9" t="n">
        <f aca="false">Raw_Donors!K120</f>
        <v>0</v>
      </c>
      <c r="M120" s="10" t="n">
        <f aca="false">IFERROR(VALUE(SUBSTITUTE(SUBSTITUTE(Raw_Donors!L120,"$",""),",","")),0)</f>
        <v>0</v>
      </c>
      <c r="N120" s="10" t="n">
        <f aca="false">IFERROR(VALUE(SUBSTITUTE(SUBSTITUTE(Raw_Donors!M120,"$",""),",","")),0)</f>
        <v>0</v>
      </c>
      <c r="O120" s="10" t="n">
        <f aca="false">IFERROR(VALUE(SUBSTITUTE(SUBSTITUTE(Raw_Donors!N120,"$",""),",","")),0)</f>
        <v>0</v>
      </c>
      <c r="P120" s="10" t="n">
        <f aca="false">IFERROR(VALUE(SUBSTITUTE(SUBSTITUTE(Raw_Donors!O120,"$",""),",","")),0)</f>
        <v>0</v>
      </c>
      <c r="Q120" s="10" t="n">
        <f aca="false">IFERROR(VALUE(SUBSTITUTE(SUBSTITUTE(Raw_Donors!P120,"$",""),",","")),0)</f>
        <v>0</v>
      </c>
      <c r="R120" s="10" t="n">
        <f aca="false">Raw_Donors!Q120</f>
        <v>80</v>
      </c>
      <c r="S120" s="9" t="str">
        <f aca="false">Raw_Donors!R120</f>
        <v>Y</v>
      </c>
      <c r="T120" s="9" t="str">
        <f aca="false">IF(Raw_Donors!S120="","",Raw_Donors!S120)</f>
        <v/>
      </c>
      <c r="U120" s="9" t="str">
        <f aca="false">IF(AND((O120+P120)&gt;0,Q120=0),"Lapsed - Follow Up","")</f>
        <v/>
      </c>
      <c r="V120" s="9" t="n">
        <f aca="false">RANK(R120,$R$2:$R$759)+COUNTIF($R$2:R120,R120)-1</f>
        <v>324</v>
      </c>
      <c r="W120" s="9" t="str">
        <f aca="false">IF(U120="Lapsed - Follow Up",COUNTIF($U$2:U120,"Lapsed - Follow Up"),"")</f>
        <v/>
      </c>
    </row>
    <row r="121" customFormat="false" ht="15" hidden="false" customHeight="true" outlineLevel="0" collapsed="false">
      <c r="A121" s="9" t="str">
        <f aca="false">Raw_Donors!A121</f>
        <v>D1119</v>
      </c>
      <c r="B121" s="9" t="str">
        <f aca="false">IF(ISNUMBER(SEARCH("-DUP",A121)),"Duplicate ID","")</f>
        <v/>
      </c>
      <c r="C121" s="9" t="n">
        <f aca="false">Raw_Donors!B121</f>
        <v>79366</v>
      </c>
      <c r="D121" s="9" t="n">
        <f aca="false">Raw_Donors!C121</f>
        <v>34</v>
      </c>
      <c r="E121" s="9" t="str">
        <f aca="false">IFERROR(IF(Raw_Donors!D121="","Unknown",Raw_Donors!D121),"Unknown")</f>
        <v>Unknown</v>
      </c>
      <c r="F121" s="9" t="str">
        <f aca="false">IFERROR(IF(Raw_Donors!E121="","Unknown",Raw_Donors!E121),"Unknown")</f>
        <v>Female</v>
      </c>
      <c r="G121" s="9" t="str">
        <f aca="false">PROPER(TRIM(Raw_Donors!F121))</f>
        <v>Community Partner</v>
      </c>
      <c r="H121" s="9" t="str">
        <f aca="false">IFERROR(IF(Raw_Donors!G121="","N",Raw_Donors!G121),"N")</f>
        <v>Y</v>
      </c>
      <c r="I121" s="9" t="str">
        <f aca="false">IF(Raw_Donors!H121="","Not Rated",Raw_Donors!H121)</f>
        <v>Not Rated</v>
      </c>
      <c r="J121" s="9" t="str">
        <f aca="false">IF(TRIM(Raw_Donors!I121)="","Unknown",TRIM(Raw_Donors!I121))</f>
        <v>HOME</v>
      </c>
      <c r="K121" s="9" t="str">
        <f aca="false">Raw_Donors!J121</f>
        <v>Y</v>
      </c>
      <c r="L121" s="9" t="n">
        <f aca="false">Raw_Donors!K121</f>
        <v>0</v>
      </c>
      <c r="M121" s="10" t="n">
        <f aca="false">IFERROR(VALUE(SUBSTITUTE(SUBSTITUTE(Raw_Donors!L121,"$",""),",","")),0)</f>
        <v>25</v>
      </c>
      <c r="N121" s="10" t="n">
        <f aca="false">IFERROR(VALUE(SUBSTITUTE(SUBSTITUTE(Raw_Donors!M121,"$",""),",","")),0)</f>
        <v>0</v>
      </c>
      <c r="O121" s="10" t="n">
        <f aca="false">IFERROR(VALUE(SUBSTITUTE(SUBSTITUTE(Raw_Donors!N121,"$",""),",","")),0)</f>
        <v>0</v>
      </c>
      <c r="P121" s="10" t="n">
        <f aca="false">IFERROR(VALUE(SUBSTITUTE(SUBSTITUTE(Raw_Donors!O121,"$",""),",","")),0)</f>
        <v>0</v>
      </c>
      <c r="Q121" s="10" t="n">
        <f aca="false">IFERROR(VALUE(SUBSTITUTE(SUBSTITUTE(Raw_Donors!P121,"$",""),",","")),0)</f>
        <v>0</v>
      </c>
      <c r="R121" s="10" t="n">
        <f aca="false">Raw_Donors!Q121</f>
        <v>25</v>
      </c>
      <c r="S121" s="9" t="str">
        <f aca="false">Raw_Donors!R121</f>
        <v>Y</v>
      </c>
      <c r="T121" s="9" t="str">
        <f aca="false">IF(Raw_Donors!S121="","",Raw_Donors!S121)</f>
        <v>1983-09-13</v>
      </c>
      <c r="U121" s="9" t="str">
        <f aca="false">IF(AND((O121+P121)&gt;0,Q121=0),"Lapsed - Follow Up","")</f>
        <v/>
      </c>
      <c r="V121" s="9" t="n">
        <f aca="false">RANK(R121,$R$2:$R$759)+COUNTIF($R$2:R121,R121)-1</f>
        <v>432</v>
      </c>
      <c r="W121" s="9" t="str">
        <f aca="false">IF(U121="Lapsed - Follow Up",COUNTIF($U$2:U121,"Lapsed - Follow Up"),"")</f>
        <v/>
      </c>
    </row>
    <row r="122" customFormat="false" ht="15" hidden="false" customHeight="true" outlineLevel="0" collapsed="false">
      <c r="A122" s="9" t="str">
        <f aca="false">Raw_Donors!A122</f>
        <v>D1120</v>
      </c>
      <c r="B122" s="9" t="str">
        <f aca="false">IF(ISNUMBER(SEARCH("-DUP",A122)),"Duplicate ID","")</f>
        <v/>
      </c>
      <c r="C122" s="9" t="n">
        <f aca="false">Raw_Donors!B122</f>
        <v>90265</v>
      </c>
      <c r="D122" s="9" t="n">
        <f aca="false">Raw_Donors!C122</f>
        <v>0</v>
      </c>
      <c r="E122" s="9" t="str">
        <f aca="false">IFERROR(IF(Raw_Donors!D122="","Unknown",Raw_Donors!D122),"Unknown")</f>
        <v>Unknown</v>
      </c>
      <c r="F122" s="9" t="str">
        <f aca="false">IFERROR(IF(Raw_Donors!E122="","Unknown",Raw_Donors!E122),"Unknown")</f>
        <v>Male</v>
      </c>
      <c r="G122" s="9" t="str">
        <f aca="false">PROPER(TRIM(Raw_Donors!F122))</f>
        <v>Individual Donor</v>
      </c>
      <c r="H122" s="9" t="str">
        <f aca="false">IFERROR(IF(Raw_Donors!G122="","N",Raw_Donors!G122),"N")</f>
        <v>N</v>
      </c>
      <c r="I122" s="9" t="str">
        <f aca="false">IF(Raw_Donors!H122="","Not Rated",Raw_Donors!H122)</f>
        <v>Not Rated</v>
      </c>
      <c r="J122" s="9" t="str">
        <f aca="false">IF(TRIM(Raw_Donors!I122)="","Unknown",TRIM(Raw_Donors!I122))</f>
        <v>HOME</v>
      </c>
      <c r="K122" s="9" t="str">
        <f aca="false">Raw_Donors!J122</f>
        <v>Y</v>
      </c>
      <c r="L122" s="9" t="n">
        <f aca="false">Raw_Donors!K122</f>
        <v>1</v>
      </c>
      <c r="M122" s="10" t="n">
        <f aca="false">IFERROR(VALUE(SUBSTITUTE(SUBSTITUTE(Raw_Donors!L122,"$",""),",","")),0)</f>
        <v>0</v>
      </c>
      <c r="N122" s="10" t="n">
        <f aca="false">IFERROR(VALUE(SUBSTITUTE(SUBSTITUTE(Raw_Donors!M122,"$",""),",","")),0)</f>
        <v>105</v>
      </c>
      <c r="O122" s="10" t="n">
        <f aca="false">IFERROR(VALUE(SUBSTITUTE(SUBSTITUTE(Raw_Donors!N122,"$",""),",","")),0)</f>
        <v>0</v>
      </c>
      <c r="P122" s="10" t="n">
        <f aca="false">IFERROR(VALUE(SUBSTITUTE(SUBSTITUTE(Raw_Donors!O122,"$",""),",","")),0)</f>
        <v>0</v>
      </c>
      <c r="Q122" s="10" t="n">
        <f aca="false">IFERROR(VALUE(SUBSTITUTE(SUBSTITUTE(Raw_Donors!P122,"$",""),",","")),0)</f>
        <v>0</v>
      </c>
      <c r="R122" s="10" t="n">
        <f aca="false">Raw_Donors!Q122</f>
        <v>105</v>
      </c>
      <c r="S122" s="9" t="str">
        <f aca="false">Raw_Donors!R122</f>
        <v>Y</v>
      </c>
      <c r="T122" s="9" t="str">
        <f aca="false">IF(Raw_Donors!S122="","",Raw_Donors!S122)</f>
        <v/>
      </c>
      <c r="U122" s="9" t="str">
        <f aca="false">IF(AND((O122+P122)&gt;0,Q122=0),"Lapsed - Follow Up","")</f>
        <v/>
      </c>
      <c r="V122" s="9" t="n">
        <f aca="false">RANK(R122,$R$2:$R$759)+COUNTIF($R$2:R122,R122)-1</f>
        <v>265</v>
      </c>
      <c r="W122" s="9" t="str">
        <f aca="false">IF(U122="Lapsed - Follow Up",COUNTIF($U$2:U122,"Lapsed - Follow Up"),"")</f>
        <v/>
      </c>
    </row>
    <row r="123" customFormat="false" ht="15" hidden="false" customHeight="true" outlineLevel="0" collapsed="false">
      <c r="A123" s="9" t="str">
        <f aca="false">Raw_Donors!A123</f>
        <v>D1121</v>
      </c>
      <c r="B123" s="9" t="str">
        <f aca="false">IF(ISNUMBER(SEARCH("-DUP",A123)),"Duplicate ID","")</f>
        <v/>
      </c>
      <c r="C123" s="9" t="n">
        <f aca="false">Raw_Donors!B123</f>
        <v>90265</v>
      </c>
      <c r="D123" s="9" t="n">
        <f aca="false">Raw_Donors!C123</f>
        <v>0</v>
      </c>
      <c r="E123" s="9" t="str">
        <f aca="false">IFERROR(IF(Raw_Donors!D123="","Unknown",Raw_Donors!D123),"Unknown")</f>
        <v>Married</v>
      </c>
      <c r="F123" s="9" t="str">
        <f aca="false">IFERROR(IF(Raw_Donors!E123="","Unknown",Raw_Donors!E123),"Unknown")</f>
        <v>Male</v>
      </c>
      <c r="G123" s="9" t="str">
        <f aca="false">PROPER(TRIM(Raw_Donors!F123))</f>
        <v>Individual Donor</v>
      </c>
      <c r="H123" s="9" t="str">
        <f aca="false">IFERROR(IF(Raw_Donors!G123="","N",Raw_Donors!G123),"N")</f>
        <v>N</v>
      </c>
      <c r="I123" s="9" t="str">
        <f aca="false">IF(Raw_Donors!H123="","Not Rated",Raw_Donors!H123)</f>
        <v>Not Rated</v>
      </c>
      <c r="J123" s="9" t="str">
        <f aca="false">IF(TRIM(Raw_Donors!I123)="","Unknown",TRIM(Raw_Donors!I123))</f>
        <v>HOME</v>
      </c>
      <c r="K123" s="9" t="str">
        <f aca="false">Raw_Donors!J123</f>
        <v>N</v>
      </c>
      <c r="L123" s="9" t="n">
        <f aca="false">Raw_Donors!K123</f>
        <v>1</v>
      </c>
      <c r="M123" s="10" t="n">
        <f aca="false">IFERROR(VALUE(SUBSTITUTE(SUBSTITUTE(Raw_Donors!L123,"$",""),",","")),0)</f>
        <v>0</v>
      </c>
      <c r="N123" s="10" t="n">
        <f aca="false">IFERROR(VALUE(SUBSTITUTE(SUBSTITUTE(Raw_Donors!M123,"$",""),",","")),0)</f>
        <v>0</v>
      </c>
      <c r="O123" s="10" t="n">
        <f aca="false">IFERROR(VALUE(SUBSTITUTE(SUBSTITUTE(Raw_Donors!N123,"$",""),",","")),0)</f>
        <v>0</v>
      </c>
      <c r="P123" s="10" t="n">
        <f aca="false">IFERROR(VALUE(SUBSTITUTE(SUBSTITUTE(Raw_Donors!O123,"$",""),",","")),0)</f>
        <v>0</v>
      </c>
      <c r="Q123" s="10" t="n">
        <f aca="false">IFERROR(VALUE(SUBSTITUTE(SUBSTITUTE(Raw_Donors!P123,"$",""),",","")),0)</f>
        <v>0</v>
      </c>
      <c r="R123" s="10" t="n">
        <f aca="false">Raw_Donors!Q123</f>
        <v>0</v>
      </c>
      <c r="S123" s="9" t="str">
        <f aca="false">Raw_Donors!R123</f>
        <v>N</v>
      </c>
      <c r="T123" s="9" t="str">
        <f aca="false">IF(Raw_Donors!S123="","",Raw_Donors!S123)</f>
        <v/>
      </c>
      <c r="U123" s="9" t="str">
        <f aca="false">IF(AND((O123+P123)&gt;0,Q123=0),"Lapsed - Follow Up","")</f>
        <v/>
      </c>
      <c r="V123" s="9" t="n">
        <f aca="false">RANK(R123,$R$2:$R$759)+COUNTIF($R$2:R123,R123)-1</f>
        <v>589</v>
      </c>
      <c r="W123" s="9" t="str">
        <f aca="false">IF(U123="Lapsed - Follow Up",COUNTIF($U$2:U123,"Lapsed - Follow Up"),"")</f>
        <v/>
      </c>
    </row>
    <row r="124" customFormat="false" ht="15" hidden="false" customHeight="true" outlineLevel="0" collapsed="false">
      <c r="A124" s="9" t="str">
        <f aca="false">Raw_Donors!A124</f>
        <v>D1122</v>
      </c>
      <c r="B124" s="9" t="str">
        <f aca="false">IF(ISNUMBER(SEARCH("-DUP",A124)),"Duplicate ID","")</f>
        <v/>
      </c>
      <c r="C124" s="9" t="n">
        <f aca="false">Raw_Donors!B124</f>
        <v>43153</v>
      </c>
      <c r="D124" s="9" t="n">
        <f aca="false">Raw_Donors!C124</f>
        <v>0</v>
      </c>
      <c r="E124" s="9" t="str">
        <f aca="false">IFERROR(IF(Raw_Donors!D124="","Unknown",Raw_Donors!D124),"Unknown")</f>
        <v>Single</v>
      </c>
      <c r="F124" s="9" t="str">
        <f aca="false">IFERROR(IF(Raw_Donors!E124="","Unknown",Raw_Donors!E124),"Unknown")</f>
        <v>Uknown</v>
      </c>
      <c r="G124" s="9" t="str">
        <f aca="false">PROPER(TRIM(Raw_Donors!F124))</f>
        <v>Individual Donor</v>
      </c>
      <c r="H124" s="9" t="str">
        <f aca="false">IFERROR(IF(Raw_Donors!G124="","N",Raw_Donors!G124),"N")</f>
        <v>Y</v>
      </c>
      <c r="I124" s="9" t="str">
        <f aca="false">IF(Raw_Donors!H124="","Not Rated",Raw_Donors!H124)</f>
        <v>Not Rated</v>
      </c>
      <c r="J124" s="9" t="str">
        <f aca="false">IF(TRIM(Raw_Donors!I124)="","Unknown",TRIM(Raw_Donors!I124))</f>
        <v>HOME</v>
      </c>
      <c r="K124" s="9" t="str">
        <f aca="false">Raw_Donors!J124</f>
        <v>N</v>
      </c>
      <c r="L124" s="9" t="n">
        <f aca="false">Raw_Donors!K124</f>
        <v>0</v>
      </c>
      <c r="M124" s="10" t="n">
        <f aca="false">IFERROR(VALUE(SUBSTITUTE(SUBSTITUTE(Raw_Donors!L124,"$",""),",","")),0)</f>
        <v>0</v>
      </c>
      <c r="N124" s="10" t="n">
        <f aca="false">IFERROR(VALUE(SUBSTITUTE(SUBSTITUTE(Raw_Donors!M124,"$",""),",","")),0)</f>
        <v>0</v>
      </c>
      <c r="O124" s="10" t="n">
        <f aca="false">IFERROR(VALUE(SUBSTITUTE(SUBSTITUTE(Raw_Donors!N124,"$",""),",","")),0)</f>
        <v>0</v>
      </c>
      <c r="P124" s="10" t="n">
        <f aca="false">IFERROR(VALUE(SUBSTITUTE(SUBSTITUTE(Raw_Donors!O124,"$",""),",","")),0)</f>
        <v>0</v>
      </c>
      <c r="Q124" s="10" t="n">
        <f aca="false">IFERROR(VALUE(SUBSTITUTE(SUBSTITUTE(Raw_Donors!P124,"$",""),",","")),0)</f>
        <v>0</v>
      </c>
      <c r="R124" s="10" t="n">
        <f aca="false">Raw_Donors!Q124</f>
        <v>0</v>
      </c>
      <c r="S124" s="9" t="str">
        <f aca="false">Raw_Donors!R124</f>
        <v>N</v>
      </c>
      <c r="T124" s="9" t="str">
        <f aca="false">IF(Raw_Donors!S124="","",Raw_Donors!S124)</f>
        <v/>
      </c>
      <c r="U124" s="9" t="str">
        <f aca="false">IF(AND((O124+P124)&gt;0,Q124=0),"Lapsed - Follow Up","")</f>
        <v/>
      </c>
      <c r="V124" s="9" t="n">
        <f aca="false">RANK(R124,$R$2:$R$759)+COUNTIF($R$2:R124,R124)-1</f>
        <v>590</v>
      </c>
      <c r="W124" s="9" t="str">
        <f aca="false">IF(U124="Lapsed - Follow Up",COUNTIF($U$2:U124,"Lapsed - Follow Up"),"")</f>
        <v/>
      </c>
    </row>
    <row r="125" customFormat="false" ht="15" hidden="false" customHeight="true" outlineLevel="0" collapsed="false">
      <c r="A125" s="9" t="str">
        <f aca="false">Raw_Donors!A125</f>
        <v>D1123</v>
      </c>
      <c r="B125" s="9" t="str">
        <f aca="false">IF(ISNUMBER(SEARCH("-DUP",A125)),"Duplicate ID","")</f>
        <v/>
      </c>
      <c r="C125" s="9" t="n">
        <f aca="false">Raw_Donors!B125</f>
        <v>96140</v>
      </c>
      <c r="D125" s="9" t="n">
        <f aca="false">Raw_Donors!C125</f>
        <v>58</v>
      </c>
      <c r="E125" s="9" t="str">
        <f aca="false">IFERROR(IF(Raw_Donors!D125="","Unknown",Raw_Donors!D125),"Unknown")</f>
        <v>Unknown</v>
      </c>
      <c r="F125" s="9" t="str">
        <f aca="false">IFERROR(IF(Raw_Donors!E125="","Unknown",Raw_Donors!E125),"Unknown")</f>
        <v>Male</v>
      </c>
      <c r="G125" s="9" t="str">
        <f aca="false">PROPER(TRIM(Raw_Donors!F125))</f>
        <v>Individual Donor</v>
      </c>
      <c r="H125" s="9" t="str">
        <f aca="false">IFERROR(IF(Raw_Donors!G125="","N",Raw_Donors!G125),"N")</f>
        <v>N</v>
      </c>
      <c r="I125" s="9" t="str">
        <f aca="false">IF(Raw_Donors!H125="","Not Rated",Raw_Donors!H125)</f>
        <v>Not Rated</v>
      </c>
      <c r="J125" s="9" t="str">
        <f aca="false">IF(TRIM(Raw_Donors!I125)="","Unknown",TRIM(Raw_Donors!I125))</f>
        <v>HOME</v>
      </c>
      <c r="K125" s="9" t="str">
        <f aca="false">Raw_Donors!J125</f>
        <v>N</v>
      </c>
      <c r="L125" s="9" t="n">
        <f aca="false">Raw_Donors!K125</f>
        <v>0</v>
      </c>
      <c r="M125" s="10" t="n">
        <f aca="false">IFERROR(VALUE(SUBSTITUTE(SUBSTITUTE(Raw_Donors!L125,"$",""),",","")),0)</f>
        <v>0</v>
      </c>
      <c r="N125" s="10" t="n">
        <f aca="false">IFERROR(VALUE(SUBSTITUTE(SUBSTITUTE(Raw_Donors!M125,"$",""),",","")),0)</f>
        <v>0</v>
      </c>
      <c r="O125" s="10" t="n">
        <f aca="false">IFERROR(VALUE(SUBSTITUTE(SUBSTITUTE(Raw_Donors!N125,"$",""),",","")),0)</f>
        <v>0</v>
      </c>
      <c r="P125" s="10" t="n">
        <f aca="false">IFERROR(VALUE(SUBSTITUTE(SUBSTITUTE(Raw_Donors!O125,"$",""),",","")),0)</f>
        <v>0</v>
      </c>
      <c r="Q125" s="10" t="n">
        <f aca="false">IFERROR(VALUE(SUBSTITUTE(SUBSTITUTE(Raw_Donors!P125,"$",""),",","")),0)</f>
        <v>0</v>
      </c>
      <c r="R125" s="10" t="n">
        <f aca="false">Raw_Donors!Q125</f>
        <v>235</v>
      </c>
      <c r="S125" s="9" t="str">
        <f aca="false">Raw_Donors!R125</f>
        <v>Y</v>
      </c>
      <c r="T125" s="9" t="str">
        <f aca="false">IF(Raw_Donors!S125="","",Raw_Donors!S125)</f>
        <v>1959-08-21</v>
      </c>
      <c r="U125" s="9" t="str">
        <f aca="false">IF(AND((O125+P125)&gt;0,Q125=0),"Lapsed - Follow Up","")</f>
        <v/>
      </c>
      <c r="V125" s="9" t="n">
        <f aca="false">RANK(R125,$R$2:$R$759)+COUNTIF($R$2:R125,R125)-1</f>
        <v>181</v>
      </c>
      <c r="W125" s="9" t="str">
        <f aca="false">IF(U125="Lapsed - Follow Up",COUNTIF($U$2:U125,"Lapsed - Follow Up"),"")</f>
        <v/>
      </c>
    </row>
    <row r="126" customFormat="false" ht="15" hidden="false" customHeight="true" outlineLevel="0" collapsed="false">
      <c r="A126" s="9" t="str">
        <f aca="false">Raw_Donors!A126</f>
        <v>D1124</v>
      </c>
      <c r="B126" s="9" t="str">
        <f aca="false">IF(ISNUMBER(SEARCH("-DUP",A126)),"Duplicate ID","")</f>
        <v/>
      </c>
      <c r="C126" s="9" t="n">
        <f aca="false">Raw_Donors!B126</f>
        <v>90265</v>
      </c>
      <c r="D126" s="9" t="n">
        <f aca="false">Raw_Donors!C126</f>
        <v>0</v>
      </c>
      <c r="E126" s="9" t="str">
        <f aca="false">IFERROR(IF(Raw_Donors!D126="","Unknown",Raw_Donors!D126),"Unknown")</f>
        <v>Unknown</v>
      </c>
      <c r="F126" s="9" t="str">
        <f aca="false">IFERROR(IF(Raw_Donors!E126="","Unknown",Raw_Donors!E126),"Unknown")</f>
        <v>Female</v>
      </c>
      <c r="G126" s="9" t="str">
        <f aca="false">PROPER(TRIM(Raw_Donors!F126))</f>
        <v>Individual Donor</v>
      </c>
      <c r="H126" s="9" t="str">
        <f aca="false">IFERROR(IF(Raw_Donors!G126="","N",Raw_Donors!G126),"N")</f>
        <v>N</v>
      </c>
      <c r="I126" s="9" t="str">
        <f aca="false">IF(Raw_Donors!H126="","Not Rated",Raw_Donors!H126)</f>
        <v>$50,000-$99,999</v>
      </c>
      <c r="J126" s="9" t="str">
        <f aca="false">IF(TRIM(Raw_Donors!I126)="","Unknown",TRIM(Raw_Donors!I126))</f>
        <v>HOME</v>
      </c>
      <c r="K126" s="9" t="str">
        <f aca="false">Raw_Donors!J126</f>
        <v>N</v>
      </c>
      <c r="L126" s="9" t="n">
        <f aca="false">Raw_Donors!K126</f>
        <v>1</v>
      </c>
      <c r="M126" s="10" t="n">
        <f aca="false">IFERROR(VALUE(SUBSTITUTE(SUBSTITUTE(Raw_Donors!L126,"$",""),",","")),0)</f>
        <v>0</v>
      </c>
      <c r="N126" s="10" t="n">
        <f aca="false">IFERROR(VALUE(SUBSTITUTE(SUBSTITUTE(Raw_Donors!M126,"$",""),",","")),0)</f>
        <v>0</v>
      </c>
      <c r="O126" s="10" t="n">
        <f aca="false">IFERROR(VALUE(SUBSTITUTE(SUBSTITUTE(Raw_Donors!N126,"$",""),",","")),0)</f>
        <v>0</v>
      </c>
      <c r="P126" s="10" t="n">
        <f aca="false">IFERROR(VALUE(SUBSTITUTE(SUBSTITUTE(Raw_Donors!O126,"$",""),",","")),0)</f>
        <v>0</v>
      </c>
      <c r="Q126" s="10" t="n">
        <f aca="false">IFERROR(VALUE(SUBSTITUTE(SUBSTITUTE(Raw_Donors!P126,"$",""),",","")),0)</f>
        <v>0</v>
      </c>
      <c r="R126" s="10" t="n">
        <f aca="false">Raw_Donors!Q126</f>
        <v>0</v>
      </c>
      <c r="S126" s="9" t="str">
        <f aca="false">Raw_Donors!R126</f>
        <v>N</v>
      </c>
      <c r="T126" s="9" t="str">
        <f aca="false">IF(Raw_Donors!S126="","",Raw_Donors!S126)</f>
        <v/>
      </c>
      <c r="U126" s="9" t="str">
        <f aca="false">IF(AND((O126+P126)&gt;0,Q126=0),"Lapsed - Follow Up","")</f>
        <v/>
      </c>
      <c r="V126" s="9" t="n">
        <f aca="false">RANK(R126,$R$2:$R$759)+COUNTIF($R$2:R126,R126)-1</f>
        <v>591</v>
      </c>
      <c r="W126" s="9" t="str">
        <f aca="false">IF(U126="Lapsed - Follow Up",COUNTIF($U$2:U126,"Lapsed - Follow Up"),"")</f>
        <v/>
      </c>
    </row>
    <row r="127" customFormat="false" ht="15" hidden="false" customHeight="true" outlineLevel="0" collapsed="false">
      <c r="A127" s="9" t="str">
        <f aca="false">Raw_Donors!A127</f>
        <v>D1125</v>
      </c>
      <c r="B127" s="9" t="str">
        <f aca="false">IF(ISNUMBER(SEARCH("-DUP",A127)),"Duplicate ID","")</f>
        <v/>
      </c>
      <c r="C127" s="9" t="n">
        <f aca="false">Raw_Donors!B127</f>
        <v>14892</v>
      </c>
      <c r="D127" s="9" t="n">
        <f aca="false">Raw_Donors!C127</f>
        <v>0</v>
      </c>
      <c r="E127" s="9" t="str">
        <f aca="false">IFERROR(IF(Raw_Donors!D127="","Unknown",Raw_Donors!D127),"Unknown")</f>
        <v>Unknown</v>
      </c>
      <c r="F127" s="9" t="str">
        <f aca="false">IFERROR(IF(Raw_Donors!E127="","Unknown",Raw_Donors!E127),"Unknown")</f>
        <v>Female</v>
      </c>
      <c r="G127" s="9" t="str">
        <f aca="false">PROPER(TRIM(Raw_Donors!F127))</f>
        <v>Individual Donor</v>
      </c>
      <c r="H127" s="9" t="str">
        <f aca="false">IFERROR(IF(Raw_Donors!G127="","N",Raw_Donors!G127),"N")</f>
        <v>N</v>
      </c>
      <c r="I127" s="9" t="str">
        <f aca="false">IF(Raw_Donors!H127="","Not Rated",Raw_Donors!H127)</f>
        <v>Not Rated</v>
      </c>
      <c r="J127" s="9" t="str">
        <f aca="false">IF(TRIM(Raw_Donors!I127)="","Unknown",TRIM(Raw_Donors!I127))</f>
        <v>HOME</v>
      </c>
      <c r="K127" s="9" t="str">
        <f aca="false">Raw_Donors!J127</f>
        <v>Y</v>
      </c>
      <c r="L127" s="9" t="n">
        <f aca="false">Raw_Donors!K127</f>
        <v>5</v>
      </c>
      <c r="M127" s="10" t="n">
        <f aca="false">IFERROR(VALUE(SUBSTITUTE(SUBSTITUTE(Raw_Donors!L127,"$",""),",","")),0)</f>
        <v>0</v>
      </c>
      <c r="N127" s="10" t="n">
        <f aca="false">IFERROR(VALUE(SUBSTITUTE(SUBSTITUTE(Raw_Donors!M127,"$",""),",","")),0)</f>
        <v>0</v>
      </c>
      <c r="O127" s="10" t="n">
        <f aca="false">IFERROR(VALUE(SUBSTITUTE(SUBSTITUTE(Raw_Donors!N127,"$",""),",","")),0)</f>
        <v>0</v>
      </c>
      <c r="P127" s="10" t="n">
        <f aca="false">IFERROR(VALUE(SUBSTITUTE(SUBSTITUTE(Raw_Donors!O127,"$",""),",","")),0)</f>
        <v>0</v>
      </c>
      <c r="Q127" s="10" t="n">
        <f aca="false">IFERROR(VALUE(SUBSTITUTE(SUBSTITUTE(Raw_Donors!P127,"$",""),",","")),0)</f>
        <v>0</v>
      </c>
      <c r="R127" s="10" t="n">
        <f aca="false">Raw_Donors!Q127</f>
        <v>150</v>
      </c>
      <c r="S127" s="9" t="str">
        <f aca="false">Raw_Donors!R127</f>
        <v>Y</v>
      </c>
      <c r="T127" s="9" t="str">
        <f aca="false">IF(Raw_Donors!S127="","",Raw_Donors!S127)</f>
        <v/>
      </c>
      <c r="U127" s="9" t="str">
        <f aca="false">IF(AND((O127+P127)&gt;0,Q127=0),"Lapsed - Follow Up","")</f>
        <v/>
      </c>
      <c r="V127" s="9" t="n">
        <f aca="false">RANK(R127,$R$2:$R$759)+COUNTIF($R$2:R127,R127)-1</f>
        <v>228</v>
      </c>
      <c r="W127" s="9" t="str">
        <f aca="false">IF(U127="Lapsed - Follow Up",COUNTIF($U$2:U127,"Lapsed - Follow Up"),"")</f>
        <v/>
      </c>
    </row>
    <row r="128" customFormat="false" ht="15" hidden="false" customHeight="true" outlineLevel="0" collapsed="false">
      <c r="A128" s="9" t="str">
        <f aca="false">Raw_Donors!A128</f>
        <v>D1126</v>
      </c>
      <c r="B128" s="9" t="str">
        <f aca="false">IF(ISNUMBER(SEARCH("-DUP",A128)),"Duplicate ID","")</f>
        <v/>
      </c>
      <c r="C128" s="9" t="n">
        <f aca="false">Raw_Donors!B128</f>
        <v>85216</v>
      </c>
      <c r="D128" s="9" t="n">
        <f aca="false">Raw_Donors!C128</f>
        <v>0</v>
      </c>
      <c r="E128" s="9" t="str">
        <f aca="false">IFERROR(IF(Raw_Donors!D128="","Unknown",Raw_Donors!D128),"Unknown")</f>
        <v>Unknown</v>
      </c>
      <c r="F128" s="9" t="str">
        <f aca="false">IFERROR(IF(Raw_Donors!E128="","Unknown",Raw_Donors!E128),"Unknown")</f>
        <v>Female</v>
      </c>
      <c r="G128" s="9" t="str">
        <f aca="false">PROPER(TRIM(Raw_Donors!F128))</f>
        <v>Community Partner</v>
      </c>
      <c r="H128" s="9" t="str">
        <f aca="false">IFERROR(IF(Raw_Donors!G128="","N",Raw_Donors!G128),"N")</f>
        <v>N</v>
      </c>
      <c r="I128" s="9" t="str">
        <f aca="false">IF(Raw_Donors!H128="","Not Rated",Raw_Donors!H128)</f>
        <v>Not Rated</v>
      </c>
      <c r="J128" s="9" t="str">
        <f aca="false">IF(TRIM(Raw_Donors!I128)="","Unknown",TRIM(Raw_Donors!I128))</f>
        <v>Unknown</v>
      </c>
      <c r="K128" s="9" t="str">
        <f aca="false">Raw_Donors!J128</f>
        <v>N</v>
      </c>
      <c r="L128" s="9" t="n">
        <f aca="false">Raw_Donors!K128</f>
        <v>0</v>
      </c>
      <c r="M128" s="10" t="n">
        <f aca="false">IFERROR(VALUE(SUBSTITUTE(SUBSTITUTE(Raw_Donors!L128,"$",""),",","")),0)</f>
        <v>0</v>
      </c>
      <c r="N128" s="10" t="n">
        <f aca="false">IFERROR(VALUE(SUBSTITUTE(SUBSTITUTE(Raw_Donors!M128,"$",""),",","")),0)</f>
        <v>0</v>
      </c>
      <c r="O128" s="10" t="n">
        <f aca="false">IFERROR(VALUE(SUBSTITUTE(SUBSTITUTE(Raw_Donors!N128,"$",""),",","")),0)</f>
        <v>0</v>
      </c>
      <c r="P128" s="10" t="n">
        <f aca="false">IFERROR(VALUE(SUBSTITUTE(SUBSTITUTE(Raw_Donors!O128,"$",""),",","")),0)</f>
        <v>0</v>
      </c>
      <c r="Q128" s="10" t="n">
        <f aca="false">IFERROR(VALUE(SUBSTITUTE(SUBSTITUTE(Raw_Donors!P128,"$",""),",","")),0)</f>
        <v>0</v>
      </c>
      <c r="R128" s="10" t="n">
        <f aca="false">Raw_Donors!Q128</f>
        <v>0</v>
      </c>
      <c r="S128" s="9" t="str">
        <f aca="false">Raw_Donors!R128</f>
        <v>N</v>
      </c>
      <c r="T128" s="9" t="str">
        <f aca="false">IF(Raw_Donors!S128="","",Raw_Donors!S128)</f>
        <v/>
      </c>
      <c r="U128" s="9" t="str">
        <f aca="false">IF(AND((O128+P128)&gt;0,Q128=0),"Lapsed - Follow Up","")</f>
        <v/>
      </c>
      <c r="V128" s="9" t="n">
        <f aca="false">RANK(R128,$R$2:$R$759)+COUNTIF($R$2:R128,R128)-1</f>
        <v>592</v>
      </c>
      <c r="W128" s="9" t="str">
        <f aca="false">IF(U128="Lapsed - Follow Up",COUNTIF($U$2:U128,"Lapsed - Follow Up"),"")</f>
        <v/>
      </c>
    </row>
    <row r="129" customFormat="false" ht="15" hidden="false" customHeight="true" outlineLevel="0" collapsed="false">
      <c r="A129" s="9" t="str">
        <f aca="false">Raw_Donors!A129</f>
        <v>D1127</v>
      </c>
      <c r="B129" s="9" t="str">
        <f aca="false">IF(ISNUMBER(SEARCH("-DUP",A129)),"Duplicate ID","")</f>
        <v/>
      </c>
      <c r="C129" s="9" t="n">
        <f aca="false">Raw_Donors!B129</f>
        <v>90265</v>
      </c>
      <c r="D129" s="9" t="n">
        <f aca="false">Raw_Donors!C129</f>
        <v>0</v>
      </c>
      <c r="E129" s="9" t="str">
        <f aca="false">IFERROR(IF(Raw_Donors!D129="","Unknown",Raw_Donors!D129),"Unknown")</f>
        <v>Unknown</v>
      </c>
      <c r="F129" s="9" t="str">
        <f aca="false">IFERROR(IF(Raw_Donors!E129="","Unknown",Raw_Donors!E129),"Unknown")</f>
        <v>Female</v>
      </c>
      <c r="G129" s="9" t="str">
        <f aca="false">PROPER(TRIM(Raw_Donors!F129))</f>
        <v>Individual Donor</v>
      </c>
      <c r="H129" s="9" t="str">
        <f aca="false">IFERROR(IF(Raw_Donors!G129="","N",Raw_Donors!G129),"N")</f>
        <v>Y</v>
      </c>
      <c r="I129" s="9" t="str">
        <f aca="false">IF(Raw_Donors!H129="","Not Rated",Raw_Donors!H129)</f>
        <v>Not Rated</v>
      </c>
      <c r="J129" s="9" t="str">
        <f aca="false">IF(TRIM(Raw_Donors!I129)="","Unknown",TRIM(Raw_Donors!I129))</f>
        <v>HOME</v>
      </c>
      <c r="K129" s="9" t="str">
        <f aca="false">Raw_Donors!J129</f>
        <v>Y</v>
      </c>
      <c r="L129" s="9" t="n">
        <f aca="false">Raw_Donors!K129</f>
        <v>3</v>
      </c>
      <c r="M129" s="10" t="n">
        <f aca="false">IFERROR(VALUE(SUBSTITUTE(SUBSTITUTE(Raw_Donors!L129,"$",""),",","")),0)</f>
        <v>0</v>
      </c>
      <c r="N129" s="10" t="n">
        <f aca="false">IFERROR(VALUE(SUBSTITUTE(SUBSTITUTE(Raw_Donors!M129,"$",""),",","")),0)</f>
        <v>0</v>
      </c>
      <c r="O129" s="10" t="n">
        <f aca="false">IFERROR(VALUE(SUBSTITUTE(SUBSTITUTE(Raw_Donors!N129,"$",""),",","")),0)</f>
        <v>0</v>
      </c>
      <c r="P129" s="10" t="n">
        <f aca="false">IFERROR(VALUE(SUBSTITUTE(SUBSTITUTE(Raw_Donors!O129,"$",""),",","")),0)</f>
        <v>0</v>
      </c>
      <c r="Q129" s="10" t="n">
        <f aca="false">IFERROR(VALUE(SUBSTITUTE(SUBSTITUTE(Raw_Donors!P129,"$",""),",","")),0)</f>
        <v>0</v>
      </c>
      <c r="R129" s="10" t="n">
        <f aca="false">Raw_Donors!Q129</f>
        <v>0</v>
      </c>
      <c r="S129" s="9" t="str">
        <f aca="false">Raw_Donors!R129</f>
        <v>N</v>
      </c>
      <c r="T129" s="9" t="str">
        <f aca="false">IF(Raw_Donors!S129="","",Raw_Donors!S129)</f>
        <v/>
      </c>
      <c r="U129" s="9" t="str">
        <f aca="false">IF(AND((O129+P129)&gt;0,Q129=0),"Lapsed - Follow Up","")</f>
        <v/>
      </c>
      <c r="V129" s="9" t="n">
        <f aca="false">RANK(R129,$R$2:$R$759)+COUNTIF($R$2:R129,R129)-1</f>
        <v>593</v>
      </c>
      <c r="W129" s="9" t="str">
        <f aca="false">IF(U129="Lapsed - Follow Up",COUNTIF($U$2:U129,"Lapsed - Follow Up"),"")</f>
        <v/>
      </c>
    </row>
    <row r="130" customFormat="false" ht="15" hidden="false" customHeight="true" outlineLevel="0" collapsed="false">
      <c r="A130" s="9" t="str">
        <f aca="false">Raw_Donors!A130</f>
        <v>D1128</v>
      </c>
      <c r="B130" s="9" t="str">
        <f aca="false">IF(ISNUMBER(SEARCH("-DUP",A130)),"Duplicate ID","")</f>
        <v/>
      </c>
      <c r="C130" s="9" t="n">
        <f aca="false">Raw_Donors!B130</f>
        <v>26610</v>
      </c>
      <c r="D130" s="9" t="n">
        <f aca="false">Raw_Donors!C130</f>
        <v>76</v>
      </c>
      <c r="E130" s="9" t="str">
        <f aca="false">IFERROR(IF(Raw_Donors!D130="","Unknown",Raw_Donors!D130),"Unknown")</f>
        <v>Unknown</v>
      </c>
      <c r="F130" s="9" t="str">
        <f aca="false">IFERROR(IF(Raw_Donors!E130="","Unknown",Raw_Donors!E130),"Unknown")</f>
        <v>Male</v>
      </c>
      <c r="G130" s="9" t="str">
        <f aca="false">PROPER(TRIM(Raw_Donors!F130))</f>
        <v>Individual Donor</v>
      </c>
      <c r="H130" s="9" t="str">
        <f aca="false">IFERROR(IF(Raw_Donors!G130="","N",Raw_Donors!G130),"N")</f>
        <v>N</v>
      </c>
      <c r="I130" s="9" t="str">
        <f aca="false">IF(Raw_Donors!H130="","Not Rated",Raw_Donors!H130)</f>
        <v>Not Rated</v>
      </c>
      <c r="J130" s="9" t="str">
        <f aca="false">IF(TRIM(Raw_Donors!I130)="","Unknown",TRIM(Raw_Donors!I130))</f>
        <v>HOME</v>
      </c>
      <c r="K130" s="9" t="str">
        <f aca="false">Raw_Donors!J130</f>
        <v>N</v>
      </c>
      <c r="L130" s="9" t="n">
        <f aca="false">Raw_Donors!K130</f>
        <v>0</v>
      </c>
      <c r="M130" s="10" t="n">
        <f aca="false">IFERROR(VALUE(SUBSTITUTE(SUBSTITUTE(Raw_Donors!L130,"$",""),",","")),0)</f>
        <v>0</v>
      </c>
      <c r="N130" s="10" t="n">
        <f aca="false">IFERROR(VALUE(SUBSTITUTE(SUBSTITUTE(Raw_Donors!M130,"$",""),",","")),0)</f>
        <v>0</v>
      </c>
      <c r="O130" s="10" t="n">
        <f aca="false">IFERROR(VALUE(SUBSTITUTE(SUBSTITUTE(Raw_Donors!N130,"$",""),",","")),0)</f>
        <v>0</v>
      </c>
      <c r="P130" s="10" t="n">
        <f aca="false">IFERROR(VALUE(SUBSTITUTE(SUBSTITUTE(Raw_Donors!O130,"$",""),",","")),0)</f>
        <v>0</v>
      </c>
      <c r="Q130" s="10" t="n">
        <f aca="false">IFERROR(VALUE(SUBSTITUTE(SUBSTITUTE(Raw_Donors!P130,"$",""),",","")),0)</f>
        <v>2000</v>
      </c>
      <c r="R130" s="10" t="n">
        <f aca="false">Raw_Donors!Q130</f>
        <v>2000</v>
      </c>
      <c r="S130" s="9" t="str">
        <f aca="false">Raw_Donors!R130</f>
        <v>Y</v>
      </c>
      <c r="T130" s="9" t="str">
        <f aca="false">IF(Raw_Donors!S130="","",Raw_Donors!S130)</f>
        <v>1941-09-26</v>
      </c>
      <c r="U130" s="9" t="str">
        <f aca="false">IF(AND((O130+P130)&gt;0,Q130=0),"Lapsed - Follow Up","")</f>
        <v/>
      </c>
      <c r="V130" s="9" t="n">
        <f aca="false">RANK(R130,$R$2:$R$759)+COUNTIF($R$2:R130,R130)-1</f>
        <v>31</v>
      </c>
      <c r="W130" s="9" t="str">
        <f aca="false">IF(U130="Lapsed - Follow Up",COUNTIF($U$2:U130,"Lapsed - Follow Up"),"")</f>
        <v/>
      </c>
    </row>
    <row r="131" customFormat="false" ht="15" hidden="false" customHeight="true" outlineLevel="0" collapsed="false">
      <c r="A131" s="9" t="str">
        <f aca="false">Raw_Donors!A131</f>
        <v>D1129</v>
      </c>
      <c r="B131" s="9" t="str">
        <f aca="false">IF(ISNUMBER(SEARCH("-DUP",A131)),"Duplicate ID","")</f>
        <v/>
      </c>
      <c r="C131" s="9" t="n">
        <f aca="false">Raw_Donors!B131</f>
        <v>95564</v>
      </c>
      <c r="D131" s="9" t="n">
        <f aca="false">Raw_Donors!C131</f>
        <v>45</v>
      </c>
      <c r="E131" s="9" t="str">
        <f aca="false">IFERROR(IF(Raw_Donors!D131="","Unknown",Raw_Donors!D131),"Unknown")</f>
        <v>Unknown</v>
      </c>
      <c r="F131" s="9" t="str">
        <f aca="false">IFERROR(IF(Raw_Donors!E131="","Unknown",Raw_Donors!E131),"Unknown")</f>
        <v>Female</v>
      </c>
      <c r="G131" s="9" t="str">
        <f aca="false">PROPER(TRIM(Raw_Donors!F131))</f>
        <v>Individual Donor</v>
      </c>
      <c r="H131" s="9" t="str">
        <f aca="false">IFERROR(IF(Raw_Donors!G131="","N",Raw_Donors!G131),"N")</f>
        <v>N</v>
      </c>
      <c r="I131" s="9" t="str">
        <f aca="false">IF(Raw_Donors!H131="","Not Rated",Raw_Donors!H131)</f>
        <v>Not Rated</v>
      </c>
      <c r="J131" s="9" t="str">
        <f aca="false">IF(TRIM(Raw_Donors!I131)="","Unknown",TRIM(Raw_Donors!I131))</f>
        <v>HOME</v>
      </c>
      <c r="K131" s="9" t="str">
        <f aca="false">Raw_Donors!J131</f>
        <v>N</v>
      </c>
      <c r="L131" s="9" t="n">
        <f aca="false">Raw_Donors!K131</f>
        <v>0</v>
      </c>
      <c r="M131" s="10" t="n">
        <f aca="false">IFERROR(VALUE(SUBSTITUTE(SUBSTITUTE(Raw_Donors!L131,"$",""),",","")),0)</f>
        <v>0</v>
      </c>
      <c r="N131" s="10" t="n">
        <f aca="false">IFERROR(VALUE(SUBSTITUTE(SUBSTITUTE(Raw_Donors!M131,"$",""),",","")),0)</f>
        <v>0</v>
      </c>
      <c r="O131" s="10" t="n">
        <f aca="false">IFERROR(VALUE(SUBSTITUTE(SUBSTITUTE(Raw_Donors!N131,"$",""),",","")),0)</f>
        <v>0</v>
      </c>
      <c r="P131" s="10" t="n">
        <f aca="false">IFERROR(VALUE(SUBSTITUTE(SUBSTITUTE(Raw_Donors!O131,"$",""),",","")),0)</f>
        <v>0</v>
      </c>
      <c r="Q131" s="10" t="n">
        <f aca="false">IFERROR(VALUE(SUBSTITUTE(SUBSTITUTE(Raw_Donors!P131,"$",""),",","")),0)</f>
        <v>0</v>
      </c>
      <c r="R131" s="10" t="n">
        <f aca="false">Raw_Donors!Q131</f>
        <v>225</v>
      </c>
      <c r="S131" s="9" t="str">
        <f aca="false">Raw_Donors!R131</f>
        <v>Y</v>
      </c>
      <c r="T131" s="9" t="str">
        <f aca="false">IF(Raw_Donors!S131="","",Raw_Donors!S131)</f>
        <v>1972-05-22</v>
      </c>
      <c r="U131" s="9" t="str">
        <f aca="false">IF(AND((O131+P131)&gt;0,Q131=0),"Lapsed - Follow Up","")</f>
        <v/>
      </c>
      <c r="V131" s="9" t="n">
        <f aca="false">RANK(R131,$R$2:$R$759)+COUNTIF($R$2:R131,R131)-1</f>
        <v>183</v>
      </c>
      <c r="W131" s="9" t="str">
        <f aca="false">IF(U131="Lapsed - Follow Up",COUNTIF($U$2:U131,"Lapsed - Follow Up"),"")</f>
        <v/>
      </c>
    </row>
    <row r="132" customFormat="false" ht="15" hidden="false" customHeight="true" outlineLevel="0" collapsed="false">
      <c r="A132" s="9" t="str">
        <f aca="false">Raw_Donors!A132</f>
        <v>D1130</v>
      </c>
      <c r="B132" s="9" t="str">
        <f aca="false">IF(ISNUMBER(SEARCH("-DUP",A132)),"Duplicate ID","")</f>
        <v/>
      </c>
      <c r="C132" s="9" t="n">
        <f aca="false">Raw_Donors!B132</f>
        <v>36061</v>
      </c>
      <c r="D132" s="9" t="n">
        <f aca="false">Raw_Donors!C132</f>
        <v>0</v>
      </c>
      <c r="E132" s="9" t="str">
        <f aca="false">IFERROR(IF(Raw_Donors!D132="","Unknown",Raw_Donors!D132),"Unknown")</f>
        <v>Married</v>
      </c>
      <c r="F132" s="9" t="str">
        <f aca="false">IFERROR(IF(Raw_Donors!E132="","Unknown",Raw_Donors!E132),"Unknown")</f>
        <v>Female</v>
      </c>
      <c r="G132" s="9" t="str">
        <f aca="false">PROPER(TRIM(Raw_Donors!F132))</f>
        <v>Community Partner</v>
      </c>
      <c r="H132" s="9" t="str">
        <f aca="false">IFERROR(IF(Raw_Donors!G132="","N",Raw_Donors!G132),"N")</f>
        <v>N</v>
      </c>
      <c r="I132" s="9" t="str">
        <f aca="false">IF(Raw_Donors!H132="","Not Rated",Raw_Donors!H132)</f>
        <v>Not Rated</v>
      </c>
      <c r="J132" s="9" t="str">
        <f aca="false">IF(TRIM(Raw_Donors!I132)="","Unknown",TRIM(Raw_Donors!I132))</f>
        <v>HOME</v>
      </c>
      <c r="K132" s="9" t="str">
        <f aca="false">Raw_Donors!J132</f>
        <v>Y</v>
      </c>
      <c r="L132" s="9" t="n">
        <f aca="false">Raw_Donors!K132</f>
        <v>34</v>
      </c>
      <c r="M132" s="10" t="n">
        <f aca="false">IFERROR(VALUE(SUBSTITUTE(SUBSTITUTE(Raw_Donors!L132,"$",""),",","")),0)</f>
        <v>0</v>
      </c>
      <c r="N132" s="10" t="n">
        <f aca="false">IFERROR(VALUE(SUBSTITUTE(SUBSTITUTE(Raw_Donors!M132,"$",""),",","")),0)</f>
        <v>0</v>
      </c>
      <c r="O132" s="10" t="n">
        <f aca="false">IFERROR(VALUE(SUBSTITUTE(SUBSTITUTE(Raw_Donors!N132,"$",""),",","")),0)</f>
        <v>0</v>
      </c>
      <c r="P132" s="10" t="n">
        <f aca="false">IFERROR(VALUE(SUBSTITUTE(SUBSTITUTE(Raw_Donors!O132,"$",""),",","")),0)</f>
        <v>0</v>
      </c>
      <c r="Q132" s="10" t="n">
        <f aca="false">IFERROR(VALUE(SUBSTITUTE(SUBSTITUTE(Raw_Donors!P132,"$",""),",","")),0)</f>
        <v>0</v>
      </c>
      <c r="R132" s="10" t="n">
        <f aca="false">Raw_Donors!Q132</f>
        <v>600</v>
      </c>
      <c r="S132" s="9" t="str">
        <f aca="false">Raw_Donors!R132</f>
        <v>Y</v>
      </c>
      <c r="T132" s="9" t="str">
        <f aca="false">IF(Raw_Donors!S132="","",Raw_Donors!S132)</f>
        <v/>
      </c>
      <c r="U132" s="9" t="str">
        <f aca="false">IF(AND((O132+P132)&gt;0,Q132=0),"Lapsed - Follow Up","")</f>
        <v/>
      </c>
      <c r="V132" s="9" t="n">
        <f aca="false">RANK(R132,$R$2:$R$759)+COUNTIF($R$2:R132,R132)-1</f>
        <v>79</v>
      </c>
      <c r="W132" s="9" t="str">
        <f aca="false">IF(U132="Lapsed - Follow Up",COUNTIF($U$2:U132,"Lapsed - Follow Up"),"")</f>
        <v/>
      </c>
    </row>
    <row r="133" customFormat="false" ht="15" hidden="false" customHeight="true" outlineLevel="0" collapsed="false">
      <c r="A133" s="9" t="str">
        <f aca="false">Raw_Donors!A133</f>
        <v>D1131</v>
      </c>
      <c r="B133" s="9" t="str">
        <f aca="false">IF(ISNUMBER(SEARCH("-DUP",A133)),"Duplicate ID","")</f>
        <v/>
      </c>
      <c r="C133" s="9" t="n">
        <f aca="false">Raw_Donors!B133</f>
        <v>7969</v>
      </c>
      <c r="D133" s="9" t="n">
        <f aca="false">Raw_Donors!C133</f>
        <v>82</v>
      </c>
      <c r="E133" s="9" t="str">
        <f aca="false">IFERROR(IF(Raw_Donors!D133="","Unknown",Raw_Donors!D133),"Unknown")</f>
        <v>Unknown</v>
      </c>
      <c r="F133" s="9" t="str">
        <f aca="false">IFERROR(IF(Raw_Donors!E133="","Unknown",Raw_Donors!E133),"Unknown")</f>
        <v>Female</v>
      </c>
      <c r="G133" s="9" t="str">
        <f aca="false">PROPER(TRIM(Raw_Donors!F133))</f>
        <v>Individual Donor</v>
      </c>
      <c r="H133" s="9" t="str">
        <f aca="false">IFERROR(IF(Raw_Donors!G133="","N",Raw_Donors!G133),"N")</f>
        <v>N</v>
      </c>
      <c r="I133" s="9" t="str">
        <f aca="false">IF(Raw_Donors!H133="","Not Rated",Raw_Donors!H133)</f>
        <v>Not Rated</v>
      </c>
      <c r="J133" s="9" t="str">
        <f aca="false">IF(TRIM(Raw_Donors!I133)="","Unknown",TRIM(Raw_Donors!I133))</f>
        <v>CAMP</v>
      </c>
      <c r="K133" s="9" t="str">
        <f aca="false">Raw_Donors!J133</f>
        <v>Y</v>
      </c>
      <c r="L133" s="9" t="n">
        <f aca="false">Raw_Donors!K133</f>
        <v>0</v>
      </c>
      <c r="M133" s="10" t="n">
        <f aca="false">IFERROR(VALUE(SUBSTITUTE(SUBSTITUTE(Raw_Donors!L133,"$",""),",","")),0)</f>
        <v>0</v>
      </c>
      <c r="N133" s="10" t="n">
        <f aca="false">IFERROR(VALUE(SUBSTITUTE(SUBSTITUTE(Raw_Donors!M133,"$",""),",","")),0)</f>
        <v>0</v>
      </c>
      <c r="O133" s="10" t="n">
        <f aca="false">IFERROR(VALUE(SUBSTITUTE(SUBSTITUTE(Raw_Donors!N133,"$",""),",","")),0)</f>
        <v>0</v>
      </c>
      <c r="P133" s="10" t="n">
        <f aca="false">IFERROR(VALUE(SUBSTITUTE(SUBSTITUTE(Raw_Donors!O133,"$",""),",","")),0)</f>
        <v>0</v>
      </c>
      <c r="Q133" s="10" t="n">
        <f aca="false">IFERROR(VALUE(SUBSTITUTE(SUBSTITUTE(Raw_Donors!P133,"$",""),",","")),0)</f>
        <v>0</v>
      </c>
      <c r="R133" s="10" t="n">
        <f aca="false">Raw_Donors!Q133</f>
        <v>25</v>
      </c>
      <c r="S133" s="9" t="str">
        <f aca="false">Raw_Donors!R133</f>
        <v>Y</v>
      </c>
      <c r="T133" s="9" t="str">
        <f aca="false">IF(Raw_Donors!S133="","",Raw_Donors!S133)</f>
        <v>1935-01-19</v>
      </c>
      <c r="U133" s="9" t="str">
        <f aca="false">IF(AND((O133+P133)&gt;0,Q133=0),"Lapsed - Follow Up","")</f>
        <v/>
      </c>
      <c r="V133" s="9" t="n">
        <f aca="false">RANK(R133,$R$2:$R$759)+COUNTIF($R$2:R133,R133)-1</f>
        <v>433</v>
      </c>
      <c r="W133" s="9" t="str">
        <f aca="false">IF(U133="Lapsed - Follow Up",COUNTIF($U$2:U133,"Lapsed - Follow Up"),"")</f>
        <v/>
      </c>
    </row>
    <row r="134" customFormat="false" ht="15" hidden="false" customHeight="true" outlineLevel="0" collapsed="false">
      <c r="A134" s="9" t="str">
        <f aca="false">Raw_Donors!A134</f>
        <v>D1132</v>
      </c>
      <c r="B134" s="9" t="str">
        <f aca="false">IF(ISNUMBER(SEARCH("-DUP",A134)),"Duplicate ID","")</f>
        <v/>
      </c>
      <c r="C134" s="9" t="n">
        <f aca="false">Raw_Donors!B134</f>
        <v>47631</v>
      </c>
      <c r="D134" s="9" t="n">
        <f aca="false">Raw_Donors!C134</f>
        <v>0</v>
      </c>
      <c r="E134" s="9" t="str">
        <f aca="false">IFERROR(IF(Raw_Donors!D134="","Unknown",Raw_Donors!D134),"Unknown")</f>
        <v>Unknown</v>
      </c>
      <c r="F134" s="9" t="str">
        <f aca="false">IFERROR(IF(Raw_Donors!E134="","Unknown",Raw_Donors!E134),"Unknown")</f>
        <v>Female</v>
      </c>
      <c r="G134" s="9" t="str">
        <f aca="false">PROPER(TRIM(Raw_Donors!F134))</f>
        <v>Individual Donor</v>
      </c>
      <c r="H134" s="9" t="str">
        <f aca="false">IFERROR(IF(Raw_Donors!G134="","N",Raw_Donors!G134),"N")</f>
        <v>N</v>
      </c>
      <c r="I134" s="9" t="str">
        <f aca="false">IF(Raw_Donors!H134="","Not Rated",Raw_Donors!H134)</f>
        <v>Not Rated</v>
      </c>
      <c r="J134" s="9" t="str">
        <f aca="false">IF(TRIM(Raw_Donors!I134)="","Unknown",TRIM(Raw_Donors!I134))</f>
        <v>HOME</v>
      </c>
      <c r="K134" s="9" t="str">
        <f aca="false">Raw_Donors!J134</f>
        <v>N</v>
      </c>
      <c r="L134" s="9" t="n">
        <f aca="false">Raw_Donors!K134</f>
        <v>2</v>
      </c>
      <c r="M134" s="10" t="n">
        <f aca="false">IFERROR(VALUE(SUBSTITUTE(SUBSTITUTE(Raw_Donors!L134,"$",""),",","")),0)</f>
        <v>0</v>
      </c>
      <c r="N134" s="10" t="n">
        <f aca="false">IFERROR(VALUE(SUBSTITUTE(SUBSTITUTE(Raw_Donors!M134,"$",""),",","")),0)</f>
        <v>0</v>
      </c>
      <c r="O134" s="10" t="n">
        <f aca="false">IFERROR(VALUE(SUBSTITUTE(SUBSTITUTE(Raw_Donors!N134,"$",""),",","")),0)</f>
        <v>0</v>
      </c>
      <c r="P134" s="10" t="n">
        <f aca="false">IFERROR(VALUE(SUBSTITUTE(SUBSTITUTE(Raw_Donors!O134,"$",""),",","")),0)</f>
        <v>0</v>
      </c>
      <c r="Q134" s="10" t="n">
        <f aca="false">IFERROR(VALUE(SUBSTITUTE(SUBSTITUTE(Raw_Donors!P134,"$",""),",","")),0)</f>
        <v>1</v>
      </c>
      <c r="R134" s="10" t="n">
        <f aca="false">Raw_Donors!Q134</f>
        <v>1</v>
      </c>
      <c r="S134" s="9" t="str">
        <f aca="false">Raw_Donors!R134</f>
        <v>Y</v>
      </c>
      <c r="T134" s="9" t="str">
        <f aca="false">IF(Raw_Donors!S134="","",Raw_Donors!S134)</f>
        <v/>
      </c>
      <c r="U134" s="9" t="str">
        <f aca="false">IF(AND((O134+P134)&gt;0,Q134=0),"Lapsed - Follow Up","")</f>
        <v/>
      </c>
      <c r="V134" s="9" t="n">
        <f aca="false">RANK(R134,$R$2:$R$759)+COUNTIF($R$2:R134,R134)-1</f>
        <v>532</v>
      </c>
      <c r="W134" s="9" t="str">
        <f aca="false">IF(U134="Lapsed - Follow Up",COUNTIF($U$2:U134,"Lapsed - Follow Up"),"")</f>
        <v/>
      </c>
    </row>
    <row r="135" customFormat="false" ht="15" hidden="false" customHeight="true" outlineLevel="0" collapsed="false">
      <c r="A135" s="9" t="str">
        <f aca="false">Raw_Donors!A135</f>
        <v>D1133</v>
      </c>
      <c r="B135" s="9" t="str">
        <f aca="false">IF(ISNUMBER(SEARCH("-DUP",A135)),"Duplicate ID","")</f>
        <v/>
      </c>
      <c r="C135" s="9" t="n">
        <f aca="false">Raw_Donors!B135</f>
        <v>87931</v>
      </c>
      <c r="D135" s="9" t="n">
        <f aca="false">Raw_Donors!C135</f>
        <v>0</v>
      </c>
      <c r="E135" s="9" t="str">
        <f aca="false">IFERROR(IF(Raw_Donors!D135="","Unknown",Raw_Donors!D135),"Unknown")</f>
        <v>Married</v>
      </c>
      <c r="F135" s="9" t="str">
        <f aca="false">IFERROR(IF(Raw_Donors!E135="","Unknown",Raw_Donors!E135),"Unknown")</f>
        <v>Uknown</v>
      </c>
      <c r="G135" s="9" t="str">
        <f aca="false">PROPER(TRIM(Raw_Donors!F135))</f>
        <v>Individual Donor</v>
      </c>
      <c r="H135" s="9" t="str">
        <f aca="false">IFERROR(IF(Raw_Donors!G135="","N",Raw_Donors!G135),"N")</f>
        <v>N</v>
      </c>
      <c r="I135" s="9" t="str">
        <f aca="false">IF(Raw_Donors!H135="","Not Rated",Raw_Donors!H135)</f>
        <v>Not Rated</v>
      </c>
      <c r="J135" s="9" t="str">
        <f aca="false">IF(TRIM(Raw_Donors!I135)="","Unknown",TRIM(Raw_Donors!I135))</f>
        <v>HOME</v>
      </c>
      <c r="K135" s="9" t="str">
        <f aca="false">Raw_Donors!J135</f>
        <v>N</v>
      </c>
      <c r="L135" s="9" t="n">
        <f aca="false">Raw_Donors!K135</f>
        <v>0</v>
      </c>
      <c r="M135" s="10" t="n">
        <f aca="false">IFERROR(VALUE(SUBSTITUTE(SUBSTITUTE(Raw_Donors!L135,"$",""),",","")),0)</f>
        <v>0</v>
      </c>
      <c r="N135" s="10" t="n">
        <f aca="false">IFERROR(VALUE(SUBSTITUTE(SUBSTITUTE(Raw_Donors!M135,"$",""),",","")),0)</f>
        <v>0</v>
      </c>
      <c r="O135" s="10" t="n">
        <f aca="false">IFERROR(VALUE(SUBSTITUTE(SUBSTITUTE(Raw_Donors!N135,"$",""),",","")),0)</f>
        <v>0</v>
      </c>
      <c r="P135" s="10" t="n">
        <f aca="false">IFERROR(VALUE(SUBSTITUTE(SUBSTITUTE(Raw_Donors!O135,"$",""),",","")),0)</f>
        <v>25</v>
      </c>
      <c r="Q135" s="10" t="n">
        <f aca="false">IFERROR(VALUE(SUBSTITUTE(SUBSTITUTE(Raw_Donors!P135,"$",""),",","")),0)</f>
        <v>0</v>
      </c>
      <c r="R135" s="10" t="n">
        <f aca="false">Raw_Donors!Q135</f>
        <v>50</v>
      </c>
      <c r="S135" s="9" t="str">
        <f aca="false">Raw_Donors!R135</f>
        <v>Y</v>
      </c>
      <c r="T135" s="9" t="str">
        <f aca="false">IF(Raw_Donors!S135="","",Raw_Donors!S135)</f>
        <v/>
      </c>
      <c r="U135" s="9" t="str">
        <f aca="false">IF(AND((O135+P135)&gt;0,Q135=0),"Lapsed - Follow Up","")</f>
        <v>Lapsed - Follow Up</v>
      </c>
      <c r="V135" s="9" t="n">
        <f aca="false">RANK(R135,$R$2:$R$759)+COUNTIF($R$2:R135,R135)-1</f>
        <v>366</v>
      </c>
      <c r="W135" s="9" t="n">
        <f aca="false">IF(U135="Lapsed - Follow Up",COUNTIF($U$2:U135,"Lapsed - Follow Up"),"")</f>
        <v>25</v>
      </c>
    </row>
    <row r="136" customFormat="false" ht="15" hidden="false" customHeight="true" outlineLevel="0" collapsed="false">
      <c r="A136" s="9" t="str">
        <f aca="false">Raw_Donors!A136</f>
        <v>D1134</v>
      </c>
      <c r="B136" s="9" t="str">
        <f aca="false">IF(ISNUMBER(SEARCH("-DUP",A136)),"Duplicate ID","")</f>
        <v/>
      </c>
      <c r="C136" s="9" t="n">
        <f aca="false">Raw_Donors!B136</f>
        <v>43579</v>
      </c>
      <c r="D136" s="9" t="n">
        <f aca="false">Raw_Donors!C136</f>
        <v>0</v>
      </c>
      <c r="E136" s="9" t="str">
        <f aca="false">IFERROR(IF(Raw_Donors!D136="","Unknown",Raw_Donors!D136),"Unknown")</f>
        <v>Married</v>
      </c>
      <c r="F136" s="9" t="str">
        <f aca="false">IFERROR(IF(Raw_Donors!E136="","Unknown",Raw_Donors!E136),"Unknown")</f>
        <v>Female</v>
      </c>
      <c r="G136" s="9" t="str">
        <f aca="false">PROPER(TRIM(Raw_Donors!F136))</f>
        <v>Individual Donor</v>
      </c>
      <c r="H136" s="9" t="str">
        <f aca="false">IFERROR(IF(Raw_Donors!G136="","N",Raw_Donors!G136),"N")</f>
        <v>N</v>
      </c>
      <c r="I136" s="9" t="str">
        <f aca="false">IF(Raw_Donors!H136="","Not Rated",Raw_Donors!H136)</f>
        <v>Not Rated</v>
      </c>
      <c r="J136" s="9" t="str">
        <f aca="false">IF(TRIM(Raw_Donors!I136)="","Unknown",TRIM(Raw_Donors!I136))</f>
        <v>HOME</v>
      </c>
      <c r="K136" s="9" t="str">
        <f aca="false">Raw_Donors!J136</f>
        <v>N</v>
      </c>
      <c r="L136" s="9" t="n">
        <f aca="false">Raw_Donors!K136</f>
        <v>0</v>
      </c>
      <c r="M136" s="10" t="n">
        <f aca="false">IFERROR(VALUE(SUBSTITUTE(SUBSTITUTE(Raw_Donors!L136,"$",""),",","")),0)</f>
        <v>0</v>
      </c>
      <c r="N136" s="10" t="n">
        <f aca="false">IFERROR(VALUE(SUBSTITUTE(SUBSTITUTE(Raw_Donors!M136,"$",""),",","")),0)</f>
        <v>0</v>
      </c>
      <c r="O136" s="10" t="n">
        <f aca="false">IFERROR(VALUE(SUBSTITUTE(SUBSTITUTE(Raw_Donors!N136,"$",""),",","")),0)</f>
        <v>25</v>
      </c>
      <c r="P136" s="10" t="n">
        <f aca="false">IFERROR(VALUE(SUBSTITUTE(SUBSTITUTE(Raw_Donors!O136,"$",""),",","")),0)</f>
        <v>101</v>
      </c>
      <c r="Q136" s="10" t="n">
        <f aca="false">IFERROR(VALUE(SUBSTITUTE(SUBSTITUTE(Raw_Donors!P136,"$",""),",","")),0)</f>
        <v>0</v>
      </c>
      <c r="R136" s="10" t="n">
        <f aca="false">Raw_Donors!Q136</f>
        <v>126</v>
      </c>
      <c r="S136" s="9" t="str">
        <f aca="false">Raw_Donors!R136</f>
        <v>Y</v>
      </c>
      <c r="T136" s="9" t="str">
        <f aca="false">IF(Raw_Donors!S136="","",Raw_Donors!S136)</f>
        <v/>
      </c>
      <c r="U136" s="9" t="str">
        <f aca="false">IF(AND((O136+P136)&gt;0,Q136=0),"Lapsed - Follow Up","")</f>
        <v>Lapsed - Follow Up</v>
      </c>
      <c r="V136" s="9" t="n">
        <f aca="false">RANK(R136,$R$2:$R$759)+COUNTIF($R$2:R136,R136)-1</f>
        <v>243</v>
      </c>
      <c r="W136" s="9" t="n">
        <f aca="false">IF(U136="Lapsed - Follow Up",COUNTIF($U$2:U136,"Lapsed - Follow Up"),"")</f>
        <v>26</v>
      </c>
    </row>
    <row r="137" customFormat="false" ht="15" hidden="false" customHeight="true" outlineLevel="0" collapsed="false">
      <c r="A137" s="9" t="str">
        <f aca="false">Raw_Donors!A137</f>
        <v>D1135</v>
      </c>
      <c r="B137" s="9" t="str">
        <f aca="false">IF(ISNUMBER(SEARCH("-DUP",A137)),"Duplicate ID","")</f>
        <v/>
      </c>
      <c r="C137" s="9" t="n">
        <f aca="false">Raw_Donors!B137</f>
        <v>94253</v>
      </c>
      <c r="D137" s="9" t="n">
        <f aca="false">Raw_Donors!C137</f>
        <v>0</v>
      </c>
      <c r="E137" s="9" t="str">
        <f aca="false">IFERROR(IF(Raw_Donors!D137="","Unknown",Raw_Donors!D137),"Unknown")</f>
        <v>Unknown</v>
      </c>
      <c r="F137" s="9" t="str">
        <f aca="false">IFERROR(IF(Raw_Donors!E137="","Unknown",Raw_Donors!E137),"Unknown")</f>
        <v>Female</v>
      </c>
      <c r="G137" s="9" t="str">
        <f aca="false">PROPER(TRIM(Raw_Donors!F137))</f>
        <v>Community Partner</v>
      </c>
      <c r="H137" s="9" t="str">
        <f aca="false">IFERROR(IF(Raw_Donors!G137="","N",Raw_Donors!G137),"N")</f>
        <v>N</v>
      </c>
      <c r="I137" s="9" t="str">
        <f aca="false">IF(Raw_Donors!H137="","Not Rated",Raw_Donors!H137)</f>
        <v>Not Rated</v>
      </c>
      <c r="J137" s="9" t="str">
        <f aca="false">IF(TRIM(Raw_Donors!I137)="","Unknown",TRIM(Raw_Donors!I137))</f>
        <v>HOME</v>
      </c>
      <c r="K137" s="9" t="str">
        <f aca="false">Raw_Donors!J137</f>
        <v>N</v>
      </c>
      <c r="L137" s="9" t="n">
        <f aca="false">Raw_Donors!K137</f>
        <v>0</v>
      </c>
      <c r="M137" s="10" t="n">
        <f aca="false">IFERROR(VALUE(SUBSTITUTE(SUBSTITUTE(Raw_Donors!L137,"$",""),",","")),0)</f>
        <v>0</v>
      </c>
      <c r="N137" s="10" t="n">
        <f aca="false">IFERROR(VALUE(SUBSTITUTE(SUBSTITUTE(Raw_Donors!M137,"$",""),",","")),0)</f>
        <v>0</v>
      </c>
      <c r="O137" s="10" t="n">
        <f aca="false">IFERROR(VALUE(SUBSTITUTE(SUBSTITUTE(Raw_Donors!N137,"$",""),",","")),0)</f>
        <v>0</v>
      </c>
      <c r="P137" s="10" t="n">
        <f aca="false">IFERROR(VALUE(SUBSTITUTE(SUBSTITUTE(Raw_Donors!O137,"$",""),",","")),0)</f>
        <v>0</v>
      </c>
      <c r="Q137" s="10" t="n">
        <f aca="false">IFERROR(VALUE(SUBSTITUTE(SUBSTITUTE(Raw_Donors!P137,"$",""),",","")),0)</f>
        <v>0</v>
      </c>
      <c r="R137" s="10" t="n">
        <f aca="false">Raw_Donors!Q137</f>
        <v>65</v>
      </c>
      <c r="S137" s="9" t="str">
        <f aca="false">Raw_Donors!R137</f>
        <v>Y</v>
      </c>
      <c r="T137" s="9" t="str">
        <f aca="false">IF(Raw_Donors!S137="","",Raw_Donors!S137)</f>
        <v/>
      </c>
      <c r="U137" s="9" t="str">
        <f aca="false">IF(AND((O137+P137)&gt;0,Q137=0),"Lapsed - Follow Up","")</f>
        <v/>
      </c>
      <c r="V137" s="9" t="n">
        <f aca="false">RANK(R137,$R$2:$R$759)+COUNTIF($R$2:R137,R137)-1</f>
        <v>344</v>
      </c>
      <c r="W137" s="9" t="str">
        <f aca="false">IF(U137="Lapsed - Follow Up",COUNTIF($U$2:U137,"Lapsed - Follow Up"),"")</f>
        <v/>
      </c>
    </row>
    <row r="138" customFormat="false" ht="15" hidden="false" customHeight="true" outlineLevel="0" collapsed="false">
      <c r="A138" s="9" t="str">
        <f aca="false">Raw_Donors!A138</f>
        <v>D1136</v>
      </c>
      <c r="B138" s="9" t="str">
        <f aca="false">IF(ISNUMBER(SEARCH("-DUP",A138)),"Duplicate ID","")</f>
        <v/>
      </c>
      <c r="C138" s="9" t="n">
        <f aca="false">Raw_Donors!B138</f>
        <v>26838</v>
      </c>
      <c r="D138" s="9" t="n">
        <f aca="false">Raw_Donors!C138</f>
        <v>31</v>
      </c>
      <c r="E138" s="9" t="str">
        <f aca="false">IFERROR(IF(Raw_Donors!D138="","Unknown",Raw_Donors!D138),"Unknown")</f>
        <v>Unknown</v>
      </c>
      <c r="F138" s="9" t="str">
        <f aca="false">IFERROR(IF(Raw_Donors!E138="","Unknown",Raw_Donors!E138),"Unknown")</f>
        <v>Female</v>
      </c>
      <c r="G138" s="9" t="str">
        <f aca="false">PROPER(TRIM(Raw_Donors!F138))</f>
        <v>Community Partner</v>
      </c>
      <c r="H138" s="9" t="str">
        <f aca="false">IFERROR(IF(Raw_Donors!G138="","N",Raw_Donors!G138),"N")</f>
        <v>Y</v>
      </c>
      <c r="I138" s="9" t="str">
        <f aca="false">IF(Raw_Donors!H138="","Not Rated",Raw_Donors!H138)</f>
        <v>Not Rated</v>
      </c>
      <c r="J138" s="9" t="str">
        <f aca="false">IF(TRIM(Raw_Donors!I138)="","Unknown",TRIM(Raw_Donors!I138))</f>
        <v>HOME</v>
      </c>
      <c r="K138" s="9" t="str">
        <f aca="false">Raw_Donors!J138</f>
        <v>Y</v>
      </c>
      <c r="L138" s="9" t="n">
        <f aca="false">Raw_Donors!K138</f>
        <v>2</v>
      </c>
      <c r="M138" s="10" t="n">
        <f aca="false">IFERROR(VALUE(SUBSTITUTE(SUBSTITUTE(Raw_Donors!L138,"$",""),",","")),0)</f>
        <v>0</v>
      </c>
      <c r="N138" s="10" t="n">
        <f aca="false">IFERROR(VALUE(SUBSTITUTE(SUBSTITUTE(Raw_Donors!M138,"$",""),",","")),0)</f>
        <v>0</v>
      </c>
      <c r="O138" s="10" t="n">
        <f aca="false">IFERROR(VALUE(SUBSTITUTE(SUBSTITUTE(Raw_Donors!N138,"$",""),",","")),0)</f>
        <v>0</v>
      </c>
      <c r="P138" s="10" t="n">
        <f aca="false">IFERROR(VALUE(SUBSTITUTE(SUBSTITUTE(Raw_Donors!O138,"$",""),",","")),0)</f>
        <v>0</v>
      </c>
      <c r="Q138" s="10" t="n">
        <f aca="false">IFERROR(VALUE(SUBSTITUTE(SUBSTITUTE(Raw_Donors!P138,"$",""),",","")),0)</f>
        <v>0</v>
      </c>
      <c r="R138" s="10" t="n">
        <f aca="false">Raw_Donors!Q138</f>
        <v>1000</v>
      </c>
      <c r="S138" s="9" t="str">
        <f aca="false">Raw_Donors!R138</f>
        <v>Y</v>
      </c>
      <c r="T138" s="9" t="str">
        <f aca="false">IF(Raw_Donors!S138="","",Raw_Donors!S138)</f>
        <v>1986-08-03</v>
      </c>
      <c r="U138" s="9" t="str">
        <f aca="false">IF(AND((O138+P138)&gt;0,Q138=0),"Lapsed - Follow Up","")</f>
        <v/>
      </c>
      <c r="V138" s="9" t="n">
        <f aca="false">RANK(R138,$R$2:$R$759)+COUNTIF($R$2:R138,R138)-1</f>
        <v>59</v>
      </c>
      <c r="W138" s="9" t="str">
        <f aca="false">IF(U138="Lapsed - Follow Up",COUNTIF($U$2:U138,"Lapsed - Follow Up"),"")</f>
        <v/>
      </c>
    </row>
    <row r="139" customFormat="false" ht="15" hidden="false" customHeight="true" outlineLevel="0" collapsed="false">
      <c r="A139" s="9" t="str">
        <f aca="false">Raw_Donors!A139</f>
        <v>D1137</v>
      </c>
      <c r="B139" s="9" t="str">
        <f aca="false">IF(ISNUMBER(SEARCH("-DUP",A139)),"Duplicate ID","")</f>
        <v/>
      </c>
      <c r="C139" s="9" t="n">
        <f aca="false">Raw_Donors!B139</f>
        <v>72072</v>
      </c>
      <c r="D139" s="9" t="n">
        <f aca="false">Raw_Donors!C139</f>
        <v>0</v>
      </c>
      <c r="E139" s="9" t="str">
        <f aca="false">IFERROR(IF(Raw_Donors!D139="","Unknown",Raw_Donors!D139),"Unknown")</f>
        <v>Unknown</v>
      </c>
      <c r="F139" s="9" t="str">
        <f aca="false">IFERROR(IF(Raw_Donors!E139="","Unknown",Raw_Donors!E139),"Unknown")</f>
        <v>Male</v>
      </c>
      <c r="G139" s="9" t="str">
        <f aca="false">PROPER(TRIM(Raw_Donors!F139))</f>
        <v>Individual Donor</v>
      </c>
      <c r="H139" s="9" t="str">
        <f aca="false">IFERROR(IF(Raw_Donors!G139="","N",Raw_Donors!G139),"N")</f>
        <v>N</v>
      </c>
      <c r="I139" s="9" t="str">
        <f aca="false">IF(Raw_Donors!H139="","Not Rated",Raw_Donors!H139)</f>
        <v>$25,000-$49,999</v>
      </c>
      <c r="J139" s="9" t="str">
        <f aca="false">IF(TRIM(Raw_Donors!I139)="","Unknown",TRIM(Raw_Donors!I139))</f>
        <v>HOME</v>
      </c>
      <c r="K139" s="9" t="str">
        <f aca="false">Raw_Donors!J139</f>
        <v>N</v>
      </c>
      <c r="L139" s="9" t="n">
        <f aca="false">Raw_Donors!K139</f>
        <v>2</v>
      </c>
      <c r="M139" s="10" t="n">
        <f aca="false">IFERROR(VALUE(SUBSTITUTE(SUBSTITUTE(Raw_Donors!L139,"$",""),",","")),0)</f>
        <v>0</v>
      </c>
      <c r="N139" s="10" t="n">
        <f aca="false">IFERROR(VALUE(SUBSTITUTE(SUBSTITUTE(Raw_Donors!M139,"$",""),",","")),0)</f>
        <v>0</v>
      </c>
      <c r="O139" s="10" t="n">
        <f aca="false">IFERROR(VALUE(SUBSTITUTE(SUBSTITUTE(Raw_Donors!N139,"$",""),",","")),0)</f>
        <v>0</v>
      </c>
      <c r="P139" s="10" t="n">
        <f aca="false">IFERROR(VALUE(SUBSTITUTE(SUBSTITUTE(Raw_Donors!O139,"$",""),",","")),0)</f>
        <v>0</v>
      </c>
      <c r="Q139" s="10" t="n">
        <f aca="false">IFERROR(VALUE(SUBSTITUTE(SUBSTITUTE(Raw_Donors!P139,"$",""),",","")),0)</f>
        <v>0</v>
      </c>
      <c r="R139" s="10" t="n">
        <f aca="false">Raw_Donors!Q139</f>
        <v>0</v>
      </c>
      <c r="S139" s="9" t="str">
        <f aca="false">Raw_Donors!R139</f>
        <v>N</v>
      </c>
      <c r="T139" s="9" t="str">
        <f aca="false">IF(Raw_Donors!S139="","",Raw_Donors!S139)</f>
        <v/>
      </c>
      <c r="U139" s="9" t="str">
        <f aca="false">IF(AND((O139+P139)&gt;0,Q139=0),"Lapsed - Follow Up","")</f>
        <v/>
      </c>
      <c r="V139" s="9" t="n">
        <f aca="false">RANK(R139,$R$2:$R$759)+COUNTIF($R$2:R139,R139)-1</f>
        <v>594</v>
      </c>
      <c r="W139" s="9" t="str">
        <f aca="false">IF(U139="Lapsed - Follow Up",COUNTIF($U$2:U139,"Lapsed - Follow Up"),"")</f>
        <v/>
      </c>
    </row>
    <row r="140" customFormat="false" ht="15" hidden="false" customHeight="true" outlineLevel="0" collapsed="false">
      <c r="A140" s="9" t="str">
        <f aca="false">Raw_Donors!A140</f>
        <v>D1138</v>
      </c>
      <c r="B140" s="9" t="str">
        <f aca="false">IF(ISNUMBER(SEARCH("-DUP",A140)),"Duplicate ID","")</f>
        <v/>
      </c>
      <c r="C140" s="9" t="n">
        <f aca="false">Raw_Donors!B140</f>
        <v>32439</v>
      </c>
      <c r="D140" s="9" t="n">
        <f aca="false">Raw_Donors!C140</f>
        <v>32</v>
      </c>
      <c r="E140" s="9" t="str">
        <f aca="false">IFERROR(IF(Raw_Donors!D140="","Unknown",Raw_Donors!D140),"Unknown")</f>
        <v>Unknown</v>
      </c>
      <c r="F140" s="9" t="str">
        <f aca="false">IFERROR(IF(Raw_Donors!E140="","Unknown",Raw_Donors!E140),"Unknown")</f>
        <v>Male</v>
      </c>
      <c r="G140" s="9" t="str">
        <f aca="false">PROPER(TRIM(Raw_Donors!F140))</f>
        <v>Community Partner</v>
      </c>
      <c r="H140" s="9" t="str">
        <f aca="false">IFERROR(IF(Raw_Donors!G140="","N",Raw_Donors!G140),"N")</f>
        <v>N</v>
      </c>
      <c r="I140" s="9" t="str">
        <f aca="false">IF(Raw_Donors!H140="","Not Rated",Raw_Donors!H140)</f>
        <v>Not Rated</v>
      </c>
      <c r="J140" s="9" t="str">
        <f aca="false">IF(TRIM(Raw_Donors!I140)="","Unknown",TRIM(Raw_Donors!I140))</f>
        <v>HOME</v>
      </c>
      <c r="K140" s="9" t="str">
        <f aca="false">Raw_Donors!J140</f>
        <v>Y</v>
      </c>
      <c r="L140" s="9" t="n">
        <f aca="false">Raw_Donors!K140</f>
        <v>0</v>
      </c>
      <c r="M140" s="10" t="n">
        <f aca="false">IFERROR(VALUE(SUBSTITUTE(SUBSTITUTE(Raw_Donors!L140,"$",""),",","")),0)</f>
        <v>0</v>
      </c>
      <c r="N140" s="10" t="n">
        <f aca="false">IFERROR(VALUE(SUBSTITUTE(SUBSTITUTE(Raw_Donors!M140,"$",""),",","")),0)</f>
        <v>0</v>
      </c>
      <c r="O140" s="10" t="n">
        <f aca="false">IFERROR(VALUE(SUBSTITUTE(SUBSTITUTE(Raw_Donors!N140,"$",""),",","")),0)</f>
        <v>0</v>
      </c>
      <c r="P140" s="10" t="n">
        <f aca="false">IFERROR(VALUE(SUBSTITUTE(SUBSTITUTE(Raw_Donors!O140,"$",""),",","")),0)</f>
        <v>0</v>
      </c>
      <c r="Q140" s="10" t="n">
        <f aca="false">IFERROR(VALUE(SUBSTITUTE(SUBSTITUTE(Raw_Donors!P140,"$",""),",","")),0)</f>
        <v>0</v>
      </c>
      <c r="R140" s="10" t="n">
        <f aca="false">Raw_Donors!Q140</f>
        <v>75</v>
      </c>
      <c r="S140" s="9" t="str">
        <f aca="false">Raw_Donors!R140</f>
        <v>Y</v>
      </c>
      <c r="T140" s="9" t="str">
        <f aca="false">IF(Raw_Donors!S140="","",Raw_Donors!S140)</f>
        <v>1985-09-26</v>
      </c>
      <c r="U140" s="9" t="str">
        <f aca="false">IF(AND((O140+P140)&gt;0,Q140=0),"Lapsed - Follow Up","")</f>
        <v/>
      </c>
      <c r="V140" s="9" t="n">
        <f aca="false">RANK(R140,$R$2:$R$759)+COUNTIF($R$2:R140,R140)-1</f>
        <v>328</v>
      </c>
      <c r="W140" s="9" t="str">
        <f aca="false">IF(U140="Lapsed - Follow Up",COUNTIF($U$2:U140,"Lapsed - Follow Up"),"")</f>
        <v/>
      </c>
    </row>
    <row r="141" customFormat="false" ht="15" hidden="false" customHeight="true" outlineLevel="0" collapsed="false">
      <c r="A141" s="9" t="str">
        <f aca="false">Raw_Donors!A141</f>
        <v>D1139</v>
      </c>
      <c r="B141" s="9" t="str">
        <f aca="false">IF(ISNUMBER(SEARCH("-DUP",A141)),"Duplicate ID","")</f>
        <v/>
      </c>
      <c r="C141" s="9" t="n">
        <f aca="false">Raw_Donors!B141</f>
        <v>95686</v>
      </c>
      <c r="D141" s="9" t="n">
        <f aca="false">Raw_Donors!C141</f>
        <v>0</v>
      </c>
      <c r="E141" s="9" t="str">
        <f aca="false">IFERROR(IF(Raw_Donors!D141="","Unknown",Raw_Donors!D141),"Unknown")</f>
        <v>Unknown</v>
      </c>
      <c r="F141" s="9" t="str">
        <f aca="false">IFERROR(IF(Raw_Donors!E141="","Unknown",Raw_Donors!E141),"Unknown")</f>
        <v>Female</v>
      </c>
      <c r="G141" s="9" t="str">
        <f aca="false">PROPER(TRIM(Raw_Donors!F141))</f>
        <v>Community Partner</v>
      </c>
      <c r="H141" s="9" t="str">
        <f aca="false">IFERROR(IF(Raw_Donors!G141="","N",Raw_Donors!G141),"N")</f>
        <v>N</v>
      </c>
      <c r="I141" s="9" t="str">
        <f aca="false">IF(Raw_Donors!H141="","Not Rated",Raw_Donors!H141)</f>
        <v>Not Rated</v>
      </c>
      <c r="J141" s="9" t="str">
        <f aca="false">IF(TRIM(Raw_Donors!I141)="","Unknown",TRIM(Raw_Donors!I141))</f>
        <v>Unknown</v>
      </c>
      <c r="K141" s="9" t="str">
        <f aca="false">Raw_Donors!J141</f>
        <v>N</v>
      </c>
      <c r="L141" s="9" t="n">
        <f aca="false">Raw_Donors!K141</f>
        <v>0</v>
      </c>
      <c r="M141" s="10" t="n">
        <f aca="false">IFERROR(VALUE(SUBSTITUTE(SUBSTITUTE(Raw_Donors!L141,"$",""),",","")),0)</f>
        <v>0</v>
      </c>
      <c r="N141" s="10" t="n">
        <f aca="false">IFERROR(VALUE(SUBSTITUTE(SUBSTITUTE(Raw_Donors!M141,"$",""),",","")),0)</f>
        <v>0</v>
      </c>
      <c r="O141" s="10" t="n">
        <f aca="false">IFERROR(VALUE(SUBSTITUTE(SUBSTITUTE(Raw_Donors!N141,"$",""),",","")),0)</f>
        <v>0</v>
      </c>
      <c r="P141" s="10" t="n">
        <f aca="false">IFERROR(VALUE(SUBSTITUTE(SUBSTITUTE(Raw_Donors!O141,"$",""),",","")),0)</f>
        <v>0</v>
      </c>
      <c r="Q141" s="10" t="n">
        <f aca="false">IFERROR(VALUE(SUBSTITUTE(SUBSTITUTE(Raw_Donors!P141,"$",""),",","")),0)</f>
        <v>0</v>
      </c>
      <c r="R141" s="10" t="n">
        <f aca="false">Raw_Donors!Q141</f>
        <v>0</v>
      </c>
      <c r="S141" s="9" t="str">
        <f aca="false">Raw_Donors!R141</f>
        <v>N</v>
      </c>
      <c r="T141" s="9" t="str">
        <f aca="false">IF(Raw_Donors!S141="","",Raw_Donors!S141)</f>
        <v/>
      </c>
      <c r="U141" s="9" t="str">
        <f aca="false">IF(AND((O141+P141)&gt;0,Q141=0),"Lapsed - Follow Up","")</f>
        <v/>
      </c>
      <c r="V141" s="9" t="n">
        <f aca="false">RANK(R141,$R$2:$R$759)+COUNTIF($R$2:R141,R141)-1</f>
        <v>595</v>
      </c>
      <c r="W141" s="9" t="str">
        <f aca="false">IF(U141="Lapsed - Follow Up",COUNTIF($U$2:U141,"Lapsed - Follow Up"),"")</f>
        <v/>
      </c>
    </row>
    <row r="142" customFormat="false" ht="15" hidden="false" customHeight="true" outlineLevel="0" collapsed="false">
      <c r="A142" s="9" t="str">
        <f aca="false">Raw_Donors!A142</f>
        <v>D1140</v>
      </c>
      <c r="B142" s="9" t="str">
        <f aca="false">IF(ISNUMBER(SEARCH("-DUP",A142)),"Duplicate ID","")</f>
        <v/>
      </c>
      <c r="C142" s="9" t="n">
        <f aca="false">Raw_Donors!B142</f>
        <v>9532</v>
      </c>
      <c r="D142" s="9" t="n">
        <f aca="false">Raw_Donors!C142</f>
        <v>0</v>
      </c>
      <c r="E142" s="9" t="str">
        <f aca="false">IFERROR(IF(Raw_Donors!D142="","Unknown",Raw_Donors!D142),"Unknown")</f>
        <v>Unknown</v>
      </c>
      <c r="F142" s="9" t="str">
        <f aca="false">IFERROR(IF(Raw_Donors!E142="","Unknown",Raw_Donors!E142),"Unknown")</f>
        <v>Female</v>
      </c>
      <c r="G142" s="9" t="str">
        <f aca="false">PROPER(TRIM(Raw_Donors!F142))</f>
        <v>Individual Donor</v>
      </c>
      <c r="H142" s="9" t="str">
        <f aca="false">IFERROR(IF(Raw_Donors!G142="","N",Raw_Donors!G142),"N")</f>
        <v>N</v>
      </c>
      <c r="I142" s="9" t="str">
        <f aca="false">IF(Raw_Donors!H142="","Not Rated",Raw_Donors!H142)</f>
        <v>Not Rated</v>
      </c>
      <c r="J142" s="9" t="str">
        <f aca="false">IF(TRIM(Raw_Donors!I142)="","Unknown",TRIM(Raw_Donors!I142))</f>
        <v>HOME</v>
      </c>
      <c r="K142" s="9" t="str">
        <f aca="false">Raw_Donors!J142</f>
        <v>Y</v>
      </c>
      <c r="L142" s="9" t="n">
        <f aca="false">Raw_Donors!K142</f>
        <v>2</v>
      </c>
      <c r="M142" s="10" t="n">
        <f aca="false">IFERROR(VALUE(SUBSTITUTE(SUBSTITUTE(Raw_Donors!L142,"$",""),",","")),0)</f>
        <v>0</v>
      </c>
      <c r="N142" s="10" t="n">
        <f aca="false">IFERROR(VALUE(SUBSTITUTE(SUBSTITUTE(Raw_Donors!M142,"$",""),",","")),0)</f>
        <v>0</v>
      </c>
      <c r="O142" s="10" t="n">
        <f aca="false">IFERROR(VALUE(SUBSTITUTE(SUBSTITUTE(Raw_Donors!N142,"$",""),",","")),0)</f>
        <v>0</v>
      </c>
      <c r="P142" s="10" t="n">
        <f aca="false">IFERROR(VALUE(SUBSTITUTE(SUBSTITUTE(Raw_Donors!O142,"$",""),",","")),0)</f>
        <v>0</v>
      </c>
      <c r="Q142" s="10" t="n">
        <f aca="false">IFERROR(VALUE(SUBSTITUTE(SUBSTITUTE(Raw_Donors!P142,"$",""),",","")),0)</f>
        <v>0</v>
      </c>
      <c r="R142" s="10" t="n">
        <f aca="false">Raw_Donors!Q142</f>
        <v>0</v>
      </c>
      <c r="S142" s="9" t="str">
        <f aca="false">Raw_Donors!R142</f>
        <v>N</v>
      </c>
      <c r="T142" s="9" t="str">
        <f aca="false">IF(Raw_Donors!S142="","",Raw_Donors!S142)</f>
        <v/>
      </c>
      <c r="U142" s="9" t="str">
        <f aca="false">IF(AND((O142+P142)&gt;0,Q142=0),"Lapsed - Follow Up","")</f>
        <v/>
      </c>
      <c r="V142" s="9" t="n">
        <f aca="false">RANK(R142,$R$2:$R$759)+COUNTIF($R$2:R142,R142)-1</f>
        <v>596</v>
      </c>
      <c r="W142" s="9" t="str">
        <f aca="false">IF(U142="Lapsed - Follow Up",COUNTIF($U$2:U142,"Lapsed - Follow Up"),"")</f>
        <v/>
      </c>
    </row>
    <row r="143" customFormat="false" ht="15" hidden="false" customHeight="true" outlineLevel="0" collapsed="false">
      <c r="A143" s="9" t="str">
        <f aca="false">Raw_Donors!A143</f>
        <v>D1141</v>
      </c>
      <c r="B143" s="9" t="str">
        <f aca="false">IF(ISNUMBER(SEARCH("-DUP",A143)),"Duplicate ID","")</f>
        <v/>
      </c>
      <c r="C143" s="9" t="n">
        <f aca="false">Raw_Donors!B143</f>
        <v>8001</v>
      </c>
      <c r="D143" s="9" t="n">
        <f aca="false">Raw_Donors!C143</f>
        <v>0</v>
      </c>
      <c r="E143" s="9" t="str">
        <f aca="false">IFERROR(IF(Raw_Donors!D143="","Unknown",Raw_Donors!D143),"Unknown")</f>
        <v>Married</v>
      </c>
      <c r="F143" s="9" t="str">
        <f aca="false">IFERROR(IF(Raw_Donors!E143="","Unknown",Raw_Donors!E143),"Unknown")</f>
        <v>Male</v>
      </c>
      <c r="G143" s="9" t="str">
        <f aca="false">PROPER(TRIM(Raw_Donors!F143))</f>
        <v>Individual Donor</v>
      </c>
      <c r="H143" s="9" t="str">
        <f aca="false">IFERROR(IF(Raw_Donors!G143="","N",Raw_Donors!G143),"N")</f>
        <v>N</v>
      </c>
      <c r="I143" s="9" t="str">
        <f aca="false">IF(Raw_Donors!H143="","Not Rated",Raw_Donors!H143)</f>
        <v>Not Rated</v>
      </c>
      <c r="J143" s="9" t="str">
        <f aca="false">IF(TRIM(Raw_Donors!I143)="","Unknown",TRIM(Raw_Donors!I143))</f>
        <v>HOME</v>
      </c>
      <c r="K143" s="9" t="str">
        <f aca="false">Raw_Donors!J143</f>
        <v>N</v>
      </c>
      <c r="L143" s="9" t="n">
        <f aca="false">Raw_Donors!K143</f>
        <v>1</v>
      </c>
      <c r="M143" s="10" t="n">
        <f aca="false">IFERROR(VALUE(SUBSTITUTE(SUBSTITUTE(Raw_Donors!L143,"$",""),",","")),0)</f>
        <v>0</v>
      </c>
      <c r="N143" s="10" t="n">
        <f aca="false">IFERROR(VALUE(SUBSTITUTE(SUBSTITUTE(Raw_Donors!M143,"$",""),",","")),0)</f>
        <v>0</v>
      </c>
      <c r="O143" s="10" t="n">
        <f aca="false">IFERROR(VALUE(SUBSTITUTE(SUBSTITUTE(Raw_Donors!N143,"$",""),",","")),0)</f>
        <v>0</v>
      </c>
      <c r="P143" s="10" t="n">
        <f aca="false">IFERROR(VALUE(SUBSTITUTE(SUBSTITUTE(Raw_Donors!O143,"$",""),",","")),0)</f>
        <v>0</v>
      </c>
      <c r="Q143" s="10" t="n">
        <f aca="false">IFERROR(VALUE(SUBSTITUTE(SUBSTITUTE(Raw_Donors!P143,"$",""),",","")),0)</f>
        <v>0</v>
      </c>
      <c r="R143" s="10" t="n">
        <f aca="false">Raw_Donors!Q143</f>
        <v>25</v>
      </c>
      <c r="S143" s="9" t="str">
        <f aca="false">Raw_Donors!R143</f>
        <v>Y</v>
      </c>
      <c r="T143" s="9" t="str">
        <f aca="false">IF(Raw_Donors!S143="","",Raw_Donors!S143)</f>
        <v/>
      </c>
      <c r="U143" s="9" t="str">
        <f aca="false">IF(AND((O143+P143)&gt;0,Q143=0),"Lapsed - Follow Up","")</f>
        <v/>
      </c>
      <c r="V143" s="9" t="n">
        <f aca="false">RANK(R143,$R$2:$R$759)+COUNTIF($R$2:R143,R143)-1</f>
        <v>434</v>
      </c>
      <c r="W143" s="9" t="str">
        <f aca="false">IF(U143="Lapsed - Follow Up",COUNTIF($U$2:U143,"Lapsed - Follow Up"),"")</f>
        <v/>
      </c>
    </row>
    <row r="144" customFormat="false" ht="15" hidden="false" customHeight="true" outlineLevel="0" collapsed="false">
      <c r="A144" s="9" t="str">
        <f aca="false">Raw_Donors!A144</f>
        <v>D1142</v>
      </c>
      <c r="B144" s="9" t="str">
        <f aca="false">IF(ISNUMBER(SEARCH("-DUP",A144)),"Duplicate ID","")</f>
        <v/>
      </c>
      <c r="C144" s="9" t="n">
        <f aca="false">Raw_Donors!B144</f>
        <v>73601</v>
      </c>
      <c r="D144" s="9" t="n">
        <f aca="false">Raw_Donors!C144</f>
        <v>0</v>
      </c>
      <c r="E144" s="9" t="str">
        <f aca="false">IFERROR(IF(Raw_Donors!D144="","Unknown",Raw_Donors!D144),"Unknown")</f>
        <v>Single</v>
      </c>
      <c r="F144" s="9" t="str">
        <f aca="false">IFERROR(IF(Raw_Donors!E144="","Unknown",Raw_Donors!E144),"Unknown")</f>
        <v>Female</v>
      </c>
      <c r="G144" s="9" t="str">
        <f aca="false">PROPER(TRIM(Raw_Donors!F144))</f>
        <v>Individual Donor</v>
      </c>
      <c r="H144" s="9" t="str">
        <f aca="false">IFERROR(IF(Raw_Donors!G144="","N",Raw_Donors!G144),"N")</f>
        <v>N</v>
      </c>
      <c r="I144" s="9" t="str">
        <f aca="false">IF(Raw_Donors!H144="","Not Rated",Raw_Donors!H144)</f>
        <v>Not Rated</v>
      </c>
      <c r="J144" s="9" t="str">
        <f aca="false">IF(TRIM(Raw_Donors!I144)="","Unknown",TRIM(Raw_Donors!I144))</f>
        <v>HOME</v>
      </c>
      <c r="K144" s="9" t="str">
        <f aca="false">Raw_Donors!J144</f>
        <v>N</v>
      </c>
      <c r="L144" s="9" t="n">
        <f aca="false">Raw_Donors!K144</f>
        <v>3</v>
      </c>
      <c r="M144" s="10" t="n">
        <f aca="false">IFERROR(VALUE(SUBSTITUTE(SUBSTITUTE(Raw_Donors!L144,"$",""),",","")),0)</f>
        <v>0</v>
      </c>
      <c r="N144" s="10" t="n">
        <f aca="false">IFERROR(VALUE(SUBSTITUTE(SUBSTITUTE(Raw_Donors!M144,"$",""),",","")),0)</f>
        <v>0</v>
      </c>
      <c r="O144" s="10" t="n">
        <f aca="false">IFERROR(VALUE(SUBSTITUTE(SUBSTITUTE(Raw_Donors!N144,"$",""),",","")),0)</f>
        <v>0</v>
      </c>
      <c r="P144" s="10" t="n">
        <f aca="false">IFERROR(VALUE(SUBSTITUTE(SUBSTITUTE(Raw_Donors!O144,"$",""),",","")),0)</f>
        <v>0</v>
      </c>
      <c r="Q144" s="10" t="n">
        <f aca="false">IFERROR(VALUE(SUBSTITUTE(SUBSTITUTE(Raw_Donors!P144,"$",""),",","")),0)</f>
        <v>0</v>
      </c>
      <c r="R144" s="10" t="n">
        <f aca="false">Raw_Donors!Q144</f>
        <v>0</v>
      </c>
      <c r="S144" s="9" t="str">
        <f aca="false">Raw_Donors!R144</f>
        <v>N</v>
      </c>
      <c r="T144" s="9" t="str">
        <f aca="false">IF(Raw_Donors!S144="","",Raw_Donors!S144)</f>
        <v/>
      </c>
      <c r="U144" s="9" t="str">
        <f aca="false">IF(AND((O144+P144)&gt;0,Q144=0),"Lapsed - Follow Up","")</f>
        <v/>
      </c>
      <c r="V144" s="9" t="n">
        <f aca="false">RANK(R144,$R$2:$R$759)+COUNTIF($R$2:R144,R144)-1</f>
        <v>597</v>
      </c>
      <c r="W144" s="9" t="str">
        <f aca="false">IF(U144="Lapsed - Follow Up",COUNTIF($U$2:U144,"Lapsed - Follow Up"),"")</f>
        <v/>
      </c>
    </row>
    <row r="145" customFormat="false" ht="15" hidden="false" customHeight="true" outlineLevel="0" collapsed="false">
      <c r="A145" s="9" t="str">
        <f aca="false">Raw_Donors!A145</f>
        <v>D1143</v>
      </c>
      <c r="B145" s="9" t="str">
        <f aca="false">IF(ISNUMBER(SEARCH("-DUP",A145)),"Duplicate ID","")</f>
        <v/>
      </c>
      <c r="C145" s="9" t="n">
        <f aca="false">Raw_Donors!B145</f>
        <v>4066</v>
      </c>
      <c r="D145" s="9" t="n">
        <f aca="false">Raw_Donors!C145</f>
        <v>0</v>
      </c>
      <c r="E145" s="9" t="str">
        <f aca="false">IFERROR(IF(Raw_Donors!D145="","Unknown",Raw_Donors!D145),"Unknown")</f>
        <v>Married</v>
      </c>
      <c r="F145" s="9" t="str">
        <f aca="false">IFERROR(IF(Raw_Donors!E145="","Unknown",Raw_Donors!E145),"Unknown")</f>
        <v>Male</v>
      </c>
      <c r="G145" s="9" t="str">
        <f aca="false">PROPER(TRIM(Raw_Donors!F145))</f>
        <v>Family Donor</v>
      </c>
      <c r="H145" s="9" t="str">
        <f aca="false">IFERROR(IF(Raw_Donors!G145="","N",Raw_Donors!G145),"N")</f>
        <v>N</v>
      </c>
      <c r="I145" s="9" t="str">
        <f aca="false">IF(Raw_Donors!H145="","Not Rated",Raw_Donors!H145)</f>
        <v>Not Rated</v>
      </c>
      <c r="J145" s="9" t="str">
        <f aca="false">IF(TRIM(Raw_Donors!I145)="","Unknown",TRIM(Raw_Donors!I145))</f>
        <v>HOME</v>
      </c>
      <c r="K145" s="9" t="str">
        <f aca="false">Raw_Donors!J145</f>
        <v>Y</v>
      </c>
      <c r="L145" s="9" t="n">
        <f aca="false">Raw_Donors!K145</f>
        <v>0</v>
      </c>
      <c r="M145" s="10" t="n">
        <f aca="false">IFERROR(VALUE(SUBSTITUTE(SUBSTITUTE(Raw_Donors!L145,"$",""),",","")),0)</f>
        <v>0</v>
      </c>
      <c r="N145" s="10" t="n">
        <f aca="false">IFERROR(VALUE(SUBSTITUTE(SUBSTITUTE(Raw_Donors!M145,"$",""),",","")),0)</f>
        <v>0</v>
      </c>
      <c r="O145" s="10" t="n">
        <f aca="false">IFERROR(VALUE(SUBSTITUTE(SUBSTITUTE(Raw_Donors!N145,"$",""),",","")),0)</f>
        <v>0</v>
      </c>
      <c r="P145" s="10" t="n">
        <f aca="false">IFERROR(VALUE(SUBSTITUTE(SUBSTITUTE(Raw_Donors!O145,"$",""),",","")),0)</f>
        <v>0</v>
      </c>
      <c r="Q145" s="10" t="n">
        <f aca="false">IFERROR(VALUE(SUBSTITUTE(SUBSTITUTE(Raw_Donors!P145,"$",""),",","")),0)</f>
        <v>0</v>
      </c>
      <c r="R145" s="10" t="n">
        <f aca="false">Raw_Donors!Q145</f>
        <v>20</v>
      </c>
      <c r="S145" s="9" t="str">
        <f aca="false">Raw_Donors!R145</f>
        <v>Y</v>
      </c>
      <c r="T145" s="9" t="str">
        <f aca="false">IF(Raw_Donors!S145="","",Raw_Donors!S145)</f>
        <v/>
      </c>
      <c r="U145" s="9" t="str">
        <f aca="false">IF(AND((O145+P145)&gt;0,Q145=0),"Lapsed - Follow Up","")</f>
        <v/>
      </c>
      <c r="V145" s="9" t="n">
        <f aca="false">RANK(R145,$R$2:$R$759)+COUNTIF($R$2:R145,R145)-1</f>
        <v>469</v>
      </c>
      <c r="W145" s="9" t="str">
        <f aca="false">IF(U145="Lapsed - Follow Up",COUNTIF($U$2:U145,"Lapsed - Follow Up"),"")</f>
        <v/>
      </c>
    </row>
    <row r="146" customFormat="false" ht="15" hidden="false" customHeight="true" outlineLevel="0" collapsed="false">
      <c r="A146" s="9" t="str">
        <f aca="false">Raw_Donors!A146</f>
        <v>D1144</v>
      </c>
      <c r="B146" s="9" t="str">
        <f aca="false">IF(ISNUMBER(SEARCH("-DUP",A146)),"Duplicate ID","")</f>
        <v/>
      </c>
      <c r="C146" s="9" t="n">
        <f aca="false">Raw_Donors!B146</f>
        <v>92273</v>
      </c>
      <c r="D146" s="9" t="n">
        <f aca="false">Raw_Donors!C146</f>
        <v>0</v>
      </c>
      <c r="E146" s="9" t="str">
        <f aca="false">IFERROR(IF(Raw_Donors!D146="","Unknown",Raw_Donors!D146),"Unknown")</f>
        <v>Unknown</v>
      </c>
      <c r="F146" s="9" t="str">
        <f aca="false">IFERROR(IF(Raw_Donors!E146="","Unknown",Raw_Donors!E146),"Unknown")</f>
        <v>Male</v>
      </c>
      <c r="G146" s="9" t="str">
        <f aca="false">PROPER(TRIM(Raw_Donors!F146))</f>
        <v>Individual Donor</v>
      </c>
      <c r="H146" s="9" t="str">
        <f aca="false">IFERROR(IF(Raw_Donors!G146="","N",Raw_Donors!G146),"N")</f>
        <v>N</v>
      </c>
      <c r="I146" s="9" t="str">
        <f aca="false">IF(Raw_Donors!H146="","Not Rated",Raw_Donors!H146)</f>
        <v>Not Rated</v>
      </c>
      <c r="J146" s="9" t="str">
        <f aca="false">IF(TRIM(Raw_Donors!I146)="","Unknown",TRIM(Raw_Donors!I146))</f>
        <v>HOME</v>
      </c>
      <c r="K146" s="9" t="str">
        <f aca="false">Raw_Donors!J146</f>
        <v>N</v>
      </c>
      <c r="L146" s="9" t="n">
        <f aca="false">Raw_Donors!K146</f>
        <v>1</v>
      </c>
      <c r="M146" s="10" t="n">
        <f aca="false">IFERROR(VALUE(SUBSTITUTE(SUBSTITUTE(Raw_Donors!L146,"$",""),",","")),0)</f>
        <v>0</v>
      </c>
      <c r="N146" s="10" t="n">
        <f aca="false">IFERROR(VALUE(SUBSTITUTE(SUBSTITUTE(Raw_Donors!M146,"$",""),",","")),0)</f>
        <v>15</v>
      </c>
      <c r="O146" s="10" t="n">
        <f aca="false">IFERROR(VALUE(SUBSTITUTE(SUBSTITUTE(Raw_Donors!N146,"$",""),",","")),0)</f>
        <v>0</v>
      </c>
      <c r="P146" s="10" t="n">
        <f aca="false">IFERROR(VALUE(SUBSTITUTE(SUBSTITUTE(Raw_Donors!O146,"$",""),",","")),0)</f>
        <v>0</v>
      </c>
      <c r="Q146" s="10" t="n">
        <f aca="false">IFERROR(VALUE(SUBSTITUTE(SUBSTITUTE(Raw_Donors!P146,"$",""),",","")),0)</f>
        <v>0</v>
      </c>
      <c r="R146" s="10" t="n">
        <f aca="false">Raw_Donors!Q146</f>
        <v>15</v>
      </c>
      <c r="S146" s="9" t="str">
        <f aca="false">Raw_Donors!R146</f>
        <v>Y</v>
      </c>
      <c r="T146" s="9" t="str">
        <f aca="false">IF(Raw_Donors!S146="","",Raw_Donors!S146)</f>
        <v/>
      </c>
      <c r="U146" s="9" t="str">
        <f aca="false">IF(AND((O146+P146)&gt;0,Q146=0),"Lapsed - Follow Up","")</f>
        <v/>
      </c>
      <c r="V146" s="9" t="n">
        <f aca="false">RANK(R146,$R$2:$R$759)+COUNTIF($R$2:R146,R146)-1</f>
        <v>478</v>
      </c>
      <c r="W146" s="9" t="str">
        <f aca="false">IF(U146="Lapsed - Follow Up",COUNTIF($U$2:U146,"Lapsed - Follow Up"),"")</f>
        <v/>
      </c>
    </row>
    <row r="147" customFormat="false" ht="15" hidden="false" customHeight="true" outlineLevel="0" collapsed="false">
      <c r="A147" s="9" t="str">
        <f aca="false">Raw_Donors!A147</f>
        <v>D1145</v>
      </c>
      <c r="B147" s="9" t="str">
        <f aca="false">IF(ISNUMBER(SEARCH("-DUP",A147)),"Duplicate ID","")</f>
        <v/>
      </c>
      <c r="C147" s="9" t="n">
        <f aca="false">Raw_Donors!B147</f>
        <v>21071</v>
      </c>
      <c r="D147" s="9" t="n">
        <f aca="false">Raw_Donors!C147</f>
        <v>0</v>
      </c>
      <c r="E147" s="9" t="str">
        <f aca="false">IFERROR(IF(Raw_Donors!D147="","Unknown",Raw_Donors!D147),"Unknown")</f>
        <v>Unknown</v>
      </c>
      <c r="F147" s="9" t="str">
        <f aca="false">IFERROR(IF(Raw_Donors!E147="","Unknown",Raw_Donors!E147),"Unknown")</f>
        <v>Female</v>
      </c>
      <c r="G147" s="9" t="str">
        <f aca="false">PROPER(TRIM(Raw_Donors!F147))</f>
        <v>Individual Donor</v>
      </c>
      <c r="H147" s="9" t="str">
        <f aca="false">IFERROR(IF(Raw_Donors!G147="","N",Raw_Donors!G147),"N")</f>
        <v>N</v>
      </c>
      <c r="I147" s="9" t="str">
        <f aca="false">IF(Raw_Donors!H147="","Not Rated",Raw_Donors!H147)</f>
        <v>Not Rated</v>
      </c>
      <c r="J147" s="9" t="str">
        <f aca="false">IF(TRIM(Raw_Donors!I147)="","Unknown",TRIM(Raw_Donors!I147))</f>
        <v>HOME</v>
      </c>
      <c r="K147" s="9" t="str">
        <f aca="false">Raw_Donors!J147</f>
        <v>N</v>
      </c>
      <c r="L147" s="9" t="n">
        <f aca="false">Raw_Donors!K147</f>
        <v>5</v>
      </c>
      <c r="M147" s="10" t="n">
        <f aca="false">IFERROR(VALUE(SUBSTITUTE(SUBSTITUTE(Raw_Donors!L147,"$",""),",","")),0)</f>
        <v>0</v>
      </c>
      <c r="N147" s="10" t="n">
        <f aca="false">IFERROR(VALUE(SUBSTITUTE(SUBSTITUTE(Raw_Donors!M147,"$",""),",","")),0)</f>
        <v>0</v>
      </c>
      <c r="O147" s="10" t="n">
        <f aca="false">IFERROR(VALUE(SUBSTITUTE(SUBSTITUTE(Raw_Donors!N147,"$",""),",","")),0)</f>
        <v>30</v>
      </c>
      <c r="P147" s="10" t="n">
        <f aca="false">IFERROR(VALUE(SUBSTITUTE(SUBSTITUTE(Raw_Donors!O147,"$",""),",","")),0)</f>
        <v>0</v>
      </c>
      <c r="Q147" s="10" t="n">
        <f aca="false">IFERROR(VALUE(SUBSTITUTE(SUBSTITUTE(Raw_Donors!P147,"$",""),",","")),0)</f>
        <v>0</v>
      </c>
      <c r="R147" s="10" t="n">
        <f aca="false">Raw_Donors!Q147</f>
        <v>30</v>
      </c>
      <c r="S147" s="9" t="str">
        <f aca="false">Raw_Donors!R147</f>
        <v>Y</v>
      </c>
      <c r="T147" s="9" t="str">
        <f aca="false">IF(Raw_Donors!S147="","",Raw_Donors!S147)</f>
        <v/>
      </c>
      <c r="U147" s="9" t="str">
        <f aca="false">IF(AND((O147+P147)&gt;0,Q147=0),"Lapsed - Follow Up","")</f>
        <v>Lapsed - Follow Up</v>
      </c>
      <c r="V147" s="9" t="n">
        <f aca="false">RANK(R147,$R$2:$R$759)+COUNTIF($R$2:R147,R147)-1</f>
        <v>415</v>
      </c>
      <c r="W147" s="9" t="n">
        <f aca="false">IF(U147="Lapsed - Follow Up",COUNTIF($U$2:U147,"Lapsed - Follow Up"),"")</f>
        <v>27</v>
      </c>
    </row>
    <row r="148" customFormat="false" ht="15" hidden="false" customHeight="true" outlineLevel="0" collapsed="false">
      <c r="A148" s="9" t="str">
        <f aca="false">Raw_Donors!A148</f>
        <v>D1146</v>
      </c>
      <c r="B148" s="9" t="str">
        <f aca="false">IF(ISNUMBER(SEARCH("-DUP",A148)),"Duplicate ID","")</f>
        <v/>
      </c>
      <c r="C148" s="9" t="n">
        <f aca="false">Raw_Donors!B148</f>
        <v>75211</v>
      </c>
      <c r="D148" s="9" t="n">
        <f aca="false">Raw_Donors!C148</f>
        <v>0</v>
      </c>
      <c r="E148" s="9" t="str">
        <f aca="false">IFERROR(IF(Raw_Donors!D148="","Unknown",Raw_Donors!D148),"Unknown")</f>
        <v>Unknown</v>
      </c>
      <c r="F148" s="9" t="str">
        <f aca="false">IFERROR(IF(Raw_Donors!E148="","Unknown",Raw_Donors!E148),"Unknown")</f>
        <v>Male</v>
      </c>
      <c r="G148" s="9" t="str">
        <f aca="false">PROPER(TRIM(Raw_Donors!F148))</f>
        <v>Individual Donor</v>
      </c>
      <c r="H148" s="9" t="str">
        <f aca="false">IFERROR(IF(Raw_Donors!G148="","N",Raw_Donors!G148),"N")</f>
        <v>N</v>
      </c>
      <c r="I148" s="9" t="str">
        <f aca="false">IF(Raw_Donors!H148="","Not Rated",Raw_Donors!H148)</f>
        <v>Not Rated</v>
      </c>
      <c r="J148" s="9" t="str">
        <f aca="false">IF(TRIM(Raw_Donors!I148)="","Unknown",TRIM(Raw_Donors!I148))</f>
        <v>HOME</v>
      </c>
      <c r="K148" s="9" t="str">
        <f aca="false">Raw_Donors!J148</f>
        <v>N</v>
      </c>
      <c r="L148" s="9" t="n">
        <f aca="false">Raw_Donors!K148</f>
        <v>1</v>
      </c>
      <c r="M148" s="10" t="n">
        <f aca="false">IFERROR(VALUE(SUBSTITUTE(SUBSTITUTE(Raw_Donors!L148,"$",""),",","")),0)</f>
        <v>0</v>
      </c>
      <c r="N148" s="10" t="n">
        <f aca="false">IFERROR(VALUE(SUBSTITUTE(SUBSTITUTE(Raw_Donors!M148,"$",""),",","")),0)</f>
        <v>0</v>
      </c>
      <c r="O148" s="10" t="n">
        <f aca="false">IFERROR(VALUE(SUBSTITUTE(SUBSTITUTE(Raw_Donors!N148,"$",""),",","")),0)</f>
        <v>0</v>
      </c>
      <c r="P148" s="10" t="n">
        <f aca="false">IFERROR(VALUE(SUBSTITUTE(SUBSTITUTE(Raw_Donors!O148,"$",""),",","")),0)</f>
        <v>0</v>
      </c>
      <c r="Q148" s="10" t="n">
        <f aca="false">IFERROR(VALUE(SUBSTITUTE(SUBSTITUTE(Raw_Donors!P148,"$",""),",","")),0)</f>
        <v>0</v>
      </c>
      <c r="R148" s="10" t="n">
        <f aca="false">Raw_Donors!Q148</f>
        <v>0</v>
      </c>
      <c r="S148" s="9" t="str">
        <f aca="false">Raw_Donors!R148</f>
        <v>N</v>
      </c>
      <c r="T148" s="9" t="str">
        <f aca="false">IF(Raw_Donors!S148="","",Raw_Donors!S148)</f>
        <v/>
      </c>
      <c r="U148" s="9" t="str">
        <f aca="false">IF(AND((O148+P148)&gt;0,Q148=0),"Lapsed - Follow Up","")</f>
        <v/>
      </c>
      <c r="V148" s="9" t="n">
        <f aca="false">RANK(R148,$R$2:$R$759)+COUNTIF($R$2:R148,R148)-1</f>
        <v>598</v>
      </c>
      <c r="W148" s="9" t="str">
        <f aca="false">IF(U148="Lapsed - Follow Up",COUNTIF($U$2:U148,"Lapsed - Follow Up"),"")</f>
        <v/>
      </c>
    </row>
    <row r="149" customFormat="false" ht="15" hidden="false" customHeight="true" outlineLevel="0" collapsed="false">
      <c r="A149" s="9" t="str">
        <f aca="false">Raw_Donors!A149</f>
        <v>D1147</v>
      </c>
      <c r="B149" s="9" t="str">
        <f aca="false">IF(ISNUMBER(SEARCH("-DUP",A149)),"Duplicate ID","")</f>
        <v/>
      </c>
      <c r="C149" s="9" t="n">
        <f aca="false">Raw_Donors!B149</f>
        <v>85601</v>
      </c>
      <c r="D149" s="9" t="n">
        <f aca="false">Raw_Donors!C149</f>
        <v>30</v>
      </c>
      <c r="E149" s="9" t="str">
        <f aca="false">IFERROR(IF(Raw_Donors!D149="","Unknown",Raw_Donors!D149),"Unknown")</f>
        <v>Unknown</v>
      </c>
      <c r="F149" s="9" t="str">
        <f aca="false">IFERROR(IF(Raw_Donors!E149="","Unknown",Raw_Donors!E149),"Unknown")</f>
        <v>Male</v>
      </c>
      <c r="G149" s="9" t="str">
        <f aca="false">PROPER(TRIM(Raw_Donors!F149))</f>
        <v>Community Partner</v>
      </c>
      <c r="H149" s="9" t="str">
        <f aca="false">IFERROR(IF(Raw_Donors!G149="","N",Raw_Donors!G149),"N")</f>
        <v>Y</v>
      </c>
      <c r="I149" s="9" t="str">
        <f aca="false">IF(Raw_Donors!H149="","Not Rated",Raw_Donors!H149)</f>
        <v>Not Rated</v>
      </c>
      <c r="J149" s="9" t="str">
        <f aca="false">IF(TRIM(Raw_Donors!I149)="","Unknown",TRIM(Raw_Donors!I149))</f>
        <v>HOME</v>
      </c>
      <c r="K149" s="9" t="str">
        <f aca="false">Raw_Donors!J149</f>
        <v>Y</v>
      </c>
      <c r="L149" s="9" t="n">
        <f aca="false">Raw_Donors!K149</f>
        <v>1</v>
      </c>
      <c r="M149" s="10" t="n">
        <f aca="false">IFERROR(VALUE(SUBSTITUTE(SUBSTITUTE(Raw_Donors!L149,"$",""),",","")),0)</f>
        <v>0</v>
      </c>
      <c r="N149" s="10" t="n">
        <f aca="false">IFERROR(VALUE(SUBSTITUTE(SUBSTITUTE(Raw_Donors!M149,"$",""),",","")),0)</f>
        <v>0</v>
      </c>
      <c r="O149" s="10" t="n">
        <f aca="false">IFERROR(VALUE(SUBSTITUTE(SUBSTITUTE(Raw_Donors!N149,"$",""),",","")),0)</f>
        <v>0</v>
      </c>
      <c r="P149" s="10" t="n">
        <f aca="false">IFERROR(VALUE(SUBSTITUTE(SUBSTITUTE(Raw_Donors!O149,"$",""),",","")),0)</f>
        <v>1</v>
      </c>
      <c r="Q149" s="10" t="n">
        <f aca="false">IFERROR(VALUE(SUBSTITUTE(SUBSTITUTE(Raw_Donors!P149,"$",""),",","")),0)</f>
        <v>50</v>
      </c>
      <c r="R149" s="10" t="n">
        <f aca="false">Raw_Donors!Q149</f>
        <v>51</v>
      </c>
      <c r="S149" s="9" t="str">
        <f aca="false">Raw_Donors!R149</f>
        <v>Y</v>
      </c>
      <c r="T149" s="9" t="str">
        <f aca="false">IF(Raw_Donors!S149="","",Raw_Donors!S149)</f>
        <v>1987-01-15</v>
      </c>
      <c r="U149" s="9" t="str">
        <f aca="false">IF(AND((O149+P149)&gt;0,Q149=0),"Lapsed - Follow Up","")</f>
        <v/>
      </c>
      <c r="V149" s="9" t="n">
        <f aca="false">RANK(R149,$R$2:$R$759)+COUNTIF($R$2:R149,R149)-1</f>
        <v>362</v>
      </c>
      <c r="W149" s="9" t="str">
        <f aca="false">IF(U149="Lapsed - Follow Up",COUNTIF($U$2:U149,"Lapsed - Follow Up"),"")</f>
        <v/>
      </c>
    </row>
    <row r="150" customFormat="false" ht="15" hidden="false" customHeight="true" outlineLevel="0" collapsed="false">
      <c r="A150" s="9" t="str">
        <f aca="false">Raw_Donors!A150</f>
        <v>D1148</v>
      </c>
      <c r="B150" s="9" t="str">
        <f aca="false">IF(ISNUMBER(SEARCH("-DUP",A150)),"Duplicate ID","")</f>
        <v/>
      </c>
      <c r="C150" s="9" t="n">
        <f aca="false">Raw_Donors!B150</f>
        <v>90265</v>
      </c>
      <c r="D150" s="9" t="n">
        <f aca="false">Raw_Donors!C150</f>
        <v>0</v>
      </c>
      <c r="E150" s="9" t="str">
        <f aca="false">IFERROR(IF(Raw_Donors!D150="","Unknown",Raw_Donors!D150),"Unknown")</f>
        <v>Unknown</v>
      </c>
      <c r="F150" s="9" t="str">
        <f aca="false">IFERROR(IF(Raw_Donors!E150="","Unknown",Raw_Donors!E150),"Unknown")</f>
        <v>Male</v>
      </c>
      <c r="G150" s="9" t="str">
        <f aca="false">PROPER(TRIM(Raw_Donors!F150))</f>
        <v>Individual Donor</v>
      </c>
      <c r="H150" s="9" t="str">
        <f aca="false">IFERROR(IF(Raw_Donors!G150="","N",Raw_Donors!G150),"N")</f>
        <v>N</v>
      </c>
      <c r="I150" s="9" t="str">
        <f aca="false">IF(Raw_Donors!H150="","Not Rated",Raw_Donors!H150)</f>
        <v>Not Rated</v>
      </c>
      <c r="J150" s="9" t="str">
        <f aca="false">IF(TRIM(Raw_Donors!I150)="","Unknown",TRIM(Raw_Donors!I150))</f>
        <v>HOME</v>
      </c>
      <c r="K150" s="9" t="str">
        <f aca="false">Raw_Donors!J150</f>
        <v>N</v>
      </c>
      <c r="L150" s="9" t="n">
        <f aca="false">Raw_Donors!K150</f>
        <v>2</v>
      </c>
      <c r="M150" s="10" t="n">
        <f aca="false">IFERROR(VALUE(SUBSTITUTE(SUBSTITUTE(Raw_Donors!L150,"$",""),",","")),0)</f>
        <v>0</v>
      </c>
      <c r="N150" s="10" t="n">
        <f aca="false">IFERROR(VALUE(SUBSTITUTE(SUBSTITUTE(Raw_Donors!M150,"$",""),",","")),0)</f>
        <v>0</v>
      </c>
      <c r="O150" s="10" t="n">
        <f aca="false">IFERROR(VALUE(SUBSTITUTE(SUBSTITUTE(Raw_Donors!N150,"$",""),",","")),0)</f>
        <v>0</v>
      </c>
      <c r="P150" s="10" t="n">
        <f aca="false">IFERROR(VALUE(SUBSTITUTE(SUBSTITUTE(Raw_Donors!O150,"$",""),",","")),0)</f>
        <v>0</v>
      </c>
      <c r="Q150" s="10" t="n">
        <f aca="false">IFERROR(VALUE(SUBSTITUTE(SUBSTITUTE(Raw_Donors!P150,"$",""),",","")),0)</f>
        <v>0</v>
      </c>
      <c r="R150" s="10" t="n">
        <f aca="false">Raw_Donors!Q150</f>
        <v>180</v>
      </c>
      <c r="S150" s="9" t="str">
        <f aca="false">Raw_Donors!R150</f>
        <v>Y</v>
      </c>
      <c r="T150" s="9" t="str">
        <f aca="false">IF(Raw_Donors!S150="","",Raw_Donors!S150)</f>
        <v/>
      </c>
      <c r="U150" s="9" t="str">
        <f aca="false">IF(AND((O150+P150)&gt;0,Q150=0),"Lapsed - Follow Up","")</f>
        <v/>
      </c>
      <c r="V150" s="9" t="n">
        <f aca="false">RANK(R150,$R$2:$R$759)+COUNTIF($R$2:R150,R150)-1</f>
        <v>211</v>
      </c>
      <c r="W150" s="9" t="str">
        <f aca="false">IF(U150="Lapsed - Follow Up",COUNTIF($U$2:U150,"Lapsed - Follow Up"),"")</f>
        <v/>
      </c>
    </row>
    <row r="151" customFormat="false" ht="15" hidden="false" customHeight="true" outlineLevel="0" collapsed="false">
      <c r="A151" s="9" t="str">
        <f aca="false">Raw_Donors!A151</f>
        <v>D1149</v>
      </c>
      <c r="B151" s="9" t="str">
        <f aca="false">IF(ISNUMBER(SEARCH("-DUP",A151)),"Duplicate ID","")</f>
        <v/>
      </c>
      <c r="C151" s="9" t="n">
        <f aca="false">Raw_Donors!B151</f>
        <v>14486</v>
      </c>
      <c r="D151" s="9" t="n">
        <f aca="false">Raw_Donors!C151</f>
        <v>0</v>
      </c>
      <c r="E151" s="9" t="str">
        <f aca="false">IFERROR(IF(Raw_Donors!D151="","Unknown",Raw_Donors!D151),"Unknown")</f>
        <v>Single</v>
      </c>
      <c r="F151" s="9" t="str">
        <f aca="false">IFERROR(IF(Raw_Donors!E151="","Unknown",Raw_Donors!E151),"Unknown")</f>
        <v>Uknown</v>
      </c>
      <c r="G151" s="9" t="str">
        <f aca="false">PROPER(TRIM(Raw_Donors!F151))</f>
        <v>Individual Donor</v>
      </c>
      <c r="H151" s="9" t="str">
        <f aca="false">IFERROR(IF(Raw_Donors!G151="","N",Raw_Donors!G151),"N")</f>
        <v>Y</v>
      </c>
      <c r="I151" s="9" t="str">
        <f aca="false">IF(Raw_Donors!H151="","Not Rated",Raw_Donors!H151)</f>
        <v>Not Rated</v>
      </c>
      <c r="J151" s="9" t="str">
        <f aca="false">IF(TRIM(Raw_Donors!I151)="","Unknown",TRIM(Raw_Donors!I151))</f>
        <v>HOME</v>
      </c>
      <c r="K151" s="9" t="str">
        <f aca="false">Raw_Donors!J151</f>
        <v>N</v>
      </c>
      <c r="L151" s="9" t="n">
        <f aca="false">Raw_Donors!K151</f>
        <v>0</v>
      </c>
      <c r="M151" s="10" t="n">
        <f aca="false">IFERROR(VALUE(SUBSTITUTE(SUBSTITUTE(Raw_Donors!L151,"$",""),",","")),0)</f>
        <v>0</v>
      </c>
      <c r="N151" s="10" t="n">
        <f aca="false">IFERROR(VALUE(SUBSTITUTE(SUBSTITUTE(Raw_Donors!M151,"$",""),",","")),0)</f>
        <v>0</v>
      </c>
      <c r="O151" s="10" t="n">
        <f aca="false">IFERROR(VALUE(SUBSTITUTE(SUBSTITUTE(Raw_Donors!N151,"$",""),",","")),0)</f>
        <v>0</v>
      </c>
      <c r="P151" s="10" t="n">
        <f aca="false">IFERROR(VALUE(SUBSTITUTE(SUBSTITUTE(Raw_Donors!O151,"$",""),",","")),0)</f>
        <v>0</v>
      </c>
      <c r="Q151" s="10" t="n">
        <f aca="false">IFERROR(VALUE(SUBSTITUTE(SUBSTITUTE(Raw_Donors!P151,"$",""),",","")),0)</f>
        <v>0</v>
      </c>
      <c r="R151" s="10" t="n">
        <f aca="false">Raw_Donors!Q151</f>
        <v>25</v>
      </c>
      <c r="S151" s="9" t="str">
        <f aca="false">Raw_Donors!R151</f>
        <v>Y</v>
      </c>
      <c r="T151" s="9" t="str">
        <f aca="false">IF(Raw_Donors!S151="","",Raw_Donors!S151)</f>
        <v/>
      </c>
      <c r="U151" s="9" t="str">
        <f aca="false">IF(AND((O151+P151)&gt;0,Q151=0),"Lapsed - Follow Up","")</f>
        <v/>
      </c>
      <c r="V151" s="9" t="n">
        <f aca="false">RANK(R151,$R$2:$R$759)+COUNTIF($R$2:R151,R151)-1</f>
        <v>435</v>
      </c>
      <c r="W151" s="9" t="str">
        <f aca="false">IF(U151="Lapsed - Follow Up",COUNTIF($U$2:U151,"Lapsed - Follow Up"),"")</f>
        <v/>
      </c>
    </row>
    <row r="152" customFormat="false" ht="15" hidden="false" customHeight="true" outlineLevel="0" collapsed="false">
      <c r="A152" s="9" t="str">
        <f aca="false">Raw_Donors!A152</f>
        <v>D1150</v>
      </c>
      <c r="B152" s="9" t="str">
        <f aca="false">IF(ISNUMBER(SEARCH("-DUP",A152)),"Duplicate ID","")</f>
        <v/>
      </c>
      <c r="C152" s="9" t="n">
        <f aca="false">Raw_Donors!B152</f>
        <v>72641</v>
      </c>
      <c r="D152" s="9" t="n">
        <f aca="false">Raw_Donors!C152</f>
        <v>0</v>
      </c>
      <c r="E152" s="9" t="str">
        <f aca="false">IFERROR(IF(Raw_Donors!D152="","Unknown",Raw_Donors!D152),"Unknown")</f>
        <v>Unknown</v>
      </c>
      <c r="F152" s="9" t="str">
        <f aca="false">IFERROR(IF(Raw_Donors!E152="","Unknown",Raw_Donors!E152),"Unknown")</f>
        <v>Female</v>
      </c>
      <c r="G152" s="9" t="str">
        <f aca="false">PROPER(TRIM(Raw_Donors!F152))</f>
        <v>Individual Donor</v>
      </c>
      <c r="H152" s="9" t="str">
        <f aca="false">IFERROR(IF(Raw_Donors!G152="","N",Raw_Donors!G152),"N")</f>
        <v>N</v>
      </c>
      <c r="I152" s="9" t="str">
        <f aca="false">IF(Raw_Donors!H152="","Not Rated",Raw_Donors!H152)</f>
        <v>$250,000-$499,999</v>
      </c>
      <c r="J152" s="9" t="str">
        <f aca="false">IF(TRIM(Raw_Donors!I152)="","Unknown",TRIM(Raw_Donors!I152))</f>
        <v>BUSN</v>
      </c>
      <c r="K152" s="9" t="str">
        <f aca="false">Raw_Donors!J152</f>
        <v>N</v>
      </c>
      <c r="L152" s="9" t="n">
        <f aca="false">Raw_Donors!K152</f>
        <v>1</v>
      </c>
      <c r="M152" s="10" t="n">
        <f aca="false">IFERROR(VALUE(SUBSTITUTE(SUBSTITUTE(Raw_Donors!L152,"$",""),",","")),0)</f>
        <v>0</v>
      </c>
      <c r="N152" s="10" t="n">
        <f aca="false">IFERROR(VALUE(SUBSTITUTE(SUBSTITUTE(Raw_Donors!M152,"$",""),",","")),0)</f>
        <v>0</v>
      </c>
      <c r="O152" s="10" t="n">
        <f aca="false">IFERROR(VALUE(SUBSTITUTE(SUBSTITUTE(Raw_Donors!N152,"$",""),",","")),0)</f>
        <v>0</v>
      </c>
      <c r="P152" s="10" t="n">
        <f aca="false">IFERROR(VALUE(SUBSTITUTE(SUBSTITUTE(Raw_Donors!O152,"$",""),",","")),0)</f>
        <v>0</v>
      </c>
      <c r="Q152" s="10" t="n">
        <f aca="false">IFERROR(VALUE(SUBSTITUTE(SUBSTITUTE(Raw_Donors!P152,"$",""),",","")),0)</f>
        <v>0</v>
      </c>
      <c r="R152" s="10" t="n">
        <f aca="false">Raw_Donors!Q152</f>
        <v>0</v>
      </c>
      <c r="S152" s="9" t="str">
        <f aca="false">Raw_Donors!R152</f>
        <v>N</v>
      </c>
      <c r="T152" s="9" t="str">
        <f aca="false">IF(Raw_Donors!S152="","",Raw_Donors!S152)</f>
        <v/>
      </c>
      <c r="U152" s="9" t="str">
        <f aca="false">IF(AND((O152+P152)&gt;0,Q152=0),"Lapsed - Follow Up","")</f>
        <v/>
      </c>
      <c r="V152" s="9" t="n">
        <f aca="false">RANK(R152,$R$2:$R$759)+COUNTIF($R$2:R152,R152)-1</f>
        <v>599</v>
      </c>
      <c r="W152" s="9" t="str">
        <f aca="false">IF(U152="Lapsed - Follow Up",COUNTIF($U$2:U152,"Lapsed - Follow Up"),"")</f>
        <v/>
      </c>
    </row>
    <row r="153" customFormat="false" ht="15" hidden="false" customHeight="true" outlineLevel="0" collapsed="false">
      <c r="A153" s="9" t="str">
        <f aca="false">Raw_Donors!A153</f>
        <v>D1151</v>
      </c>
      <c r="B153" s="9" t="str">
        <f aca="false">IF(ISNUMBER(SEARCH("-DUP",A153)),"Duplicate ID","")</f>
        <v/>
      </c>
      <c r="C153" s="9" t="n">
        <f aca="false">Raw_Donors!B153</f>
        <v>27543</v>
      </c>
      <c r="D153" s="9" t="n">
        <f aca="false">Raw_Donors!C153</f>
        <v>0</v>
      </c>
      <c r="E153" s="9" t="str">
        <f aca="false">IFERROR(IF(Raw_Donors!D153="","Unknown",Raw_Donors!D153),"Unknown")</f>
        <v>Married</v>
      </c>
      <c r="F153" s="9" t="str">
        <f aca="false">IFERROR(IF(Raw_Donors!E153="","Unknown",Raw_Donors!E153),"Unknown")</f>
        <v>Female</v>
      </c>
      <c r="G153" s="9" t="str">
        <f aca="false">PROPER(TRIM(Raw_Donors!F153))</f>
        <v>Individual Donor</v>
      </c>
      <c r="H153" s="9" t="str">
        <f aca="false">IFERROR(IF(Raw_Donors!G153="","N",Raw_Donors!G153),"N")</f>
        <v>N</v>
      </c>
      <c r="I153" s="9" t="str">
        <f aca="false">IF(Raw_Donors!H153="","Not Rated",Raw_Donors!H153)</f>
        <v>Not Rated</v>
      </c>
      <c r="J153" s="9" t="str">
        <f aca="false">IF(TRIM(Raw_Donors!I153)="","Unknown",TRIM(Raw_Donors!I153))</f>
        <v>HOME</v>
      </c>
      <c r="K153" s="9" t="str">
        <f aca="false">Raw_Donors!J153</f>
        <v>N</v>
      </c>
      <c r="L153" s="9" t="n">
        <f aca="false">Raw_Donors!K153</f>
        <v>1</v>
      </c>
      <c r="M153" s="10" t="n">
        <f aca="false">IFERROR(VALUE(SUBSTITUTE(SUBSTITUTE(Raw_Donors!L153,"$",""),",","")),0)</f>
        <v>0</v>
      </c>
      <c r="N153" s="10" t="n">
        <f aca="false">IFERROR(VALUE(SUBSTITUTE(SUBSTITUTE(Raw_Donors!M153,"$",""),",","")),0)</f>
        <v>0</v>
      </c>
      <c r="O153" s="10" t="n">
        <f aca="false">IFERROR(VALUE(SUBSTITUTE(SUBSTITUTE(Raw_Donors!N153,"$",""),",","")),0)</f>
        <v>0</v>
      </c>
      <c r="P153" s="10" t="n">
        <f aca="false">IFERROR(VALUE(SUBSTITUTE(SUBSTITUTE(Raw_Donors!O153,"$",""),",","")),0)</f>
        <v>0</v>
      </c>
      <c r="Q153" s="10" t="n">
        <f aca="false">IFERROR(VALUE(SUBSTITUTE(SUBSTITUTE(Raw_Donors!P153,"$",""),",","")),0)</f>
        <v>0</v>
      </c>
      <c r="R153" s="10" t="n">
        <f aca="false">Raw_Donors!Q153</f>
        <v>0</v>
      </c>
      <c r="S153" s="9" t="str">
        <f aca="false">Raw_Donors!R153</f>
        <v>N</v>
      </c>
      <c r="T153" s="9" t="str">
        <f aca="false">IF(Raw_Donors!S153="","",Raw_Donors!S153)</f>
        <v/>
      </c>
      <c r="U153" s="9" t="str">
        <f aca="false">IF(AND((O153+P153)&gt;0,Q153=0),"Lapsed - Follow Up","")</f>
        <v/>
      </c>
      <c r="V153" s="9" t="n">
        <f aca="false">RANK(R153,$R$2:$R$759)+COUNTIF($R$2:R153,R153)-1</f>
        <v>600</v>
      </c>
      <c r="W153" s="9" t="str">
        <f aca="false">IF(U153="Lapsed - Follow Up",COUNTIF($U$2:U153,"Lapsed - Follow Up"),"")</f>
        <v/>
      </c>
    </row>
    <row r="154" customFormat="false" ht="15" hidden="false" customHeight="true" outlineLevel="0" collapsed="false">
      <c r="A154" s="9" t="str">
        <f aca="false">Raw_Donors!A154</f>
        <v>D1152</v>
      </c>
      <c r="B154" s="9" t="str">
        <f aca="false">IF(ISNUMBER(SEARCH("-DUP",A154)),"Duplicate ID","")</f>
        <v/>
      </c>
      <c r="C154" s="9" t="n">
        <f aca="false">Raw_Donors!B154</f>
        <v>11713</v>
      </c>
      <c r="D154" s="9" t="n">
        <f aca="false">Raw_Donors!C154</f>
        <v>0</v>
      </c>
      <c r="E154" s="9" t="str">
        <f aca="false">IFERROR(IF(Raw_Donors!D154="","Unknown",Raw_Donors!D154),"Unknown")</f>
        <v>Unknown</v>
      </c>
      <c r="F154" s="9" t="str">
        <f aca="false">IFERROR(IF(Raw_Donors!E154="","Unknown",Raw_Donors!E154),"Unknown")</f>
        <v>Female</v>
      </c>
      <c r="G154" s="9" t="str">
        <f aca="false">PROPER(TRIM(Raw_Donors!F154))</f>
        <v>Individual Donor</v>
      </c>
      <c r="H154" s="9" t="str">
        <f aca="false">IFERROR(IF(Raw_Donors!G154="","N",Raw_Donors!G154),"N")</f>
        <v>N</v>
      </c>
      <c r="I154" s="9" t="str">
        <f aca="false">IF(Raw_Donors!H154="","Not Rated",Raw_Donors!H154)</f>
        <v>Not Rated</v>
      </c>
      <c r="J154" s="9" t="str">
        <f aca="false">IF(TRIM(Raw_Donors!I154)="","Unknown",TRIM(Raw_Donors!I154))</f>
        <v>HOME</v>
      </c>
      <c r="K154" s="9" t="str">
        <f aca="false">Raw_Donors!J154</f>
        <v>N</v>
      </c>
      <c r="L154" s="9" t="n">
        <f aca="false">Raw_Donors!K154</f>
        <v>1</v>
      </c>
      <c r="M154" s="10" t="n">
        <f aca="false">IFERROR(VALUE(SUBSTITUTE(SUBSTITUTE(Raw_Donors!L154,"$",""),",","")),0)</f>
        <v>0</v>
      </c>
      <c r="N154" s="10" t="n">
        <f aca="false">IFERROR(VALUE(SUBSTITUTE(SUBSTITUTE(Raw_Donors!M154,"$",""),",","")),0)</f>
        <v>0</v>
      </c>
      <c r="O154" s="10" t="n">
        <f aca="false">IFERROR(VALUE(SUBSTITUTE(SUBSTITUTE(Raw_Donors!N154,"$",""),",","")),0)</f>
        <v>0</v>
      </c>
      <c r="P154" s="10" t="n">
        <f aca="false">IFERROR(VALUE(SUBSTITUTE(SUBSTITUTE(Raw_Donors!O154,"$",""),",","")),0)</f>
        <v>0</v>
      </c>
      <c r="Q154" s="10" t="n">
        <f aca="false">IFERROR(VALUE(SUBSTITUTE(SUBSTITUTE(Raw_Donors!P154,"$",""),",","")),0)</f>
        <v>0</v>
      </c>
      <c r="R154" s="10" t="n">
        <f aca="false">Raw_Donors!Q154</f>
        <v>0</v>
      </c>
      <c r="S154" s="9" t="str">
        <f aca="false">Raw_Donors!R154</f>
        <v>N</v>
      </c>
      <c r="T154" s="9" t="str">
        <f aca="false">IF(Raw_Donors!S154="","",Raw_Donors!S154)</f>
        <v/>
      </c>
      <c r="U154" s="9" t="str">
        <f aca="false">IF(AND((O154+P154)&gt;0,Q154=0),"Lapsed - Follow Up","")</f>
        <v/>
      </c>
      <c r="V154" s="9" t="n">
        <f aca="false">RANK(R154,$R$2:$R$759)+COUNTIF($R$2:R154,R154)-1</f>
        <v>601</v>
      </c>
      <c r="W154" s="9" t="str">
        <f aca="false">IF(U154="Lapsed - Follow Up",COUNTIF($U$2:U154,"Lapsed - Follow Up"),"")</f>
        <v/>
      </c>
    </row>
    <row r="155" customFormat="false" ht="15" hidden="false" customHeight="true" outlineLevel="0" collapsed="false">
      <c r="A155" s="9" t="str">
        <f aca="false">Raw_Donors!A155</f>
        <v>D1153</v>
      </c>
      <c r="B155" s="9" t="str">
        <f aca="false">IF(ISNUMBER(SEARCH("-DUP",A155)),"Duplicate ID","")</f>
        <v/>
      </c>
      <c r="C155" s="9" t="n">
        <f aca="false">Raw_Donors!B155</f>
        <v>52040</v>
      </c>
      <c r="D155" s="9" t="n">
        <f aca="false">Raw_Donors!C155</f>
        <v>0</v>
      </c>
      <c r="E155" s="9" t="str">
        <f aca="false">IFERROR(IF(Raw_Donors!D155="","Unknown",Raw_Donors!D155),"Unknown")</f>
        <v>Unknown</v>
      </c>
      <c r="F155" s="9" t="str">
        <f aca="false">IFERROR(IF(Raw_Donors!E155="","Unknown",Raw_Donors!E155),"Unknown")</f>
        <v>Male</v>
      </c>
      <c r="G155" s="9" t="str">
        <f aca="false">PROPER(TRIM(Raw_Donors!F155))</f>
        <v>Individual Donor</v>
      </c>
      <c r="H155" s="9" t="str">
        <f aca="false">IFERROR(IF(Raw_Donors!G155="","N",Raw_Donors!G155),"N")</f>
        <v>N</v>
      </c>
      <c r="I155" s="9" t="str">
        <f aca="false">IF(Raw_Donors!H155="","Not Rated",Raw_Donors!H155)</f>
        <v>Not Rated</v>
      </c>
      <c r="J155" s="9" t="str">
        <f aca="false">IF(TRIM(Raw_Donors!I155)="","Unknown",TRIM(Raw_Donors!I155))</f>
        <v>HOME</v>
      </c>
      <c r="K155" s="9" t="str">
        <f aca="false">Raw_Donors!J155</f>
        <v>N</v>
      </c>
      <c r="L155" s="9" t="n">
        <f aca="false">Raw_Donors!K155</f>
        <v>1</v>
      </c>
      <c r="M155" s="10" t="n">
        <f aca="false">IFERROR(VALUE(SUBSTITUTE(SUBSTITUTE(Raw_Donors!L155,"$",""),",","")),0)</f>
        <v>0</v>
      </c>
      <c r="N155" s="10" t="n">
        <f aca="false">IFERROR(VALUE(SUBSTITUTE(SUBSTITUTE(Raw_Donors!M155,"$",""),",","")),0)</f>
        <v>0</v>
      </c>
      <c r="O155" s="10" t="n">
        <f aca="false">IFERROR(VALUE(SUBSTITUTE(SUBSTITUTE(Raw_Donors!N155,"$",""),",","")),0)</f>
        <v>50</v>
      </c>
      <c r="P155" s="10" t="n">
        <f aca="false">IFERROR(VALUE(SUBSTITUTE(SUBSTITUTE(Raw_Donors!O155,"$",""),",","")),0)</f>
        <v>0</v>
      </c>
      <c r="Q155" s="10" t="n">
        <f aca="false">IFERROR(VALUE(SUBSTITUTE(SUBSTITUTE(Raw_Donors!P155,"$",""),",","")),0)</f>
        <v>0</v>
      </c>
      <c r="R155" s="10" t="n">
        <f aca="false">Raw_Donors!Q155</f>
        <v>250</v>
      </c>
      <c r="S155" s="9" t="str">
        <f aca="false">Raw_Donors!R155</f>
        <v>Y</v>
      </c>
      <c r="T155" s="9" t="str">
        <f aca="false">IF(Raw_Donors!S155="","",Raw_Donors!S155)</f>
        <v/>
      </c>
      <c r="U155" s="9" t="str">
        <f aca="false">IF(AND((O155+P155)&gt;0,Q155=0),"Lapsed - Follow Up","")</f>
        <v>Lapsed - Follow Up</v>
      </c>
      <c r="V155" s="9" t="n">
        <f aca="false">RANK(R155,$R$2:$R$759)+COUNTIF($R$2:R155,R155)-1</f>
        <v>165</v>
      </c>
      <c r="W155" s="9" t="n">
        <f aca="false">IF(U155="Lapsed - Follow Up",COUNTIF($U$2:U155,"Lapsed - Follow Up"),"")</f>
        <v>28</v>
      </c>
    </row>
    <row r="156" customFormat="false" ht="15" hidden="false" customHeight="true" outlineLevel="0" collapsed="false">
      <c r="A156" s="9" t="str">
        <f aca="false">Raw_Donors!A156</f>
        <v>D1154</v>
      </c>
      <c r="B156" s="9" t="str">
        <f aca="false">IF(ISNUMBER(SEARCH("-DUP",A156)),"Duplicate ID","")</f>
        <v/>
      </c>
      <c r="C156" s="9" t="n">
        <f aca="false">Raw_Donors!B156</f>
        <v>38040</v>
      </c>
      <c r="D156" s="9" t="n">
        <f aca="false">Raw_Donors!C156</f>
        <v>0</v>
      </c>
      <c r="E156" s="9" t="str">
        <f aca="false">IFERROR(IF(Raw_Donors!D156="","Unknown",Raw_Donors!D156),"Unknown")</f>
        <v>Unknown</v>
      </c>
      <c r="F156" s="9" t="str">
        <f aca="false">IFERROR(IF(Raw_Donors!E156="","Unknown",Raw_Donors!E156),"Unknown")</f>
        <v>Male</v>
      </c>
      <c r="G156" s="9" t="str">
        <f aca="false">PROPER(TRIM(Raw_Donors!F156))</f>
        <v>Individual Donor</v>
      </c>
      <c r="H156" s="9" t="str">
        <f aca="false">IFERROR(IF(Raw_Donors!G156="","N",Raw_Donors!G156),"N")</f>
        <v>N</v>
      </c>
      <c r="I156" s="9" t="str">
        <f aca="false">IF(Raw_Donors!H156="","Not Rated",Raw_Donors!H156)</f>
        <v>Not Rated</v>
      </c>
      <c r="J156" s="9" t="str">
        <f aca="false">IF(TRIM(Raw_Donors!I156)="","Unknown",TRIM(Raw_Donors!I156))</f>
        <v>HOME</v>
      </c>
      <c r="K156" s="9" t="str">
        <f aca="false">Raw_Donors!J156</f>
        <v>N</v>
      </c>
      <c r="L156" s="9" t="n">
        <f aca="false">Raw_Donors!K156</f>
        <v>0</v>
      </c>
      <c r="M156" s="10" t="n">
        <f aca="false">IFERROR(VALUE(SUBSTITUTE(SUBSTITUTE(Raw_Donors!L156,"$",""),",","")),0)</f>
        <v>0</v>
      </c>
      <c r="N156" s="10" t="n">
        <f aca="false">IFERROR(VALUE(SUBSTITUTE(SUBSTITUTE(Raw_Donors!M156,"$",""),",","")),0)</f>
        <v>100</v>
      </c>
      <c r="O156" s="10" t="n">
        <f aca="false">IFERROR(VALUE(SUBSTITUTE(SUBSTITUTE(Raw_Donors!N156,"$",""),",","")),0)</f>
        <v>0</v>
      </c>
      <c r="P156" s="10" t="n">
        <f aca="false">IFERROR(VALUE(SUBSTITUTE(SUBSTITUTE(Raw_Donors!O156,"$",""),",","")),0)</f>
        <v>0</v>
      </c>
      <c r="Q156" s="10" t="n">
        <f aca="false">IFERROR(VALUE(SUBSTITUTE(SUBSTITUTE(Raw_Donors!P156,"$",""),",","")),0)</f>
        <v>0</v>
      </c>
      <c r="R156" s="10" t="n">
        <f aca="false">Raw_Donors!Q156</f>
        <v>100</v>
      </c>
      <c r="S156" s="9" t="str">
        <f aca="false">Raw_Donors!R156</f>
        <v>Y</v>
      </c>
      <c r="T156" s="9" t="str">
        <f aca="false">IF(Raw_Donors!S156="","",Raw_Donors!S156)</f>
        <v/>
      </c>
      <c r="U156" s="9" t="str">
        <f aca="false">IF(AND((O156+P156)&gt;0,Q156=0),"Lapsed - Follow Up","")</f>
        <v/>
      </c>
      <c r="V156" s="9" t="n">
        <f aca="false">RANK(R156,$R$2:$R$759)+COUNTIF($R$2:R156,R156)-1</f>
        <v>277</v>
      </c>
      <c r="W156" s="9" t="str">
        <f aca="false">IF(U156="Lapsed - Follow Up",COUNTIF($U$2:U156,"Lapsed - Follow Up"),"")</f>
        <v/>
      </c>
    </row>
    <row r="157" customFormat="false" ht="15" hidden="false" customHeight="true" outlineLevel="0" collapsed="false">
      <c r="A157" s="9" t="str">
        <f aca="false">Raw_Donors!A157</f>
        <v>D1155</v>
      </c>
      <c r="B157" s="9" t="str">
        <f aca="false">IF(ISNUMBER(SEARCH("-DUP",A157)),"Duplicate ID","")</f>
        <v/>
      </c>
      <c r="C157" s="9" t="n">
        <f aca="false">Raw_Donors!B157</f>
        <v>58074</v>
      </c>
      <c r="D157" s="9" t="n">
        <f aca="false">Raw_Donors!C157</f>
        <v>32</v>
      </c>
      <c r="E157" s="9" t="str">
        <f aca="false">IFERROR(IF(Raw_Donors!D157="","Unknown",Raw_Donors!D157),"Unknown")</f>
        <v>Unknown</v>
      </c>
      <c r="F157" s="9" t="str">
        <f aca="false">IFERROR(IF(Raw_Donors!E157="","Unknown",Raw_Donors!E157),"Unknown")</f>
        <v>Male</v>
      </c>
      <c r="G157" s="9" t="str">
        <f aca="false">PROPER(TRIM(Raw_Donors!F157))</f>
        <v>Community Partner</v>
      </c>
      <c r="H157" s="9" t="str">
        <f aca="false">IFERROR(IF(Raw_Donors!G157="","N",Raw_Donors!G157),"N")</f>
        <v>Y</v>
      </c>
      <c r="I157" s="9" t="str">
        <f aca="false">IF(Raw_Donors!H157="","Not Rated",Raw_Donors!H157)</f>
        <v>Not Rated</v>
      </c>
      <c r="J157" s="9" t="str">
        <f aca="false">IF(TRIM(Raw_Donors!I157)="","Unknown",TRIM(Raw_Donors!I157))</f>
        <v>HOME</v>
      </c>
      <c r="K157" s="9" t="str">
        <f aca="false">Raw_Donors!J157</f>
        <v>Y</v>
      </c>
      <c r="L157" s="9" t="n">
        <f aca="false">Raw_Donors!K157</f>
        <v>1</v>
      </c>
      <c r="M157" s="10" t="n">
        <f aca="false">IFERROR(VALUE(SUBSTITUTE(SUBSTITUTE(Raw_Donors!L157,"$",""),",","")),0)</f>
        <v>10</v>
      </c>
      <c r="N157" s="10" t="n">
        <f aca="false">IFERROR(VALUE(SUBSTITUTE(SUBSTITUTE(Raw_Donors!M157,"$",""),",","")),0)</f>
        <v>0</v>
      </c>
      <c r="O157" s="10" t="n">
        <f aca="false">IFERROR(VALUE(SUBSTITUTE(SUBSTITUTE(Raw_Donors!N157,"$",""),",","")),0)</f>
        <v>0</v>
      </c>
      <c r="P157" s="10" t="n">
        <f aca="false">IFERROR(VALUE(SUBSTITUTE(SUBSTITUTE(Raw_Donors!O157,"$",""),",","")),0)</f>
        <v>0</v>
      </c>
      <c r="Q157" s="10" t="n">
        <f aca="false">IFERROR(VALUE(SUBSTITUTE(SUBSTITUTE(Raw_Donors!P157,"$",""),",","")),0)</f>
        <v>0</v>
      </c>
      <c r="R157" s="10" t="n">
        <f aca="false">Raw_Donors!Q157</f>
        <v>10</v>
      </c>
      <c r="S157" s="9" t="str">
        <f aca="false">Raw_Donors!R157</f>
        <v>Y</v>
      </c>
      <c r="T157" s="9" t="str">
        <f aca="false">IF(Raw_Donors!S157="","",Raw_Donors!S157)</f>
        <v>1985-06-08</v>
      </c>
      <c r="U157" s="9" t="str">
        <f aca="false">IF(AND((O157+P157)&gt;0,Q157=0),"Lapsed - Follow Up","")</f>
        <v/>
      </c>
      <c r="V157" s="9" t="n">
        <f aca="false">RANK(R157,$R$2:$R$759)+COUNTIF($R$2:R157,R157)-1</f>
        <v>495</v>
      </c>
      <c r="W157" s="9" t="str">
        <f aca="false">IF(U157="Lapsed - Follow Up",COUNTIF($U$2:U157,"Lapsed - Follow Up"),"")</f>
        <v/>
      </c>
    </row>
    <row r="158" customFormat="false" ht="15" hidden="false" customHeight="true" outlineLevel="0" collapsed="false">
      <c r="A158" s="9" t="str">
        <f aca="false">Raw_Donors!A158</f>
        <v>D1156</v>
      </c>
      <c r="B158" s="9" t="str">
        <f aca="false">IF(ISNUMBER(SEARCH("-DUP",A158)),"Duplicate ID","")</f>
        <v/>
      </c>
      <c r="C158" s="9" t="n">
        <f aca="false">Raw_Donors!B158</f>
        <v>44233</v>
      </c>
      <c r="D158" s="9" t="n">
        <f aca="false">Raw_Donors!C158</f>
        <v>31</v>
      </c>
      <c r="E158" s="9" t="str">
        <f aca="false">IFERROR(IF(Raw_Donors!D158="","Unknown",Raw_Donors!D158),"Unknown")</f>
        <v>Unknown</v>
      </c>
      <c r="F158" s="9" t="str">
        <f aca="false">IFERROR(IF(Raw_Donors!E158="","Unknown",Raw_Donors!E158),"Unknown")</f>
        <v>Female</v>
      </c>
      <c r="G158" s="9" t="str">
        <f aca="false">PROPER(TRIM(Raw_Donors!F158))</f>
        <v>Individual Donor</v>
      </c>
      <c r="H158" s="9" t="str">
        <f aca="false">IFERROR(IF(Raw_Donors!G158="","N",Raw_Donors!G158),"N")</f>
        <v>N</v>
      </c>
      <c r="I158" s="9" t="str">
        <f aca="false">IF(Raw_Donors!H158="","Not Rated",Raw_Donors!H158)</f>
        <v>Not Rated</v>
      </c>
      <c r="J158" s="9" t="str">
        <f aca="false">IF(TRIM(Raw_Donors!I158)="","Unknown",TRIM(Raw_Donors!I158))</f>
        <v>HOME</v>
      </c>
      <c r="K158" s="9" t="str">
        <f aca="false">Raw_Donors!J158</f>
        <v>N</v>
      </c>
      <c r="L158" s="9" t="n">
        <f aca="false">Raw_Donors!K158</f>
        <v>0</v>
      </c>
      <c r="M158" s="10" t="n">
        <f aca="false">IFERROR(VALUE(SUBSTITUTE(SUBSTITUTE(Raw_Donors!L158,"$",""),",","")),0)</f>
        <v>0</v>
      </c>
      <c r="N158" s="10" t="n">
        <f aca="false">IFERROR(VALUE(SUBSTITUTE(SUBSTITUTE(Raw_Donors!M158,"$",""),",","")),0)</f>
        <v>0</v>
      </c>
      <c r="O158" s="10" t="n">
        <f aca="false">IFERROR(VALUE(SUBSTITUTE(SUBSTITUTE(Raw_Donors!N158,"$",""),",","")),0)</f>
        <v>0</v>
      </c>
      <c r="P158" s="10" t="n">
        <f aca="false">IFERROR(VALUE(SUBSTITUTE(SUBSTITUTE(Raw_Donors!O158,"$",""),",","")),0)</f>
        <v>0</v>
      </c>
      <c r="Q158" s="10" t="n">
        <f aca="false">IFERROR(VALUE(SUBSTITUTE(SUBSTITUTE(Raw_Donors!P158,"$",""),",","")),0)</f>
        <v>0</v>
      </c>
      <c r="R158" s="10" t="n">
        <f aca="false">Raw_Donors!Q158</f>
        <v>450</v>
      </c>
      <c r="S158" s="9" t="str">
        <f aca="false">Raw_Donors!R158</f>
        <v>Y</v>
      </c>
      <c r="T158" s="9" t="str">
        <f aca="false">IF(Raw_Donors!S158="","",Raw_Donors!S158)</f>
        <v>1986-09-10</v>
      </c>
      <c r="U158" s="9" t="str">
        <f aca="false">IF(AND((O158+P158)&gt;0,Q158=0),"Lapsed - Follow Up","")</f>
        <v/>
      </c>
      <c r="V158" s="9" t="n">
        <f aca="false">RANK(R158,$R$2:$R$759)+COUNTIF($R$2:R158,R158)-1</f>
        <v>105</v>
      </c>
      <c r="W158" s="9" t="str">
        <f aca="false">IF(U158="Lapsed - Follow Up",COUNTIF($U$2:U158,"Lapsed - Follow Up"),"")</f>
        <v/>
      </c>
    </row>
    <row r="159" customFormat="false" ht="15" hidden="false" customHeight="true" outlineLevel="0" collapsed="false">
      <c r="A159" s="9" t="str">
        <f aca="false">Raw_Donors!A159</f>
        <v>D1157</v>
      </c>
      <c r="B159" s="9" t="str">
        <f aca="false">IF(ISNUMBER(SEARCH("-DUP",A159)),"Duplicate ID","")</f>
        <v/>
      </c>
      <c r="C159" s="9" t="n">
        <f aca="false">Raw_Donors!B159</f>
        <v>50170</v>
      </c>
      <c r="D159" s="9" t="n">
        <f aca="false">Raw_Donors!C159</f>
        <v>24</v>
      </c>
      <c r="E159" s="9" t="str">
        <f aca="false">IFERROR(IF(Raw_Donors!D159="","Unknown",Raw_Donors!D159),"Unknown")</f>
        <v>Unknown</v>
      </c>
      <c r="F159" s="9" t="str">
        <f aca="false">IFERROR(IF(Raw_Donors!E159="","Unknown",Raw_Donors!E159),"Unknown")</f>
        <v>Male</v>
      </c>
      <c r="G159" s="9" t="str">
        <f aca="false">PROPER(TRIM(Raw_Donors!F159))</f>
        <v>Community Partner</v>
      </c>
      <c r="H159" s="9" t="str">
        <f aca="false">IFERROR(IF(Raw_Donors!G159="","N",Raw_Donors!G159),"N")</f>
        <v>Y</v>
      </c>
      <c r="I159" s="9" t="str">
        <f aca="false">IF(Raw_Donors!H159="","Not Rated",Raw_Donors!H159)</f>
        <v>Not Rated</v>
      </c>
      <c r="J159" s="9" t="str">
        <f aca="false">IF(TRIM(Raw_Donors!I159)="","Unknown",TRIM(Raw_Donors!I159))</f>
        <v>HOME</v>
      </c>
      <c r="K159" s="9" t="str">
        <f aca="false">Raw_Donors!J159</f>
        <v>Y</v>
      </c>
      <c r="L159" s="9" t="n">
        <f aca="false">Raw_Donors!K159</f>
        <v>4</v>
      </c>
      <c r="M159" s="10" t="n">
        <f aca="false">IFERROR(VALUE(SUBSTITUTE(SUBSTITUTE(Raw_Donors!L159,"$",""),",","")),0)</f>
        <v>0</v>
      </c>
      <c r="N159" s="10" t="n">
        <f aca="false">IFERROR(VALUE(SUBSTITUTE(SUBSTITUTE(Raw_Donors!M159,"$",""),",","")),0)</f>
        <v>200</v>
      </c>
      <c r="O159" s="10" t="n">
        <f aca="false">IFERROR(VALUE(SUBSTITUTE(SUBSTITUTE(Raw_Donors!N159,"$",""),",","")),0)</f>
        <v>50</v>
      </c>
      <c r="P159" s="10" t="n">
        <f aca="false">IFERROR(VALUE(SUBSTITUTE(SUBSTITUTE(Raw_Donors!O159,"$",""),",","")),0)</f>
        <v>0</v>
      </c>
      <c r="Q159" s="10" t="n">
        <f aca="false">IFERROR(VALUE(SUBSTITUTE(SUBSTITUTE(Raw_Donors!P159,"$",""),",","")),0)</f>
        <v>0</v>
      </c>
      <c r="R159" s="10" t="n">
        <f aca="false">Raw_Donors!Q159</f>
        <v>270</v>
      </c>
      <c r="S159" s="9" t="str">
        <f aca="false">Raw_Donors!R159</f>
        <v>Y</v>
      </c>
      <c r="T159" s="9" t="str">
        <f aca="false">IF(Raw_Donors!S159="","",Raw_Donors!S159)</f>
        <v>1993-03-11</v>
      </c>
      <c r="U159" s="9" t="str">
        <f aca="false">IF(AND((O159+P159)&gt;0,Q159=0),"Lapsed - Follow Up","")</f>
        <v>Lapsed - Follow Up</v>
      </c>
      <c r="V159" s="9" t="n">
        <f aca="false">RANK(R159,$R$2:$R$759)+COUNTIF($R$2:R159,R159)-1</f>
        <v>150</v>
      </c>
      <c r="W159" s="9" t="n">
        <f aca="false">IF(U159="Lapsed - Follow Up",COUNTIF($U$2:U159,"Lapsed - Follow Up"),"")</f>
        <v>29</v>
      </c>
    </row>
    <row r="160" customFormat="false" ht="15" hidden="false" customHeight="true" outlineLevel="0" collapsed="false">
      <c r="A160" s="9" t="str">
        <f aca="false">Raw_Donors!A160</f>
        <v>D1158</v>
      </c>
      <c r="B160" s="9" t="str">
        <f aca="false">IF(ISNUMBER(SEARCH("-DUP",A160)),"Duplicate ID","")</f>
        <v/>
      </c>
      <c r="C160" s="9" t="n">
        <f aca="false">Raw_Donors!B160</f>
        <v>90265</v>
      </c>
      <c r="D160" s="9" t="n">
        <f aca="false">Raw_Donors!C160</f>
        <v>0</v>
      </c>
      <c r="E160" s="9" t="str">
        <f aca="false">IFERROR(IF(Raw_Donors!D160="","Unknown",Raw_Donors!D160),"Unknown")</f>
        <v>Unknown</v>
      </c>
      <c r="F160" s="9" t="str">
        <f aca="false">IFERROR(IF(Raw_Donors!E160="","Unknown",Raw_Donors!E160),"Unknown")</f>
        <v>Male</v>
      </c>
      <c r="G160" s="9" t="str">
        <f aca="false">PROPER(TRIM(Raw_Donors!F160))</f>
        <v>Individual Donor</v>
      </c>
      <c r="H160" s="9" t="str">
        <f aca="false">IFERROR(IF(Raw_Donors!G160="","N",Raw_Donors!G160),"N")</f>
        <v>N</v>
      </c>
      <c r="I160" s="9" t="str">
        <f aca="false">IF(Raw_Donors!H160="","Not Rated",Raw_Donors!H160)</f>
        <v>Not Rated</v>
      </c>
      <c r="J160" s="9" t="str">
        <f aca="false">IF(TRIM(Raw_Donors!I160)="","Unknown",TRIM(Raw_Donors!I160))</f>
        <v>HOME</v>
      </c>
      <c r="K160" s="9" t="str">
        <f aca="false">Raw_Donors!J160</f>
        <v>N</v>
      </c>
      <c r="L160" s="9" t="n">
        <f aca="false">Raw_Donors!K160</f>
        <v>2</v>
      </c>
      <c r="M160" s="10" t="n">
        <f aca="false">IFERROR(VALUE(SUBSTITUTE(SUBSTITUTE(Raw_Donors!L160,"$",""),",","")),0)</f>
        <v>0</v>
      </c>
      <c r="N160" s="10" t="n">
        <f aca="false">IFERROR(VALUE(SUBSTITUTE(SUBSTITUTE(Raw_Donors!M160,"$",""),",","")),0)</f>
        <v>0</v>
      </c>
      <c r="O160" s="10" t="n">
        <f aca="false">IFERROR(VALUE(SUBSTITUTE(SUBSTITUTE(Raw_Donors!N160,"$",""),",","")),0)</f>
        <v>0</v>
      </c>
      <c r="P160" s="10" t="n">
        <f aca="false">IFERROR(VALUE(SUBSTITUTE(SUBSTITUTE(Raw_Donors!O160,"$",""),",","")),0)</f>
        <v>0</v>
      </c>
      <c r="Q160" s="10" t="n">
        <f aca="false">IFERROR(VALUE(SUBSTITUTE(SUBSTITUTE(Raw_Donors!P160,"$",""),",","")),0)</f>
        <v>0</v>
      </c>
      <c r="R160" s="10" t="n">
        <f aca="false">Raw_Donors!Q160</f>
        <v>105</v>
      </c>
      <c r="S160" s="9" t="str">
        <f aca="false">Raw_Donors!R160</f>
        <v>Y</v>
      </c>
      <c r="T160" s="9" t="str">
        <f aca="false">IF(Raw_Donors!S160="","",Raw_Donors!S160)</f>
        <v/>
      </c>
      <c r="U160" s="9" t="str">
        <f aca="false">IF(AND((O160+P160)&gt;0,Q160=0),"Lapsed - Follow Up","")</f>
        <v/>
      </c>
      <c r="V160" s="9" t="n">
        <f aca="false">RANK(R160,$R$2:$R$759)+COUNTIF($R$2:R160,R160)-1</f>
        <v>266</v>
      </c>
      <c r="W160" s="9" t="str">
        <f aca="false">IF(U160="Lapsed - Follow Up",COUNTIF($U$2:U160,"Lapsed - Follow Up"),"")</f>
        <v/>
      </c>
    </row>
    <row r="161" customFormat="false" ht="15" hidden="false" customHeight="true" outlineLevel="0" collapsed="false">
      <c r="A161" s="9" t="str">
        <f aca="false">Raw_Donors!A161</f>
        <v>D1159</v>
      </c>
      <c r="B161" s="9" t="str">
        <f aca="false">IF(ISNUMBER(SEARCH("-DUP",A161)),"Duplicate ID","")</f>
        <v/>
      </c>
      <c r="C161" s="9" t="n">
        <f aca="false">Raw_Donors!B161</f>
        <v>52154</v>
      </c>
      <c r="D161" s="9" t="n">
        <f aca="false">Raw_Donors!C161</f>
        <v>27</v>
      </c>
      <c r="E161" s="9" t="str">
        <f aca="false">IFERROR(IF(Raw_Donors!D161="","Unknown",Raw_Donors!D161),"Unknown")</f>
        <v>Unknown</v>
      </c>
      <c r="F161" s="9" t="str">
        <f aca="false">IFERROR(IF(Raw_Donors!E161="","Unknown",Raw_Donors!E161),"Unknown")</f>
        <v>Male</v>
      </c>
      <c r="G161" s="9" t="str">
        <f aca="false">PROPER(TRIM(Raw_Donors!F161))</f>
        <v>Community Partner</v>
      </c>
      <c r="H161" s="9" t="str">
        <f aca="false">IFERROR(IF(Raw_Donors!G161="","N",Raw_Donors!G161),"N")</f>
        <v>Y</v>
      </c>
      <c r="I161" s="9" t="str">
        <f aca="false">IF(Raw_Donors!H161="","Not Rated",Raw_Donors!H161)</f>
        <v>Not Rated</v>
      </c>
      <c r="J161" s="9" t="str">
        <f aca="false">IF(TRIM(Raw_Donors!I161)="","Unknown",TRIM(Raw_Donors!I161))</f>
        <v>HOME</v>
      </c>
      <c r="K161" s="9" t="str">
        <f aca="false">Raw_Donors!J161</f>
        <v>Y</v>
      </c>
      <c r="L161" s="9" t="n">
        <f aca="false">Raw_Donors!K161</f>
        <v>0</v>
      </c>
      <c r="M161" s="10" t="n">
        <f aca="false">IFERROR(VALUE(SUBSTITUTE(SUBSTITUTE(Raw_Donors!L161,"$",""),",","")),0)</f>
        <v>0</v>
      </c>
      <c r="N161" s="10" t="n">
        <f aca="false">IFERROR(VALUE(SUBSTITUTE(SUBSTITUTE(Raw_Donors!M161,"$",""),",","")),0)</f>
        <v>0</v>
      </c>
      <c r="O161" s="10" t="n">
        <f aca="false">IFERROR(VALUE(SUBSTITUTE(SUBSTITUTE(Raw_Donors!N161,"$",""),",","")),0)</f>
        <v>0</v>
      </c>
      <c r="P161" s="10" t="n">
        <f aca="false">IFERROR(VALUE(SUBSTITUTE(SUBSTITUTE(Raw_Donors!O161,"$",""),",","")),0)</f>
        <v>0</v>
      </c>
      <c r="Q161" s="10" t="n">
        <f aca="false">IFERROR(VALUE(SUBSTITUTE(SUBSTITUTE(Raw_Donors!P161,"$",""),",","")),0)</f>
        <v>0</v>
      </c>
      <c r="R161" s="10" t="n">
        <f aca="false">Raw_Donors!Q161</f>
        <v>0</v>
      </c>
      <c r="S161" s="9" t="str">
        <f aca="false">Raw_Donors!R161</f>
        <v>N</v>
      </c>
      <c r="T161" s="9" t="str">
        <f aca="false">IF(Raw_Donors!S161="","",Raw_Donors!S161)</f>
        <v>1990-09-14</v>
      </c>
      <c r="U161" s="9" t="str">
        <f aca="false">IF(AND((O161+P161)&gt;0,Q161=0),"Lapsed - Follow Up","")</f>
        <v/>
      </c>
      <c r="V161" s="9" t="n">
        <f aca="false">RANK(R161,$R$2:$R$759)+COUNTIF($R$2:R161,R161)-1</f>
        <v>602</v>
      </c>
      <c r="W161" s="9" t="str">
        <f aca="false">IF(U161="Lapsed - Follow Up",COUNTIF($U$2:U161,"Lapsed - Follow Up"),"")</f>
        <v/>
      </c>
    </row>
    <row r="162" customFormat="false" ht="15" hidden="false" customHeight="true" outlineLevel="0" collapsed="false">
      <c r="A162" s="9" t="str">
        <f aca="false">Raw_Donors!A162</f>
        <v>D1160</v>
      </c>
      <c r="B162" s="9" t="str">
        <f aca="false">IF(ISNUMBER(SEARCH("-DUP",A162)),"Duplicate ID","")</f>
        <v/>
      </c>
      <c r="C162" s="9" t="n">
        <f aca="false">Raw_Donors!B162</f>
        <v>6470</v>
      </c>
      <c r="D162" s="9" t="n">
        <f aca="false">Raw_Donors!C162</f>
        <v>40</v>
      </c>
      <c r="E162" s="9" t="str">
        <f aca="false">IFERROR(IF(Raw_Donors!D162="","Unknown",Raw_Donors!D162),"Unknown")</f>
        <v>Unknown</v>
      </c>
      <c r="F162" s="9" t="str">
        <f aca="false">IFERROR(IF(Raw_Donors!E162="","Unknown",Raw_Donors!E162),"Unknown")</f>
        <v>Female</v>
      </c>
      <c r="G162" s="9" t="str">
        <f aca="false">PROPER(TRIM(Raw_Donors!F162))</f>
        <v>Individual Donor</v>
      </c>
      <c r="H162" s="9" t="str">
        <f aca="false">IFERROR(IF(Raw_Donors!G162="","N",Raw_Donors!G162),"N")</f>
        <v>N</v>
      </c>
      <c r="I162" s="9" t="str">
        <f aca="false">IF(Raw_Donors!H162="","Not Rated",Raw_Donors!H162)</f>
        <v>Not Rated</v>
      </c>
      <c r="J162" s="9" t="str">
        <f aca="false">IF(TRIM(Raw_Donors!I162)="","Unknown",TRIM(Raw_Donors!I162))</f>
        <v>HOME</v>
      </c>
      <c r="K162" s="9" t="str">
        <f aca="false">Raw_Donors!J162</f>
        <v>N</v>
      </c>
      <c r="L162" s="9" t="n">
        <f aca="false">Raw_Donors!K162</f>
        <v>0</v>
      </c>
      <c r="M162" s="10" t="n">
        <f aca="false">IFERROR(VALUE(SUBSTITUTE(SUBSTITUTE(Raw_Donors!L162,"$",""),",","")),0)</f>
        <v>0</v>
      </c>
      <c r="N162" s="10" t="n">
        <f aca="false">IFERROR(VALUE(SUBSTITUTE(SUBSTITUTE(Raw_Donors!M162,"$",""),",","")),0)</f>
        <v>0</v>
      </c>
      <c r="O162" s="10" t="n">
        <f aca="false">IFERROR(VALUE(SUBSTITUTE(SUBSTITUTE(Raw_Donors!N162,"$",""),",","")),0)</f>
        <v>0</v>
      </c>
      <c r="P162" s="10" t="n">
        <f aca="false">IFERROR(VALUE(SUBSTITUTE(SUBSTITUTE(Raw_Donors!O162,"$",""),",","")),0)</f>
        <v>0</v>
      </c>
      <c r="Q162" s="10" t="n">
        <f aca="false">IFERROR(VALUE(SUBSTITUTE(SUBSTITUTE(Raw_Donors!P162,"$",""),",","")),0)</f>
        <v>0</v>
      </c>
      <c r="R162" s="10" t="n">
        <f aca="false">Raw_Donors!Q162</f>
        <v>0</v>
      </c>
      <c r="S162" s="9" t="str">
        <f aca="false">Raw_Donors!R162</f>
        <v>N</v>
      </c>
      <c r="T162" s="9" t="str">
        <f aca="false">IF(Raw_Donors!S162="","",Raw_Donors!S162)</f>
        <v>1977-01-16</v>
      </c>
      <c r="U162" s="9" t="str">
        <f aca="false">IF(AND((O162+P162)&gt;0,Q162=0),"Lapsed - Follow Up","")</f>
        <v/>
      </c>
      <c r="V162" s="9" t="n">
        <f aca="false">RANK(R162,$R$2:$R$759)+COUNTIF($R$2:R162,R162)-1</f>
        <v>603</v>
      </c>
      <c r="W162" s="9" t="str">
        <f aca="false">IF(U162="Lapsed - Follow Up",COUNTIF($U$2:U162,"Lapsed - Follow Up"),"")</f>
        <v/>
      </c>
    </row>
    <row r="163" customFormat="false" ht="15" hidden="false" customHeight="true" outlineLevel="0" collapsed="false">
      <c r="A163" s="9" t="str">
        <f aca="false">Raw_Donors!A163</f>
        <v>D1161</v>
      </c>
      <c r="B163" s="9" t="str">
        <f aca="false">IF(ISNUMBER(SEARCH("-DUP",A163)),"Duplicate ID","")</f>
        <v/>
      </c>
      <c r="C163" s="9" t="n">
        <f aca="false">Raw_Donors!B163</f>
        <v>85027</v>
      </c>
      <c r="D163" s="9" t="n">
        <f aca="false">Raw_Donors!C163</f>
        <v>0</v>
      </c>
      <c r="E163" s="9" t="str">
        <f aca="false">IFERROR(IF(Raw_Donors!D163="","Unknown",Raw_Donors!D163),"Unknown")</f>
        <v>Unknown</v>
      </c>
      <c r="F163" s="9" t="str">
        <f aca="false">IFERROR(IF(Raw_Donors!E163="","Unknown",Raw_Donors!E163),"Unknown")</f>
        <v>Female</v>
      </c>
      <c r="G163" s="9" t="str">
        <f aca="false">PROPER(TRIM(Raw_Donors!F163))</f>
        <v>Individual Donor</v>
      </c>
      <c r="H163" s="9" t="str">
        <f aca="false">IFERROR(IF(Raw_Donors!G163="","N",Raw_Donors!G163),"N")</f>
        <v>N</v>
      </c>
      <c r="I163" s="9" t="str">
        <f aca="false">IF(Raw_Donors!H163="","Not Rated",Raw_Donors!H163)</f>
        <v>Not Rated</v>
      </c>
      <c r="J163" s="9" t="str">
        <f aca="false">IF(TRIM(Raw_Donors!I163)="","Unknown",TRIM(Raw_Donors!I163))</f>
        <v>HOME</v>
      </c>
      <c r="K163" s="9" t="str">
        <f aca="false">Raw_Donors!J163</f>
        <v>Y</v>
      </c>
      <c r="L163" s="9" t="n">
        <f aca="false">Raw_Donors!K163</f>
        <v>1</v>
      </c>
      <c r="M163" s="10" t="n">
        <f aca="false">IFERROR(VALUE(SUBSTITUTE(SUBSTITUTE(Raw_Donors!L163,"$",""),",","")),0)</f>
        <v>0</v>
      </c>
      <c r="N163" s="10" t="n">
        <f aca="false">IFERROR(VALUE(SUBSTITUTE(SUBSTITUTE(Raw_Donors!M163,"$",""),",","")),0)</f>
        <v>0</v>
      </c>
      <c r="O163" s="10" t="n">
        <f aca="false">IFERROR(VALUE(SUBSTITUTE(SUBSTITUTE(Raw_Donors!N163,"$",""),",","")),0)</f>
        <v>0</v>
      </c>
      <c r="P163" s="10" t="n">
        <f aca="false">IFERROR(VALUE(SUBSTITUTE(SUBSTITUTE(Raw_Donors!O163,"$",""),",","")),0)</f>
        <v>0</v>
      </c>
      <c r="Q163" s="10" t="n">
        <f aca="false">IFERROR(VALUE(SUBSTITUTE(SUBSTITUTE(Raw_Donors!P163,"$",""),",","")),0)</f>
        <v>0</v>
      </c>
      <c r="R163" s="10" t="n">
        <f aca="false">Raw_Donors!Q163</f>
        <v>15</v>
      </c>
      <c r="S163" s="9" t="str">
        <f aca="false">Raw_Donors!R163</f>
        <v>Y</v>
      </c>
      <c r="T163" s="9" t="str">
        <f aca="false">IF(Raw_Donors!S163="","",Raw_Donors!S163)</f>
        <v/>
      </c>
      <c r="U163" s="9" t="str">
        <f aca="false">IF(AND((O163+P163)&gt;0,Q163=0),"Lapsed - Follow Up","")</f>
        <v/>
      </c>
      <c r="V163" s="9" t="n">
        <f aca="false">RANK(R163,$R$2:$R$759)+COUNTIF($R$2:R163,R163)-1</f>
        <v>479</v>
      </c>
      <c r="W163" s="9" t="str">
        <f aca="false">IF(U163="Lapsed - Follow Up",COUNTIF($U$2:U163,"Lapsed - Follow Up"),"")</f>
        <v/>
      </c>
    </row>
    <row r="164" customFormat="false" ht="15" hidden="false" customHeight="true" outlineLevel="0" collapsed="false">
      <c r="A164" s="9" t="str">
        <f aca="false">Raw_Donors!A164</f>
        <v>D1162</v>
      </c>
      <c r="B164" s="9" t="str">
        <f aca="false">IF(ISNUMBER(SEARCH("-DUP",A164)),"Duplicate ID","")</f>
        <v/>
      </c>
      <c r="C164" s="9" t="n">
        <f aca="false">Raw_Donors!B164</f>
        <v>94135</v>
      </c>
      <c r="D164" s="9" t="n">
        <f aca="false">Raw_Donors!C164</f>
        <v>43</v>
      </c>
      <c r="E164" s="9" t="str">
        <f aca="false">IFERROR(IF(Raw_Donors!D164="","Unknown",Raw_Donors!D164),"Unknown")</f>
        <v>Unknown</v>
      </c>
      <c r="F164" s="9" t="str">
        <f aca="false">IFERROR(IF(Raw_Donors!E164="","Unknown",Raw_Donors!E164),"Unknown")</f>
        <v>Female</v>
      </c>
      <c r="G164" s="9" t="str">
        <f aca="false">PROPER(TRIM(Raw_Donors!F164))</f>
        <v>Individual Donor</v>
      </c>
      <c r="H164" s="9" t="str">
        <f aca="false">IFERROR(IF(Raw_Donors!G164="","N",Raw_Donors!G164),"N")</f>
        <v>N</v>
      </c>
      <c r="I164" s="9" t="str">
        <f aca="false">IF(Raw_Donors!H164="","Not Rated",Raw_Donors!H164)</f>
        <v>Not Rated</v>
      </c>
      <c r="J164" s="9" t="str">
        <f aca="false">IF(TRIM(Raw_Donors!I164)="","Unknown",TRIM(Raw_Donors!I164))</f>
        <v>HOME</v>
      </c>
      <c r="K164" s="9" t="str">
        <f aca="false">Raw_Donors!J164</f>
        <v>N</v>
      </c>
      <c r="L164" s="9" t="n">
        <f aca="false">Raw_Donors!K164</f>
        <v>0</v>
      </c>
      <c r="M164" s="10" t="n">
        <f aca="false">IFERROR(VALUE(SUBSTITUTE(SUBSTITUTE(Raw_Donors!L164,"$",""),",","")),0)</f>
        <v>0</v>
      </c>
      <c r="N164" s="10" t="n">
        <f aca="false">IFERROR(VALUE(SUBSTITUTE(SUBSTITUTE(Raw_Donors!M164,"$",""),",","")),0)</f>
        <v>0</v>
      </c>
      <c r="O164" s="10" t="n">
        <f aca="false">IFERROR(VALUE(SUBSTITUTE(SUBSTITUTE(Raw_Donors!N164,"$",""),",","")),0)</f>
        <v>0</v>
      </c>
      <c r="P164" s="10" t="n">
        <f aca="false">IFERROR(VALUE(SUBSTITUTE(SUBSTITUTE(Raw_Donors!O164,"$",""),",","")),0)</f>
        <v>0</v>
      </c>
      <c r="Q164" s="10" t="n">
        <f aca="false">IFERROR(VALUE(SUBSTITUTE(SUBSTITUTE(Raw_Donors!P164,"$",""),",","")),0)</f>
        <v>0</v>
      </c>
      <c r="R164" s="10" t="n">
        <f aca="false">Raw_Donors!Q164</f>
        <v>15</v>
      </c>
      <c r="S164" s="9" t="str">
        <f aca="false">Raw_Donors!R164</f>
        <v>Y</v>
      </c>
      <c r="T164" s="9" t="str">
        <f aca="false">IF(Raw_Donors!S164="","",Raw_Donors!S164)</f>
        <v>1974-01-16</v>
      </c>
      <c r="U164" s="9" t="str">
        <f aca="false">IF(AND((O164+P164)&gt;0,Q164=0),"Lapsed - Follow Up","")</f>
        <v/>
      </c>
      <c r="V164" s="9" t="n">
        <f aca="false">RANK(R164,$R$2:$R$759)+COUNTIF($R$2:R164,R164)-1</f>
        <v>480</v>
      </c>
      <c r="W164" s="9" t="str">
        <f aca="false">IF(U164="Lapsed - Follow Up",COUNTIF($U$2:U164,"Lapsed - Follow Up"),"")</f>
        <v/>
      </c>
    </row>
    <row r="165" customFormat="false" ht="15" hidden="false" customHeight="true" outlineLevel="0" collapsed="false">
      <c r="A165" s="9" t="str">
        <f aca="false">Raw_Donors!A165</f>
        <v>D1163</v>
      </c>
      <c r="B165" s="9" t="str">
        <f aca="false">IF(ISNUMBER(SEARCH("-DUP",A165)),"Duplicate ID","")</f>
        <v/>
      </c>
      <c r="C165" s="9" t="n">
        <f aca="false">Raw_Donors!B165</f>
        <v>88554</v>
      </c>
      <c r="D165" s="9" t="n">
        <f aca="false">Raw_Donors!C165</f>
        <v>0</v>
      </c>
      <c r="E165" s="9" t="str">
        <f aca="false">IFERROR(IF(Raw_Donors!D165="","Unknown",Raw_Donors!D165),"Unknown")</f>
        <v>Unknown</v>
      </c>
      <c r="F165" s="9" t="str">
        <f aca="false">IFERROR(IF(Raw_Donors!E165="","Unknown",Raw_Donors!E165),"Unknown")</f>
        <v>Female</v>
      </c>
      <c r="G165" s="9" t="str">
        <f aca="false">PROPER(TRIM(Raw_Donors!F165))</f>
        <v>Individual Donor</v>
      </c>
      <c r="H165" s="9" t="str">
        <f aca="false">IFERROR(IF(Raw_Donors!G165="","N",Raw_Donors!G165),"N")</f>
        <v>Y</v>
      </c>
      <c r="I165" s="9" t="str">
        <f aca="false">IF(Raw_Donors!H165="","Not Rated",Raw_Donors!H165)</f>
        <v>Not Rated</v>
      </c>
      <c r="J165" s="9" t="str">
        <f aca="false">IF(TRIM(Raw_Donors!I165)="","Unknown",TRIM(Raw_Donors!I165))</f>
        <v>HOME</v>
      </c>
      <c r="K165" s="9" t="str">
        <f aca="false">Raw_Donors!J165</f>
        <v>N</v>
      </c>
      <c r="L165" s="9" t="n">
        <f aca="false">Raw_Donors!K165</f>
        <v>1</v>
      </c>
      <c r="M165" s="10" t="n">
        <f aca="false">IFERROR(VALUE(SUBSTITUTE(SUBSTITUTE(Raw_Donors!L165,"$",""),",","")),0)</f>
        <v>0</v>
      </c>
      <c r="N165" s="10" t="n">
        <f aca="false">IFERROR(VALUE(SUBSTITUTE(SUBSTITUTE(Raw_Donors!M165,"$",""),",","")),0)</f>
        <v>0</v>
      </c>
      <c r="O165" s="10" t="n">
        <f aca="false">IFERROR(VALUE(SUBSTITUTE(SUBSTITUTE(Raw_Donors!N165,"$",""),",","")),0)</f>
        <v>0</v>
      </c>
      <c r="P165" s="10" t="n">
        <f aca="false">IFERROR(VALUE(SUBSTITUTE(SUBSTITUTE(Raw_Donors!O165,"$",""),",","")),0)</f>
        <v>0</v>
      </c>
      <c r="Q165" s="10" t="n">
        <f aca="false">IFERROR(VALUE(SUBSTITUTE(SUBSTITUTE(Raw_Donors!P165,"$",""),",","")),0)</f>
        <v>0</v>
      </c>
      <c r="R165" s="10" t="n">
        <f aca="false">Raw_Donors!Q165</f>
        <v>195</v>
      </c>
      <c r="S165" s="9" t="str">
        <f aca="false">Raw_Donors!R165</f>
        <v>Y</v>
      </c>
      <c r="T165" s="9" t="str">
        <f aca="false">IF(Raw_Donors!S165="","",Raw_Donors!S165)</f>
        <v/>
      </c>
      <c r="U165" s="9" t="str">
        <f aca="false">IF(AND((O165+P165)&gt;0,Q165=0),"Lapsed - Follow Up","")</f>
        <v/>
      </c>
      <c r="V165" s="9" t="n">
        <f aca="false">RANK(R165,$R$2:$R$759)+COUNTIF($R$2:R165,R165)-1</f>
        <v>202</v>
      </c>
      <c r="W165" s="9" t="str">
        <f aca="false">IF(U165="Lapsed - Follow Up",COUNTIF($U$2:U165,"Lapsed - Follow Up"),"")</f>
        <v/>
      </c>
    </row>
    <row r="166" customFormat="false" ht="15" hidden="false" customHeight="true" outlineLevel="0" collapsed="false">
      <c r="A166" s="9" t="str">
        <f aca="false">Raw_Donors!A166</f>
        <v>D1164</v>
      </c>
      <c r="B166" s="9" t="str">
        <f aca="false">IF(ISNUMBER(SEARCH("-DUP",A166)),"Duplicate ID","")</f>
        <v/>
      </c>
      <c r="C166" s="9" t="n">
        <f aca="false">Raw_Donors!B166</f>
        <v>36040</v>
      </c>
      <c r="D166" s="9" t="n">
        <f aca="false">Raw_Donors!C166</f>
        <v>0</v>
      </c>
      <c r="E166" s="9" t="str">
        <f aca="false">IFERROR(IF(Raw_Donors!D166="","Unknown",Raw_Donors!D166),"Unknown")</f>
        <v>Unknown</v>
      </c>
      <c r="F166" s="9" t="str">
        <f aca="false">IFERROR(IF(Raw_Donors!E166="","Unknown",Raw_Donors!E166),"Unknown")</f>
        <v>Female</v>
      </c>
      <c r="G166" s="9" t="str">
        <f aca="false">PROPER(TRIM(Raw_Donors!F166))</f>
        <v>Community Partner</v>
      </c>
      <c r="H166" s="9" t="str">
        <f aca="false">IFERROR(IF(Raw_Donors!G166="","N",Raw_Donors!G166),"N")</f>
        <v>Y</v>
      </c>
      <c r="I166" s="9" t="str">
        <f aca="false">IF(Raw_Donors!H166="","Not Rated",Raw_Donors!H166)</f>
        <v>Not Rated</v>
      </c>
      <c r="J166" s="9" t="str">
        <f aca="false">IF(TRIM(Raw_Donors!I166)="","Unknown",TRIM(Raw_Donors!I166))</f>
        <v>HOME</v>
      </c>
      <c r="K166" s="9" t="str">
        <f aca="false">Raw_Donors!J166</f>
        <v>Y</v>
      </c>
      <c r="L166" s="9" t="n">
        <f aca="false">Raw_Donors!K166</f>
        <v>1</v>
      </c>
      <c r="M166" s="10" t="n">
        <f aca="false">IFERROR(VALUE(SUBSTITUTE(SUBSTITUTE(Raw_Donors!L166,"$",""),",","")),0)</f>
        <v>0</v>
      </c>
      <c r="N166" s="10" t="n">
        <f aca="false">IFERROR(VALUE(SUBSTITUTE(SUBSTITUTE(Raw_Donors!M166,"$",""),",","")),0)</f>
        <v>0</v>
      </c>
      <c r="O166" s="10" t="n">
        <f aca="false">IFERROR(VALUE(SUBSTITUTE(SUBSTITUTE(Raw_Donors!N166,"$",""),",","")),0)</f>
        <v>0</v>
      </c>
      <c r="P166" s="10" t="n">
        <f aca="false">IFERROR(VALUE(SUBSTITUTE(SUBSTITUTE(Raw_Donors!O166,"$",""),",","")),0)</f>
        <v>0</v>
      </c>
      <c r="Q166" s="10" t="n">
        <f aca="false">IFERROR(VALUE(SUBSTITUTE(SUBSTITUTE(Raw_Donors!P166,"$",""),",","")),0)</f>
        <v>0</v>
      </c>
      <c r="R166" s="10" t="n">
        <f aca="false">Raw_Donors!Q166</f>
        <v>1040</v>
      </c>
      <c r="S166" s="9" t="str">
        <f aca="false">Raw_Donors!R166</f>
        <v>Y</v>
      </c>
      <c r="T166" s="9" t="str">
        <f aca="false">IF(Raw_Donors!S166="","",Raw_Donors!S166)</f>
        <v/>
      </c>
      <c r="U166" s="9" t="str">
        <f aca="false">IF(AND((O166+P166)&gt;0,Q166=0),"Lapsed - Follow Up","")</f>
        <v/>
      </c>
      <c r="V166" s="9" t="n">
        <f aca="false">RANK(R166,$R$2:$R$759)+COUNTIF($R$2:R166,R166)-1</f>
        <v>56</v>
      </c>
      <c r="W166" s="9" t="str">
        <f aca="false">IF(U166="Lapsed - Follow Up",COUNTIF($U$2:U166,"Lapsed - Follow Up"),"")</f>
        <v/>
      </c>
    </row>
    <row r="167" customFormat="false" ht="15" hidden="false" customHeight="true" outlineLevel="0" collapsed="false">
      <c r="A167" s="9" t="str">
        <f aca="false">Raw_Donors!A167</f>
        <v>D1165</v>
      </c>
      <c r="B167" s="9" t="str">
        <f aca="false">IF(ISNUMBER(SEARCH("-DUP",A167)),"Duplicate ID","")</f>
        <v/>
      </c>
      <c r="C167" s="9" t="n">
        <f aca="false">Raw_Donors!B167</f>
        <v>11414</v>
      </c>
      <c r="D167" s="9" t="n">
        <f aca="false">Raw_Donors!C167</f>
        <v>0</v>
      </c>
      <c r="E167" s="9" t="str">
        <f aca="false">IFERROR(IF(Raw_Donors!D167="","Unknown",Raw_Donors!D167),"Unknown")</f>
        <v>Married</v>
      </c>
      <c r="F167" s="9" t="str">
        <f aca="false">IFERROR(IF(Raw_Donors!E167="","Unknown",Raw_Donors!E167),"Unknown")</f>
        <v>Female</v>
      </c>
      <c r="G167" s="9" t="str">
        <f aca="false">PROPER(TRIM(Raw_Donors!F167))</f>
        <v>Individual Donor</v>
      </c>
      <c r="H167" s="9" t="str">
        <f aca="false">IFERROR(IF(Raw_Donors!G167="","N",Raw_Donors!G167),"N")</f>
        <v>N</v>
      </c>
      <c r="I167" s="9" t="str">
        <f aca="false">IF(Raw_Donors!H167="","Not Rated",Raw_Donors!H167)</f>
        <v>Not Rated</v>
      </c>
      <c r="J167" s="9" t="str">
        <f aca="false">IF(TRIM(Raw_Donors!I167)="","Unknown",TRIM(Raw_Donors!I167))</f>
        <v>HOME</v>
      </c>
      <c r="K167" s="9" t="str">
        <f aca="false">Raw_Donors!J167</f>
        <v>N</v>
      </c>
      <c r="L167" s="9" t="n">
        <f aca="false">Raw_Donors!K167</f>
        <v>2</v>
      </c>
      <c r="M167" s="10" t="n">
        <f aca="false">IFERROR(VALUE(SUBSTITUTE(SUBSTITUTE(Raw_Donors!L167,"$",""),",","")),0)</f>
        <v>0</v>
      </c>
      <c r="N167" s="10" t="n">
        <f aca="false">IFERROR(VALUE(SUBSTITUTE(SUBSTITUTE(Raw_Donors!M167,"$",""),",","")),0)</f>
        <v>0</v>
      </c>
      <c r="O167" s="10" t="n">
        <f aca="false">IFERROR(VALUE(SUBSTITUTE(SUBSTITUTE(Raw_Donors!N167,"$",""),",","")),0)</f>
        <v>0</v>
      </c>
      <c r="P167" s="10" t="n">
        <f aca="false">IFERROR(VALUE(SUBSTITUTE(SUBSTITUTE(Raw_Donors!O167,"$",""),",","")),0)</f>
        <v>0</v>
      </c>
      <c r="Q167" s="10" t="n">
        <f aca="false">IFERROR(VALUE(SUBSTITUTE(SUBSTITUTE(Raw_Donors!P167,"$",""),",","")),0)</f>
        <v>0</v>
      </c>
      <c r="R167" s="10" t="n">
        <f aca="false">Raw_Donors!Q167</f>
        <v>250</v>
      </c>
      <c r="S167" s="9" t="str">
        <f aca="false">Raw_Donors!R167</f>
        <v>Y</v>
      </c>
      <c r="T167" s="9" t="str">
        <f aca="false">IF(Raw_Donors!S167="","",Raw_Donors!S167)</f>
        <v/>
      </c>
      <c r="U167" s="9" t="str">
        <f aca="false">IF(AND((O167+P167)&gt;0,Q167=0),"Lapsed - Follow Up","")</f>
        <v/>
      </c>
      <c r="V167" s="9" t="n">
        <f aca="false">RANK(R167,$R$2:$R$759)+COUNTIF($R$2:R167,R167)-1</f>
        <v>166</v>
      </c>
      <c r="W167" s="9" t="str">
        <f aca="false">IF(U167="Lapsed - Follow Up",COUNTIF($U$2:U167,"Lapsed - Follow Up"),"")</f>
        <v/>
      </c>
    </row>
    <row r="168" customFormat="false" ht="15" hidden="false" customHeight="true" outlineLevel="0" collapsed="false">
      <c r="A168" s="9" t="str">
        <f aca="false">Raw_Donors!A168</f>
        <v>D1166</v>
      </c>
      <c r="B168" s="9" t="str">
        <f aca="false">IF(ISNUMBER(SEARCH("-DUP",A168)),"Duplicate ID","")</f>
        <v/>
      </c>
      <c r="C168" s="9" t="n">
        <f aca="false">Raw_Donors!B168</f>
        <v>90265</v>
      </c>
      <c r="D168" s="9" t="n">
        <f aca="false">Raw_Donors!C168</f>
        <v>52</v>
      </c>
      <c r="E168" s="9" t="str">
        <f aca="false">IFERROR(IF(Raw_Donors!D168="","Unknown",Raw_Donors!D168),"Unknown")</f>
        <v>Married</v>
      </c>
      <c r="F168" s="9" t="str">
        <f aca="false">IFERROR(IF(Raw_Donors!E168="","Unknown",Raw_Donors!E168),"Unknown")</f>
        <v>Female</v>
      </c>
      <c r="G168" s="9" t="str">
        <f aca="false">PROPER(TRIM(Raw_Donors!F168))</f>
        <v>Community Partner</v>
      </c>
      <c r="H168" s="9" t="str">
        <f aca="false">IFERROR(IF(Raw_Donors!G168="","N",Raw_Donors!G168),"N")</f>
        <v>Y</v>
      </c>
      <c r="I168" s="9" t="str">
        <f aca="false">IF(Raw_Donors!H168="","Not Rated",Raw_Donors!H168)</f>
        <v>Not Rated</v>
      </c>
      <c r="J168" s="9" t="str">
        <f aca="false">IF(TRIM(Raw_Donors!I168)="","Unknown",TRIM(Raw_Donors!I168))</f>
        <v>HOME</v>
      </c>
      <c r="K168" s="9" t="str">
        <f aca="false">Raw_Donors!J168</f>
        <v>Y</v>
      </c>
      <c r="L168" s="9" t="n">
        <f aca="false">Raw_Donors!K168</f>
        <v>5</v>
      </c>
      <c r="M168" s="10" t="n">
        <f aca="false">IFERROR(VALUE(SUBSTITUTE(SUBSTITUTE(Raw_Donors!L168,"$",""),",","")),0)</f>
        <v>0</v>
      </c>
      <c r="N168" s="10" t="n">
        <f aca="false">IFERROR(VALUE(SUBSTITUTE(SUBSTITUTE(Raw_Donors!M168,"$",""),",","")),0)</f>
        <v>0</v>
      </c>
      <c r="O168" s="10" t="n">
        <f aca="false">IFERROR(VALUE(SUBSTITUTE(SUBSTITUTE(Raw_Donors!N168,"$",""),",","")),0)</f>
        <v>0</v>
      </c>
      <c r="P168" s="10" t="n">
        <f aca="false">IFERROR(VALUE(SUBSTITUTE(SUBSTITUTE(Raw_Donors!O168,"$",""),",","")),0)</f>
        <v>0</v>
      </c>
      <c r="Q168" s="10" t="n">
        <f aca="false">IFERROR(VALUE(SUBSTITUTE(SUBSTITUTE(Raw_Donors!P168,"$",""),",","")),0)</f>
        <v>0</v>
      </c>
      <c r="R168" s="10" t="n">
        <f aca="false">Raw_Donors!Q168</f>
        <v>220</v>
      </c>
      <c r="S168" s="9" t="str">
        <f aca="false">Raw_Donors!R168</f>
        <v>Y</v>
      </c>
      <c r="T168" s="9" t="str">
        <f aca="false">IF(Raw_Donors!S168="","",Raw_Donors!S168)</f>
        <v>1965-09-22</v>
      </c>
      <c r="U168" s="9" t="str">
        <f aca="false">IF(AND((O168+P168)&gt;0,Q168=0),"Lapsed - Follow Up","")</f>
        <v/>
      </c>
      <c r="V168" s="9" t="n">
        <f aca="false">RANK(R168,$R$2:$R$759)+COUNTIF($R$2:R168,R168)-1</f>
        <v>185</v>
      </c>
      <c r="W168" s="9" t="str">
        <f aca="false">IF(U168="Lapsed - Follow Up",COUNTIF($U$2:U168,"Lapsed - Follow Up"),"")</f>
        <v/>
      </c>
    </row>
    <row r="169" customFormat="false" ht="15" hidden="false" customHeight="true" outlineLevel="0" collapsed="false">
      <c r="A169" s="9" t="str">
        <f aca="false">Raw_Donors!A169</f>
        <v>D1167</v>
      </c>
      <c r="B169" s="9" t="str">
        <f aca="false">IF(ISNUMBER(SEARCH("-DUP",A169)),"Duplicate ID","")</f>
        <v/>
      </c>
      <c r="C169" s="9" t="n">
        <f aca="false">Raw_Donors!B169</f>
        <v>11959</v>
      </c>
      <c r="D169" s="9" t="n">
        <f aca="false">Raw_Donors!C169</f>
        <v>60</v>
      </c>
      <c r="E169" s="9" t="str">
        <f aca="false">IFERROR(IF(Raw_Donors!D169="","Unknown",Raw_Donors!D169),"Unknown")</f>
        <v>Married</v>
      </c>
      <c r="F169" s="9" t="str">
        <f aca="false">IFERROR(IF(Raw_Donors!E169="","Unknown",Raw_Donors!E169),"Unknown")</f>
        <v>Male</v>
      </c>
      <c r="G169" s="9" t="str">
        <f aca="false">PROPER(TRIM(Raw_Donors!F169))</f>
        <v>Community Partner</v>
      </c>
      <c r="H169" s="9" t="str">
        <f aca="false">IFERROR(IF(Raw_Donors!G169="","N",Raw_Donors!G169),"N")</f>
        <v>N</v>
      </c>
      <c r="I169" s="9" t="str">
        <f aca="false">IF(Raw_Donors!H169="","Not Rated",Raw_Donors!H169)</f>
        <v>Not Rated</v>
      </c>
      <c r="J169" s="9" t="str">
        <f aca="false">IF(TRIM(Raw_Donors!I169)="","Unknown",TRIM(Raw_Donors!I169))</f>
        <v>HOME</v>
      </c>
      <c r="K169" s="9" t="str">
        <f aca="false">Raw_Donors!J169</f>
        <v>Y</v>
      </c>
      <c r="L169" s="9" t="n">
        <f aca="false">Raw_Donors!K169</f>
        <v>9</v>
      </c>
      <c r="M169" s="10" t="n">
        <f aca="false">IFERROR(VALUE(SUBSTITUTE(SUBSTITUTE(Raw_Donors!L169,"$",""),",","")),0)</f>
        <v>0</v>
      </c>
      <c r="N169" s="10" t="n">
        <f aca="false">IFERROR(VALUE(SUBSTITUTE(SUBSTITUTE(Raw_Donors!M169,"$",""),",","")),0)</f>
        <v>0</v>
      </c>
      <c r="O169" s="10" t="n">
        <f aca="false">IFERROR(VALUE(SUBSTITUTE(SUBSTITUTE(Raw_Donors!N169,"$",""),",","")),0)</f>
        <v>200</v>
      </c>
      <c r="P169" s="10" t="n">
        <f aca="false">IFERROR(VALUE(SUBSTITUTE(SUBSTITUTE(Raw_Donors!O169,"$",""),",","")),0)</f>
        <v>500</v>
      </c>
      <c r="Q169" s="10" t="n">
        <f aca="false">IFERROR(VALUE(SUBSTITUTE(SUBSTITUTE(Raw_Donors!P169,"$",""),",","")),0)</f>
        <v>0</v>
      </c>
      <c r="R169" s="10" t="n">
        <f aca="false">Raw_Donors!Q169</f>
        <v>700</v>
      </c>
      <c r="S169" s="9" t="str">
        <f aca="false">Raw_Donors!R169</f>
        <v>Y</v>
      </c>
      <c r="T169" s="9" t="str">
        <f aca="false">IF(Raw_Donors!S169="","",Raw_Donors!S169)</f>
        <v>1957-09-22</v>
      </c>
      <c r="U169" s="9" t="str">
        <f aca="false">IF(AND((O169+P169)&gt;0,Q169=0),"Lapsed - Follow Up","")</f>
        <v>Lapsed - Follow Up</v>
      </c>
      <c r="V169" s="9" t="n">
        <f aca="false">RANK(R169,$R$2:$R$759)+COUNTIF($R$2:R169,R169)-1</f>
        <v>72</v>
      </c>
      <c r="W169" s="9" t="n">
        <f aca="false">IF(U169="Lapsed - Follow Up",COUNTIF($U$2:U169,"Lapsed - Follow Up"),"")</f>
        <v>30</v>
      </c>
    </row>
    <row r="170" customFormat="false" ht="15" hidden="false" customHeight="true" outlineLevel="0" collapsed="false">
      <c r="A170" s="9" t="str">
        <f aca="false">Raw_Donors!A170</f>
        <v>D1168</v>
      </c>
      <c r="B170" s="9" t="str">
        <f aca="false">IF(ISNUMBER(SEARCH("-DUP",A170)),"Duplicate ID","")</f>
        <v/>
      </c>
      <c r="C170" s="9" t="n">
        <f aca="false">Raw_Donors!B170</f>
        <v>55008</v>
      </c>
      <c r="D170" s="9" t="n">
        <f aca="false">Raw_Donors!C170</f>
        <v>0</v>
      </c>
      <c r="E170" s="9" t="str">
        <f aca="false">IFERROR(IF(Raw_Donors!D170="","Unknown",Raw_Donors!D170),"Unknown")</f>
        <v>Married</v>
      </c>
      <c r="F170" s="9" t="str">
        <f aca="false">IFERROR(IF(Raw_Donors!E170="","Unknown",Raw_Donors!E170),"Unknown")</f>
        <v>Female</v>
      </c>
      <c r="G170" s="9" t="str">
        <f aca="false">PROPER(TRIM(Raw_Donors!F170))</f>
        <v>Individual Donor</v>
      </c>
      <c r="H170" s="9" t="str">
        <f aca="false">IFERROR(IF(Raw_Donors!G170="","N",Raw_Donors!G170),"N")</f>
        <v>N</v>
      </c>
      <c r="I170" s="9" t="str">
        <f aca="false">IF(Raw_Donors!H170="","Not Rated",Raw_Donors!H170)</f>
        <v>Not Rated</v>
      </c>
      <c r="J170" s="9" t="str">
        <f aca="false">IF(TRIM(Raw_Donors!I170)="","Unknown",TRIM(Raw_Donors!I170))</f>
        <v>HOME</v>
      </c>
      <c r="K170" s="9" t="str">
        <f aca="false">Raw_Donors!J170</f>
        <v>Y</v>
      </c>
      <c r="L170" s="9" t="n">
        <f aca="false">Raw_Donors!K170</f>
        <v>7</v>
      </c>
      <c r="M170" s="10" t="n">
        <f aca="false">IFERROR(VALUE(SUBSTITUTE(SUBSTITUTE(Raw_Donors!L170,"$",""),",","")),0)</f>
        <v>0</v>
      </c>
      <c r="N170" s="10" t="n">
        <f aca="false">IFERROR(VALUE(SUBSTITUTE(SUBSTITUTE(Raw_Donors!M170,"$",""),",","")),0)</f>
        <v>0</v>
      </c>
      <c r="O170" s="10" t="n">
        <f aca="false">IFERROR(VALUE(SUBSTITUTE(SUBSTITUTE(Raw_Donors!N170,"$",""),",","")),0)</f>
        <v>0</v>
      </c>
      <c r="P170" s="10" t="n">
        <f aca="false">IFERROR(VALUE(SUBSTITUTE(SUBSTITUTE(Raw_Donors!O170,"$",""),",","")),0)</f>
        <v>0</v>
      </c>
      <c r="Q170" s="10" t="n">
        <f aca="false">IFERROR(VALUE(SUBSTITUTE(SUBSTITUTE(Raw_Donors!P170,"$",""),",","")),0)</f>
        <v>0</v>
      </c>
      <c r="R170" s="10" t="n">
        <f aca="false">Raw_Donors!Q170</f>
        <v>220</v>
      </c>
      <c r="S170" s="9" t="str">
        <f aca="false">Raw_Donors!R170</f>
        <v>Y</v>
      </c>
      <c r="T170" s="9" t="str">
        <f aca="false">IF(Raw_Donors!S170="","",Raw_Donors!S170)</f>
        <v/>
      </c>
      <c r="U170" s="9" t="str">
        <f aca="false">IF(AND((O170+P170)&gt;0,Q170=0),"Lapsed - Follow Up","")</f>
        <v/>
      </c>
      <c r="V170" s="9" t="n">
        <f aca="false">RANK(R170,$R$2:$R$759)+COUNTIF($R$2:R170,R170)-1</f>
        <v>186</v>
      </c>
      <c r="W170" s="9" t="str">
        <f aca="false">IF(U170="Lapsed - Follow Up",COUNTIF($U$2:U170,"Lapsed - Follow Up"),"")</f>
        <v/>
      </c>
    </row>
    <row r="171" customFormat="false" ht="15" hidden="false" customHeight="true" outlineLevel="0" collapsed="false">
      <c r="A171" s="9" t="str">
        <f aca="false">Raw_Donors!A171</f>
        <v>D1169</v>
      </c>
      <c r="B171" s="9" t="str">
        <f aca="false">IF(ISNUMBER(SEARCH("-DUP",A171)),"Duplicate ID","")</f>
        <v/>
      </c>
      <c r="C171" s="9" t="n">
        <f aca="false">Raw_Donors!B171</f>
        <v>75065</v>
      </c>
      <c r="D171" s="9" t="n">
        <f aca="false">Raw_Donors!C171</f>
        <v>73</v>
      </c>
      <c r="E171" s="9" t="str">
        <f aca="false">IFERROR(IF(Raw_Donors!D171="","Unknown",Raw_Donors!D171),"Unknown")</f>
        <v>Married</v>
      </c>
      <c r="F171" s="9" t="str">
        <f aca="false">IFERROR(IF(Raw_Donors!E171="","Unknown",Raw_Donors!E171),"Unknown")</f>
        <v>Male</v>
      </c>
      <c r="G171" s="9" t="str">
        <f aca="false">PROPER(TRIM(Raw_Donors!F171))</f>
        <v>Community Partner</v>
      </c>
      <c r="H171" s="9" t="str">
        <f aca="false">IFERROR(IF(Raw_Donors!G171="","N",Raw_Donors!G171),"N")</f>
        <v>N</v>
      </c>
      <c r="I171" s="9" t="str">
        <f aca="false">IF(Raw_Donors!H171="","Not Rated",Raw_Donors!H171)</f>
        <v>Not Rated</v>
      </c>
      <c r="J171" s="9" t="str">
        <f aca="false">IF(TRIM(Raw_Donors!I171)="","Unknown",TRIM(Raw_Donors!I171))</f>
        <v>Unknown</v>
      </c>
      <c r="K171" s="9" t="str">
        <f aca="false">Raw_Donors!J171</f>
        <v>N</v>
      </c>
      <c r="L171" s="9" t="n">
        <f aca="false">Raw_Donors!K171</f>
        <v>1</v>
      </c>
      <c r="M171" s="10" t="n">
        <f aca="false">IFERROR(VALUE(SUBSTITUTE(SUBSTITUTE(Raw_Donors!L171,"$",""),",","")),0)</f>
        <v>0</v>
      </c>
      <c r="N171" s="10" t="n">
        <f aca="false">IFERROR(VALUE(SUBSTITUTE(SUBSTITUTE(Raw_Donors!M171,"$",""),",","")),0)</f>
        <v>0</v>
      </c>
      <c r="O171" s="10" t="n">
        <f aca="false">IFERROR(VALUE(SUBSTITUTE(SUBSTITUTE(Raw_Donors!N171,"$",""),",","")),0)</f>
        <v>15</v>
      </c>
      <c r="P171" s="10" t="n">
        <f aca="false">IFERROR(VALUE(SUBSTITUTE(SUBSTITUTE(Raw_Donors!O171,"$",""),",","")),0)</f>
        <v>0</v>
      </c>
      <c r="Q171" s="10" t="n">
        <f aca="false">IFERROR(VALUE(SUBSTITUTE(SUBSTITUTE(Raw_Donors!P171,"$",""),",","")),0)</f>
        <v>0</v>
      </c>
      <c r="R171" s="10" t="n">
        <f aca="false">Raw_Donors!Q171</f>
        <v>15</v>
      </c>
      <c r="S171" s="9" t="str">
        <f aca="false">Raw_Donors!R171</f>
        <v>Y</v>
      </c>
      <c r="T171" s="9" t="str">
        <f aca="false">IF(Raw_Donors!S171="","",Raw_Donors!S171)</f>
        <v>1944-09-26</v>
      </c>
      <c r="U171" s="9" t="str">
        <f aca="false">IF(AND((O171+P171)&gt;0,Q171=0),"Lapsed - Follow Up","")</f>
        <v>Lapsed - Follow Up</v>
      </c>
      <c r="V171" s="9" t="n">
        <f aca="false">RANK(R171,$R$2:$R$759)+COUNTIF($R$2:R171,R171)-1</f>
        <v>481</v>
      </c>
      <c r="W171" s="9" t="n">
        <f aca="false">IF(U171="Lapsed - Follow Up",COUNTIF($U$2:U171,"Lapsed - Follow Up"),"")</f>
        <v>31</v>
      </c>
    </row>
    <row r="172" customFormat="false" ht="15" hidden="false" customHeight="true" outlineLevel="0" collapsed="false">
      <c r="A172" s="9" t="str">
        <f aca="false">Raw_Donors!A172</f>
        <v>D1170</v>
      </c>
      <c r="B172" s="9" t="str">
        <f aca="false">IF(ISNUMBER(SEARCH("-DUP",A172)),"Duplicate ID","")</f>
        <v/>
      </c>
      <c r="C172" s="9" t="n">
        <f aca="false">Raw_Donors!B172</f>
        <v>18401</v>
      </c>
      <c r="D172" s="9" t="n">
        <f aca="false">Raw_Donors!C172</f>
        <v>0</v>
      </c>
      <c r="E172" s="9" t="str">
        <f aca="false">IFERROR(IF(Raw_Donors!D172="","Unknown",Raw_Donors!D172),"Unknown")</f>
        <v>Single</v>
      </c>
      <c r="F172" s="9" t="str">
        <f aca="false">IFERROR(IF(Raw_Donors!E172="","Unknown",Raw_Donors!E172),"Unknown")</f>
        <v>Uknown</v>
      </c>
      <c r="G172" s="9" t="str">
        <f aca="false">PROPER(TRIM(Raw_Donors!F172))</f>
        <v>Individual Donor</v>
      </c>
      <c r="H172" s="9" t="str">
        <f aca="false">IFERROR(IF(Raw_Donors!G172="","N",Raw_Donors!G172),"N")</f>
        <v>Y</v>
      </c>
      <c r="I172" s="9" t="str">
        <f aca="false">IF(Raw_Donors!H172="","Not Rated",Raw_Donors!H172)</f>
        <v>Not Rated</v>
      </c>
      <c r="J172" s="9" t="str">
        <f aca="false">IF(TRIM(Raw_Donors!I172)="","Unknown",TRIM(Raw_Donors!I172))</f>
        <v>HOME</v>
      </c>
      <c r="K172" s="9" t="str">
        <f aca="false">Raw_Donors!J172</f>
        <v>N</v>
      </c>
      <c r="L172" s="9" t="n">
        <f aca="false">Raw_Donors!K172</f>
        <v>0</v>
      </c>
      <c r="M172" s="10" t="n">
        <f aca="false">IFERROR(VALUE(SUBSTITUTE(SUBSTITUTE(Raw_Donors!L172,"$",""),",","")),0)</f>
        <v>0</v>
      </c>
      <c r="N172" s="10" t="n">
        <f aca="false">IFERROR(VALUE(SUBSTITUTE(SUBSTITUTE(Raw_Donors!M172,"$",""),",","")),0)</f>
        <v>0</v>
      </c>
      <c r="O172" s="10" t="n">
        <f aca="false">IFERROR(VALUE(SUBSTITUTE(SUBSTITUTE(Raw_Donors!N172,"$",""),",","")),0)</f>
        <v>0</v>
      </c>
      <c r="P172" s="10" t="n">
        <f aca="false">IFERROR(VALUE(SUBSTITUTE(SUBSTITUTE(Raw_Donors!O172,"$",""),",","")),0)</f>
        <v>0</v>
      </c>
      <c r="Q172" s="10" t="n">
        <f aca="false">IFERROR(VALUE(SUBSTITUTE(SUBSTITUTE(Raw_Donors!P172,"$",""),",","")),0)</f>
        <v>0</v>
      </c>
      <c r="R172" s="10" t="n">
        <f aca="false">Raw_Donors!Q172</f>
        <v>5</v>
      </c>
      <c r="S172" s="9" t="str">
        <f aca="false">Raw_Donors!R172</f>
        <v>Y</v>
      </c>
      <c r="T172" s="9" t="str">
        <f aca="false">IF(Raw_Donors!S172="","",Raw_Donors!S172)</f>
        <v/>
      </c>
      <c r="U172" s="9" t="str">
        <f aca="false">IF(AND((O172+P172)&gt;0,Q172=0),"Lapsed - Follow Up","")</f>
        <v/>
      </c>
      <c r="V172" s="9" t="n">
        <f aca="false">RANK(R172,$R$2:$R$759)+COUNTIF($R$2:R172,R172)-1</f>
        <v>515</v>
      </c>
      <c r="W172" s="9" t="str">
        <f aca="false">IF(U172="Lapsed - Follow Up",COUNTIF($U$2:U172,"Lapsed - Follow Up"),"")</f>
        <v/>
      </c>
    </row>
    <row r="173" customFormat="false" ht="15" hidden="false" customHeight="true" outlineLevel="0" collapsed="false">
      <c r="A173" s="9" t="str">
        <f aca="false">Raw_Donors!A173</f>
        <v>D1171</v>
      </c>
      <c r="B173" s="9" t="str">
        <f aca="false">IF(ISNUMBER(SEARCH("-DUP",A173)),"Duplicate ID","")</f>
        <v/>
      </c>
      <c r="C173" s="9" t="n">
        <f aca="false">Raw_Donors!B173</f>
        <v>45677</v>
      </c>
      <c r="D173" s="9" t="n">
        <f aca="false">Raw_Donors!C173</f>
        <v>0</v>
      </c>
      <c r="E173" s="9" t="str">
        <f aca="false">IFERROR(IF(Raw_Donors!D173="","Unknown",Raw_Donors!D173),"Unknown")</f>
        <v>Married</v>
      </c>
      <c r="F173" s="9" t="str">
        <f aca="false">IFERROR(IF(Raw_Donors!E173="","Unknown",Raw_Donors!E173),"Unknown")</f>
        <v>Uknown</v>
      </c>
      <c r="G173" s="9" t="str">
        <f aca="false">PROPER(TRIM(Raw_Donors!F173))</f>
        <v>Individual Donor</v>
      </c>
      <c r="H173" s="9" t="str">
        <f aca="false">IFERROR(IF(Raw_Donors!G173="","N",Raw_Donors!G173),"N")</f>
        <v>N</v>
      </c>
      <c r="I173" s="9" t="str">
        <f aca="false">IF(Raw_Donors!H173="","Not Rated",Raw_Donors!H173)</f>
        <v>Not Rated</v>
      </c>
      <c r="J173" s="9" t="str">
        <f aca="false">IF(TRIM(Raw_Donors!I173)="","Unknown",TRIM(Raw_Donors!I173))</f>
        <v>HOME</v>
      </c>
      <c r="K173" s="9" t="str">
        <f aca="false">Raw_Donors!J173</f>
        <v>N</v>
      </c>
      <c r="L173" s="9" t="n">
        <f aca="false">Raw_Donors!K173</f>
        <v>2</v>
      </c>
      <c r="M173" s="10" t="n">
        <f aca="false">IFERROR(VALUE(SUBSTITUTE(SUBSTITUTE(Raw_Donors!L173,"$",""),",","")),0)</f>
        <v>0</v>
      </c>
      <c r="N173" s="10" t="n">
        <f aca="false">IFERROR(VALUE(SUBSTITUTE(SUBSTITUTE(Raw_Donors!M173,"$",""),",","")),0)</f>
        <v>0</v>
      </c>
      <c r="O173" s="10" t="n">
        <f aca="false">IFERROR(VALUE(SUBSTITUTE(SUBSTITUTE(Raw_Donors!N173,"$",""),",","")),0)</f>
        <v>1</v>
      </c>
      <c r="P173" s="10" t="n">
        <f aca="false">IFERROR(VALUE(SUBSTITUTE(SUBSTITUTE(Raw_Donors!O173,"$",""),",","")),0)</f>
        <v>0</v>
      </c>
      <c r="Q173" s="10" t="n">
        <f aca="false">IFERROR(VALUE(SUBSTITUTE(SUBSTITUTE(Raw_Donors!P173,"$",""),",","")),0)</f>
        <v>0</v>
      </c>
      <c r="R173" s="10" t="n">
        <f aca="false">Raw_Donors!Q173</f>
        <v>1</v>
      </c>
      <c r="S173" s="9" t="str">
        <f aca="false">Raw_Donors!R173</f>
        <v>Y</v>
      </c>
      <c r="T173" s="9" t="str">
        <f aca="false">IF(Raw_Donors!S173="","",Raw_Donors!S173)</f>
        <v/>
      </c>
      <c r="U173" s="9" t="str">
        <f aca="false">IF(AND((O173+P173)&gt;0,Q173=0),"Lapsed - Follow Up","")</f>
        <v>Lapsed - Follow Up</v>
      </c>
      <c r="V173" s="9" t="n">
        <f aca="false">RANK(R173,$R$2:$R$759)+COUNTIF($R$2:R173,R173)-1</f>
        <v>533</v>
      </c>
      <c r="W173" s="9" t="n">
        <f aca="false">IF(U173="Lapsed - Follow Up",COUNTIF($U$2:U173,"Lapsed - Follow Up"),"")</f>
        <v>32</v>
      </c>
    </row>
    <row r="174" customFormat="false" ht="15" hidden="false" customHeight="true" outlineLevel="0" collapsed="false">
      <c r="A174" s="9" t="str">
        <f aca="false">Raw_Donors!A174</f>
        <v>D1172</v>
      </c>
      <c r="B174" s="9" t="str">
        <f aca="false">IF(ISNUMBER(SEARCH("-DUP",A174)),"Duplicate ID","")</f>
        <v/>
      </c>
      <c r="C174" s="9" t="n">
        <f aca="false">Raw_Donors!B174</f>
        <v>25728</v>
      </c>
      <c r="D174" s="9" t="n">
        <f aca="false">Raw_Donors!C174</f>
        <v>0</v>
      </c>
      <c r="E174" s="9" t="str">
        <f aca="false">IFERROR(IF(Raw_Donors!D174="","Unknown",Raw_Donors!D174),"Unknown")</f>
        <v>Unknown</v>
      </c>
      <c r="F174" s="9" t="str">
        <f aca="false">IFERROR(IF(Raw_Donors!E174="","Unknown",Raw_Donors!E174),"Unknown")</f>
        <v>Female</v>
      </c>
      <c r="G174" s="9" t="str">
        <f aca="false">PROPER(TRIM(Raw_Donors!F174))</f>
        <v>Individual Donor</v>
      </c>
      <c r="H174" s="9" t="str">
        <f aca="false">IFERROR(IF(Raw_Donors!G174="","N",Raw_Donors!G174),"N")</f>
        <v>N</v>
      </c>
      <c r="I174" s="9" t="str">
        <f aca="false">IF(Raw_Donors!H174="","Not Rated",Raw_Donors!H174)</f>
        <v>Not Rated</v>
      </c>
      <c r="J174" s="9" t="str">
        <f aca="false">IF(TRIM(Raw_Donors!I174)="","Unknown",TRIM(Raw_Donors!I174))</f>
        <v>HOME</v>
      </c>
      <c r="K174" s="9" t="str">
        <f aca="false">Raw_Donors!J174</f>
        <v>N</v>
      </c>
      <c r="L174" s="9" t="n">
        <f aca="false">Raw_Donors!K174</f>
        <v>1</v>
      </c>
      <c r="M174" s="10" t="n">
        <f aca="false">IFERROR(VALUE(SUBSTITUTE(SUBSTITUTE(Raw_Donors!L174,"$",""),",","")),0)</f>
        <v>0</v>
      </c>
      <c r="N174" s="10" t="n">
        <f aca="false">IFERROR(VALUE(SUBSTITUTE(SUBSTITUTE(Raw_Donors!M174,"$",""),",","")),0)</f>
        <v>0</v>
      </c>
      <c r="O174" s="10" t="n">
        <f aca="false">IFERROR(VALUE(SUBSTITUTE(SUBSTITUTE(Raw_Donors!N174,"$",""),",","")),0)</f>
        <v>0</v>
      </c>
      <c r="P174" s="10" t="n">
        <f aca="false">IFERROR(VALUE(SUBSTITUTE(SUBSTITUTE(Raw_Donors!O174,"$",""),",","")),0)</f>
        <v>0</v>
      </c>
      <c r="Q174" s="10" t="n">
        <f aca="false">IFERROR(VALUE(SUBSTITUTE(SUBSTITUTE(Raw_Donors!P174,"$",""),",","")),0)</f>
        <v>0</v>
      </c>
      <c r="R174" s="10" t="n">
        <f aca="false">Raw_Donors!Q174</f>
        <v>1000</v>
      </c>
      <c r="S174" s="9" t="str">
        <f aca="false">Raw_Donors!R174</f>
        <v>Y</v>
      </c>
      <c r="T174" s="9" t="str">
        <f aca="false">IF(Raw_Donors!S174="","",Raw_Donors!S174)</f>
        <v/>
      </c>
      <c r="U174" s="9" t="str">
        <f aca="false">IF(AND((O174+P174)&gt;0,Q174=0),"Lapsed - Follow Up","")</f>
        <v/>
      </c>
      <c r="V174" s="9" t="n">
        <f aca="false">RANK(R174,$R$2:$R$759)+COUNTIF($R$2:R174,R174)-1</f>
        <v>60</v>
      </c>
      <c r="W174" s="9" t="str">
        <f aca="false">IF(U174="Lapsed - Follow Up",COUNTIF($U$2:U174,"Lapsed - Follow Up"),"")</f>
        <v/>
      </c>
    </row>
    <row r="175" customFormat="false" ht="15" hidden="false" customHeight="true" outlineLevel="0" collapsed="false">
      <c r="A175" s="9" t="str">
        <f aca="false">Raw_Donors!A175</f>
        <v>D1173</v>
      </c>
      <c r="B175" s="9" t="str">
        <f aca="false">IF(ISNUMBER(SEARCH("-DUP",A175)),"Duplicate ID","")</f>
        <v/>
      </c>
      <c r="C175" s="9" t="n">
        <f aca="false">Raw_Donors!B175</f>
        <v>17078</v>
      </c>
      <c r="D175" s="9" t="n">
        <f aca="false">Raw_Donors!C175</f>
        <v>83</v>
      </c>
      <c r="E175" s="9" t="str">
        <f aca="false">IFERROR(IF(Raw_Donors!D175="","Unknown",Raw_Donors!D175),"Unknown")</f>
        <v>Unknown</v>
      </c>
      <c r="F175" s="9" t="str">
        <f aca="false">IFERROR(IF(Raw_Donors!E175="","Unknown",Raw_Donors!E175),"Unknown")</f>
        <v>Male</v>
      </c>
      <c r="G175" s="9" t="str">
        <f aca="false">PROPER(TRIM(Raw_Donors!F175))</f>
        <v>Individual Donor</v>
      </c>
      <c r="H175" s="9" t="str">
        <f aca="false">IFERROR(IF(Raw_Donors!G175="","N",Raw_Donors!G175),"N")</f>
        <v>N</v>
      </c>
      <c r="I175" s="9" t="str">
        <f aca="false">IF(Raw_Donors!H175="","Not Rated",Raw_Donors!H175)</f>
        <v>Not Rated</v>
      </c>
      <c r="J175" s="9" t="str">
        <f aca="false">IF(TRIM(Raw_Donors!I175)="","Unknown",TRIM(Raw_Donors!I175))</f>
        <v>HOME</v>
      </c>
      <c r="K175" s="9" t="str">
        <f aca="false">Raw_Donors!J175</f>
        <v>N</v>
      </c>
      <c r="L175" s="9" t="n">
        <f aca="false">Raw_Donors!K175</f>
        <v>0</v>
      </c>
      <c r="M175" s="10" t="n">
        <f aca="false">IFERROR(VALUE(SUBSTITUTE(SUBSTITUTE(Raw_Donors!L175,"$",""),",","")),0)</f>
        <v>0</v>
      </c>
      <c r="N175" s="10" t="n">
        <f aca="false">IFERROR(VALUE(SUBSTITUTE(SUBSTITUTE(Raw_Donors!M175,"$",""),",","")),0)</f>
        <v>120</v>
      </c>
      <c r="O175" s="10" t="n">
        <f aca="false">IFERROR(VALUE(SUBSTITUTE(SUBSTITUTE(Raw_Donors!N175,"$",""),",","")),0)</f>
        <v>0</v>
      </c>
      <c r="P175" s="10" t="n">
        <f aca="false">IFERROR(VALUE(SUBSTITUTE(SUBSTITUTE(Raw_Donors!O175,"$",""),",","")),0)</f>
        <v>0</v>
      </c>
      <c r="Q175" s="10" t="n">
        <f aca="false">IFERROR(VALUE(SUBSTITUTE(SUBSTITUTE(Raw_Donors!P175,"$",""),",","")),0)</f>
        <v>0</v>
      </c>
      <c r="R175" s="10" t="n">
        <f aca="false">Raw_Donors!Q175</f>
        <v>120</v>
      </c>
      <c r="S175" s="9" t="str">
        <f aca="false">Raw_Donors!R175</f>
        <v>Y</v>
      </c>
      <c r="T175" s="9" t="str">
        <f aca="false">IF(Raw_Donors!S175="","",Raw_Donors!S175)</f>
        <v>1934-12-15</v>
      </c>
      <c r="U175" s="9" t="str">
        <f aca="false">IF(AND((O175+P175)&gt;0,Q175=0),"Lapsed - Follow Up","")</f>
        <v/>
      </c>
      <c r="V175" s="9" t="n">
        <f aca="false">RANK(R175,$R$2:$R$759)+COUNTIF($R$2:R175,R175)-1</f>
        <v>251</v>
      </c>
      <c r="W175" s="9" t="str">
        <f aca="false">IF(U175="Lapsed - Follow Up",COUNTIF($U$2:U175,"Lapsed - Follow Up"),"")</f>
        <v/>
      </c>
    </row>
    <row r="176" customFormat="false" ht="15" hidden="false" customHeight="true" outlineLevel="0" collapsed="false">
      <c r="A176" s="9" t="str">
        <f aca="false">Raw_Donors!A176</f>
        <v>D1174</v>
      </c>
      <c r="B176" s="9" t="str">
        <f aca="false">IF(ISNUMBER(SEARCH("-DUP",A176)),"Duplicate ID","")</f>
        <v/>
      </c>
      <c r="C176" s="9" t="n">
        <f aca="false">Raw_Donors!B176</f>
        <v>97709</v>
      </c>
      <c r="D176" s="9" t="n">
        <f aca="false">Raw_Donors!C176</f>
        <v>0</v>
      </c>
      <c r="E176" s="9" t="str">
        <f aca="false">IFERROR(IF(Raw_Donors!D176="","Unknown",Raw_Donors!D176),"Unknown")</f>
        <v>Married</v>
      </c>
      <c r="F176" s="9" t="str">
        <f aca="false">IFERROR(IF(Raw_Donors!E176="","Unknown",Raw_Donors!E176),"Unknown")</f>
        <v>Male</v>
      </c>
      <c r="G176" s="9" t="str">
        <f aca="false">PROPER(TRIM(Raw_Donors!F176))</f>
        <v>Community Partner</v>
      </c>
      <c r="H176" s="9" t="str">
        <f aca="false">IFERROR(IF(Raw_Donors!G176="","N",Raw_Donors!G176),"N")</f>
        <v>N</v>
      </c>
      <c r="I176" s="9" t="str">
        <f aca="false">IF(Raw_Donors!H176="","Not Rated",Raw_Donors!H176)</f>
        <v>Not Rated</v>
      </c>
      <c r="J176" s="9" t="str">
        <f aca="false">IF(TRIM(Raw_Donors!I176)="","Unknown",TRIM(Raw_Donors!I176))</f>
        <v>HOME</v>
      </c>
      <c r="K176" s="9" t="str">
        <f aca="false">Raw_Donors!J176</f>
        <v>N</v>
      </c>
      <c r="L176" s="9" t="n">
        <f aca="false">Raw_Donors!K176</f>
        <v>6</v>
      </c>
      <c r="M176" s="10" t="n">
        <f aca="false">IFERROR(VALUE(SUBSTITUTE(SUBSTITUTE(Raw_Donors!L176,"$",""),",","")),0)</f>
        <v>0</v>
      </c>
      <c r="N176" s="10" t="n">
        <f aca="false">IFERROR(VALUE(SUBSTITUTE(SUBSTITUTE(Raw_Donors!M176,"$",""),",","")),0)</f>
        <v>0</v>
      </c>
      <c r="O176" s="10" t="n">
        <f aca="false">IFERROR(VALUE(SUBSTITUTE(SUBSTITUTE(Raw_Donors!N176,"$",""),",","")),0)</f>
        <v>0</v>
      </c>
      <c r="P176" s="10" t="n">
        <f aca="false">IFERROR(VALUE(SUBSTITUTE(SUBSTITUTE(Raw_Donors!O176,"$",""),",","")),0)</f>
        <v>0</v>
      </c>
      <c r="Q176" s="10" t="n">
        <f aca="false">IFERROR(VALUE(SUBSTITUTE(SUBSTITUTE(Raw_Donors!P176,"$",""),",","")),0)</f>
        <v>0</v>
      </c>
      <c r="R176" s="10" t="n">
        <f aca="false">Raw_Donors!Q176</f>
        <v>400</v>
      </c>
      <c r="S176" s="9" t="str">
        <f aca="false">Raw_Donors!R176</f>
        <v>Y</v>
      </c>
      <c r="T176" s="9" t="str">
        <f aca="false">IF(Raw_Donors!S176="","",Raw_Donors!S176)</f>
        <v/>
      </c>
      <c r="U176" s="9" t="str">
        <f aca="false">IF(AND((O176+P176)&gt;0,Q176=0),"Lapsed - Follow Up","")</f>
        <v/>
      </c>
      <c r="V176" s="9" t="n">
        <f aca="false">RANK(R176,$R$2:$R$759)+COUNTIF($R$2:R176,R176)-1</f>
        <v>111</v>
      </c>
      <c r="W176" s="9" t="str">
        <f aca="false">IF(U176="Lapsed - Follow Up",COUNTIF($U$2:U176,"Lapsed - Follow Up"),"")</f>
        <v/>
      </c>
    </row>
    <row r="177" customFormat="false" ht="15" hidden="false" customHeight="true" outlineLevel="0" collapsed="false">
      <c r="A177" s="9" t="str">
        <f aca="false">Raw_Donors!A177</f>
        <v>D1175</v>
      </c>
      <c r="B177" s="9" t="str">
        <f aca="false">IF(ISNUMBER(SEARCH("-DUP",A177)),"Duplicate ID","")</f>
        <v/>
      </c>
      <c r="C177" s="9" t="n">
        <f aca="false">Raw_Donors!B177</f>
        <v>49091</v>
      </c>
      <c r="D177" s="9" t="n">
        <f aca="false">Raw_Donors!C177</f>
        <v>35</v>
      </c>
      <c r="E177" s="9" t="str">
        <f aca="false">IFERROR(IF(Raw_Donors!D177="","Unknown",Raw_Donors!D177),"Unknown")</f>
        <v>Unknown</v>
      </c>
      <c r="F177" s="9" t="str">
        <f aca="false">IFERROR(IF(Raw_Donors!E177="","Unknown",Raw_Donors!E177),"Unknown")</f>
        <v>Female</v>
      </c>
      <c r="G177" s="9" t="str">
        <f aca="false">PROPER(TRIM(Raw_Donors!F177))</f>
        <v>Individual Donor</v>
      </c>
      <c r="H177" s="9" t="str">
        <f aca="false">IFERROR(IF(Raw_Donors!G177="","N",Raw_Donors!G177),"N")</f>
        <v>N</v>
      </c>
      <c r="I177" s="9" t="str">
        <f aca="false">IF(Raw_Donors!H177="","Not Rated",Raw_Donors!H177)</f>
        <v>Not Rated</v>
      </c>
      <c r="J177" s="9" t="str">
        <f aca="false">IF(TRIM(Raw_Donors!I177)="","Unknown",TRIM(Raw_Donors!I177))</f>
        <v>HOME</v>
      </c>
      <c r="K177" s="9" t="str">
        <f aca="false">Raw_Donors!J177</f>
        <v>Y</v>
      </c>
      <c r="L177" s="9" t="n">
        <f aca="false">Raw_Donors!K177</f>
        <v>0</v>
      </c>
      <c r="M177" s="10" t="n">
        <f aca="false">IFERROR(VALUE(SUBSTITUTE(SUBSTITUTE(Raw_Donors!L177,"$",""),",","")),0)</f>
        <v>0</v>
      </c>
      <c r="N177" s="10" t="n">
        <f aca="false">IFERROR(VALUE(SUBSTITUTE(SUBSTITUTE(Raw_Donors!M177,"$",""),",","")),0)</f>
        <v>0</v>
      </c>
      <c r="O177" s="10" t="n">
        <f aca="false">IFERROR(VALUE(SUBSTITUTE(SUBSTITUTE(Raw_Donors!N177,"$",""),",","")),0)</f>
        <v>0</v>
      </c>
      <c r="P177" s="10" t="n">
        <f aca="false">IFERROR(VALUE(SUBSTITUTE(SUBSTITUTE(Raw_Donors!O177,"$",""),",","")),0)</f>
        <v>0</v>
      </c>
      <c r="Q177" s="10" t="n">
        <f aca="false">IFERROR(VALUE(SUBSTITUTE(SUBSTITUTE(Raw_Donors!P177,"$",""),",","")),0)</f>
        <v>0</v>
      </c>
      <c r="R177" s="10" t="n">
        <f aca="false">Raw_Donors!Q177</f>
        <v>75</v>
      </c>
      <c r="S177" s="9" t="str">
        <f aca="false">Raw_Donors!R177</f>
        <v>Y</v>
      </c>
      <c r="T177" s="9" t="str">
        <f aca="false">IF(Raw_Donors!S177="","",Raw_Donors!S177)</f>
        <v>1982-03-16</v>
      </c>
      <c r="U177" s="9" t="str">
        <f aca="false">IF(AND((O177+P177)&gt;0,Q177=0),"Lapsed - Follow Up","")</f>
        <v/>
      </c>
      <c r="V177" s="9" t="n">
        <f aca="false">RANK(R177,$R$2:$R$759)+COUNTIF($R$2:R177,R177)-1</f>
        <v>329</v>
      </c>
      <c r="W177" s="9" t="str">
        <f aca="false">IF(U177="Lapsed - Follow Up",COUNTIF($U$2:U177,"Lapsed - Follow Up"),"")</f>
        <v/>
      </c>
    </row>
    <row r="178" customFormat="false" ht="15" hidden="false" customHeight="true" outlineLevel="0" collapsed="false">
      <c r="A178" s="9" t="str">
        <f aca="false">Raw_Donors!A178</f>
        <v>D1176</v>
      </c>
      <c r="B178" s="9" t="str">
        <f aca="false">IF(ISNUMBER(SEARCH("-DUP",A178)),"Duplicate ID","")</f>
        <v/>
      </c>
      <c r="C178" s="9" t="n">
        <f aca="false">Raw_Donors!B178</f>
        <v>43635</v>
      </c>
      <c r="D178" s="9" t="n">
        <f aca="false">Raw_Donors!C178</f>
        <v>0</v>
      </c>
      <c r="E178" s="9" t="str">
        <f aca="false">IFERROR(IF(Raw_Donors!D178="","Unknown",Raw_Donors!D178),"Unknown")</f>
        <v>Married</v>
      </c>
      <c r="F178" s="9" t="str">
        <f aca="false">IFERROR(IF(Raw_Donors!E178="","Unknown",Raw_Donors!E178),"Unknown")</f>
        <v>Male</v>
      </c>
      <c r="G178" s="9" t="str">
        <f aca="false">PROPER(TRIM(Raw_Donors!F178))</f>
        <v>Individual Donor</v>
      </c>
      <c r="H178" s="9" t="str">
        <f aca="false">IFERROR(IF(Raw_Donors!G178="","N",Raw_Donors!G178),"N")</f>
        <v>N</v>
      </c>
      <c r="I178" s="9" t="str">
        <f aca="false">IF(Raw_Donors!H178="","Not Rated",Raw_Donors!H178)</f>
        <v>Not Rated</v>
      </c>
      <c r="J178" s="9" t="str">
        <f aca="false">IF(TRIM(Raw_Donors!I178)="","Unknown",TRIM(Raw_Donors!I178))</f>
        <v>Unknown</v>
      </c>
      <c r="K178" s="9" t="str">
        <f aca="false">Raw_Donors!J178</f>
        <v>N</v>
      </c>
      <c r="L178" s="9" t="n">
        <f aca="false">Raw_Donors!K178</f>
        <v>0</v>
      </c>
      <c r="M178" s="10" t="n">
        <f aca="false">IFERROR(VALUE(SUBSTITUTE(SUBSTITUTE(Raw_Donors!L178,"$",""),",","")),0)</f>
        <v>0</v>
      </c>
      <c r="N178" s="10" t="n">
        <f aca="false">IFERROR(VALUE(SUBSTITUTE(SUBSTITUTE(Raw_Donors!M178,"$",""),",","")),0)</f>
        <v>420</v>
      </c>
      <c r="O178" s="10" t="n">
        <f aca="false">IFERROR(VALUE(SUBSTITUTE(SUBSTITUTE(Raw_Donors!N178,"$",""),",","")),0)</f>
        <v>0</v>
      </c>
      <c r="P178" s="10" t="n">
        <f aca="false">IFERROR(VALUE(SUBSTITUTE(SUBSTITUTE(Raw_Donors!O178,"$",""),",","")),0)</f>
        <v>0</v>
      </c>
      <c r="Q178" s="10" t="n">
        <f aca="false">IFERROR(VALUE(SUBSTITUTE(SUBSTITUTE(Raw_Donors!P178,"$",""),",","")),0)</f>
        <v>0</v>
      </c>
      <c r="R178" s="10" t="n">
        <f aca="false">Raw_Donors!Q178</f>
        <v>420</v>
      </c>
      <c r="S178" s="9" t="str">
        <f aca="false">Raw_Donors!R178</f>
        <v>Y</v>
      </c>
      <c r="T178" s="9" t="str">
        <f aca="false">IF(Raw_Donors!S178="","",Raw_Donors!S178)</f>
        <v/>
      </c>
      <c r="U178" s="9" t="str">
        <f aca="false">IF(AND((O178+P178)&gt;0,Q178=0),"Lapsed - Follow Up","")</f>
        <v/>
      </c>
      <c r="V178" s="9" t="n">
        <f aca="false">RANK(R178,$R$2:$R$759)+COUNTIF($R$2:R178,R178)-1</f>
        <v>107</v>
      </c>
      <c r="W178" s="9" t="str">
        <f aca="false">IF(U178="Lapsed - Follow Up",COUNTIF($U$2:U178,"Lapsed - Follow Up"),"")</f>
        <v/>
      </c>
    </row>
    <row r="179" customFormat="false" ht="15" hidden="false" customHeight="true" outlineLevel="0" collapsed="false">
      <c r="A179" s="9" t="str">
        <f aca="false">Raw_Donors!A179</f>
        <v>D1177</v>
      </c>
      <c r="B179" s="9" t="str">
        <f aca="false">IF(ISNUMBER(SEARCH("-DUP",A179)),"Duplicate ID","")</f>
        <v/>
      </c>
      <c r="C179" s="9" t="n">
        <f aca="false">Raw_Donors!B179</f>
        <v>41105</v>
      </c>
      <c r="D179" s="9" t="n">
        <f aca="false">Raw_Donors!C179</f>
        <v>80</v>
      </c>
      <c r="E179" s="9" t="str">
        <f aca="false">IFERROR(IF(Raw_Donors!D179="","Unknown",Raw_Donors!D179),"Unknown")</f>
        <v>Unknown</v>
      </c>
      <c r="F179" s="9" t="str">
        <f aca="false">IFERROR(IF(Raw_Donors!E179="","Unknown",Raw_Donors!E179),"Unknown")</f>
        <v>Female</v>
      </c>
      <c r="G179" s="9" t="str">
        <f aca="false">PROPER(TRIM(Raw_Donors!F179))</f>
        <v>Individual Donor</v>
      </c>
      <c r="H179" s="9" t="str">
        <f aca="false">IFERROR(IF(Raw_Donors!G179="","N",Raw_Donors!G179),"N")</f>
        <v>N</v>
      </c>
      <c r="I179" s="9" t="str">
        <f aca="false">IF(Raw_Donors!H179="","Not Rated",Raw_Donors!H179)</f>
        <v>Not Rated</v>
      </c>
      <c r="J179" s="9" t="str">
        <f aca="false">IF(TRIM(Raw_Donors!I179)="","Unknown",TRIM(Raw_Donors!I179))</f>
        <v>HOME</v>
      </c>
      <c r="K179" s="9" t="str">
        <f aca="false">Raw_Donors!J179</f>
        <v>N</v>
      </c>
      <c r="L179" s="9" t="n">
        <f aca="false">Raw_Donors!K179</f>
        <v>0</v>
      </c>
      <c r="M179" s="10" t="n">
        <f aca="false">IFERROR(VALUE(SUBSTITUTE(SUBSTITUTE(Raw_Donors!L179,"$",""),",","")),0)</f>
        <v>0</v>
      </c>
      <c r="N179" s="10" t="n">
        <f aca="false">IFERROR(VALUE(SUBSTITUTE(SUBSTITUTE(Raw_Donors!M179,"$",""),",","")),0)</f>
        <v>0</v>
      </c>
      <c r="O179" s="10" t="n">
        <f aca="false">IFERROR(VALUE(SUBSTITUTE(SUBSTITUTE(Raw_Donors!N179,"$",""),",","")),0)</f>
        <v>0</v>
      </c>
      <c r="P179" s="10" t="n">
        <f aca="false">IFERROR(VALUE(SUBSTITUTE(SUBSTITUTE(Raw_Donors!O179,"$",""),",","")),0)</f>
        <v>1</v>
      </c>
      <c r="Q179" s="10" t="n">
        <f aca="false">IFERROR(VALUE(SUBSTITUTE(SUBSTITUTE(Raw_Donors!P179,"$",""),",","")),0)</f>
        <v>0</v>
      </c>
      <c r="R179" s="10" t="n">
        <f aca="false">Raw_Donors!Q179</f>
        <v>664</v>
      </c>
      <c r="S179" s="9" t="str">
        <f aca="false">Raw_Donors!R179</f>
        <v>Y</v>
      </c>
      <c r="T179" s="9" t="str">
        <f aca="false">IF(Raw_Donors!S179="","",Raw_Donors!S179)</f>
        <v>1937-12-16</v>
      </c>
      <c r="U179" s="9" t="str">
        <f aca="false">IF(AND((O179+P179)&gt;0,Q179=0),"Lapsed - Follow Up","")</f>
        <v>Lapsed - Follow Up</v>
      </c>
      <c r="V179" s="9" t="n">
        <f aca="false">RANK(R179,$R$2:$R$759)+COUNTIF($R$2:R179,R179)-1</f>
        <v>73</v>
      </c>
      <c r="W179" s="9" t="n">
        <f aca="false">IF(U179="Lapsed - Follow Up",COUNTIF($U$2:U179,"Lapsed - Follow Up"),"")</f>
        <v>33</v>
      </c>
    </row>
    <row r="180" customFormat="false" ht="15" hidden="false" customHeight="true" outlineLevel="0" collapsed="false">
      <c r="A180" s="9" t="str">
        <f aca="false">Raw_Donors!A180</f>
        <v>D1178</v>
      </c>
      <c r="B180" s="9" t="str">
        <f aca="false">IF(ISNUMBER(SEARCH("-DUP",A180)),"Duplicate ID","")</f>
        <v/>
      </c>
      <c r="C180" s="9" t="n">
        <f aca="false">Raw_Donors!B180</f>
        <v>7462</v>
      </c>
      <c r="D180" s="9" t="n">
        <f aca="false">Raw_Donors!C180</f>
        <v>44</v>
      </c>
      <c r="E180" s="9" t="str">
        <f aca="false">IFERROR(IF(Raw_Donors!D180="","Unknown",Raw_Donors!D180),"Unknown")</f>
        <v>Unknown</v>
      </c>
      <c r="F180" s="9" t="str">
        <f aca="false">IFERROR(IF(Raw_Donors!E180="","Unknown",Raw_Donors!E180),"Unknown")</f>
        <v>Male</v>
      </c>
      <c r="G180" s="9" t="str">
        <f aca="false">PROPER(TRIM(Raw_Donors!F180))</f>
        <v>Individual Donor</v>
      </c>
      <c r="H180" s="9" t="str">
        <f aca="false">IFERROR(IF(Raw_Donors!G180="","N",Raw_Donors!G180),"N")</f>
        <v>N</v>
      </c>
      <c r="I180" s="9" t="str">
        <f aca="false">IF(Raw_Donors!H180="","Not Rated",Raw_Donors!H180)</f>
        <v>Not Rated</v>
      </c>
      <c r="J180" s="9" t="str">
        <f aca="false">IF(TRIM(Raw_Donors!I180)="","Unknown",TRIM(Raw_Donors!I180))</f>
        <v>HOME</v>
      </c>
      <c r="K180" s="9" t="str">
        <f aca="false">Raw_Donors!J180</f>
        <v>Y</v>
      </c>
      <c r="L180" s="9" t="n">
        <f aca="false">Raw_Donors!K180</f>
        <v>0</v>
      </c>
      <c r="M180" s="10" t="n">
        <f aca="false">IFERROR(VALUE(SUBSTITUTE(SUBSTITUTE(Raw_Donors!L180,"$",""),",","")),0)</f>
        <v>0</v>
      </c>
      <c r="N180" s="10" t="n">
        <f aca="false">IFERROR(VALUE(SUBSTITUTE(SUBSTITUTE(Raw_Donors!M180,"$",""),",","")),0)</f>
        <v>0</v>
      </c>
      <c r="O180" s="10" t="n">
        <f aca="false">IFERROR(VALUE(SUBSTITUTE(SUBSTITUTE(Raw_Donors!N180,"$",""),",","")),0)</f>
        <v>0</v>
      </c>
      <c r="P180" s="10" t="n">
        <f aca="false">IFERROR(VALUE(SUBSTITUTE(SUBSTITUTE(Raw_Donors!O180,"$",""),",","")),0)</f>
        <v>0</v>
      </c>
      <c r="Q180" s="10" t="n">
        <f aca="false">IFERROR(VALUE(SUBSTITUTE(SUBSTITUTE(Raw_Donors!P180,"$",""),",","")),0)</f>
        <v>0</v>
      </c>
      <c r="R180" s="10" t="n">
        <f aca="false">Raw_Donors!Q180</f>
        <v>50</v>
      </c>
      <c r="S180" s="9" t="str">
        <f aca="false">Raw_Donors!R180</f>
        <v>Y</v>
      </c>
      <c r="T180" s="9" t="str">
        <f aca="false">IF(Raw_Donors!S180="","",Raw_Donors!S180)</f>
        <v>1973-01-21</v>
      </c>
      <c r="U180" s="9" t="str">
        <f aca="false">IF(AND((O180+P180)&gt;0,Q180=0),"Lapsed - Follow Up","")</f>
        <v/>
      </c>
      <c r="V180" s="9" t="n">
        <f aca="false">RANK(R180,$R$2:$R$759)+COUNTIF($R$2:R180,R180)-1</f>
        <v>367</v>
      </c>
      <c r="W180" s="9" t="str">
        <f aca="false">IF(U180="Lapsed - Follow Up",COUNTIF($U$2:U180,"Lapsed - Follow Up"),"")</f>
        <v/>
      </c>
    </row>
    <row r="181" customFormat="false" ht="15" hidden="false" customHeight="true" outlineLevel="0" collapsed="false">
      <c r="A181" s="9" t="str">
        <f aca="false">Raw_Donors!A181</f>
        <v>D1179</v>
      </c>
      <c r="B181" s="9" t="str">
        <f aca="false">IF(ISNUMBER(SEARCH("-DUP",A181)),"Duplicate ID","")</f>
        <v/>
      </c>
      <c r="C181" s="9" t="n">
        <f aca="false">Raw_Donors!B181</f>
        <v>85359</v>
      </c>
      <c r="D181" s="9" t="n">
        <f aca="false">Raw_Donors!C181</f>
        <v>0</v>
      </c>
      <c r="E181" s="9" t="str">
        <f aca="false">IFERROR(IF(Raw_Donors!D181="","Unknown",Raw_Donors!D181),"Unknown")</f>
        <v>Unknown</v>
      </c>
      <c r="F181" s="9" t="str">
        <f aca="false">IFERROR(IF(Raw_Donors!E181="","Unknown",Raw_Donors!E181),"Unknown")</f>
        <v>Male</v>
      </c>
      <c r="G181" s="9" t="str">
        <f aca="false">PROPER(TRIM(Raw_Donors!F181))</f>
        <v>Individual Donor</v>
      </c>
      <c r="H181" s="9" t="str">
        <f aca="false">IFERROR(IF(Raw_Donors!G181="","N",Raw_Donors!G181),"N")</f>
        <v>N</v>
      </c>
      <c r="I181" s="9" t="str">
        <f aca="false">IF(Raw_Donors!H181="","Not Rated",Raw_Donors!H181)</f>
        <v>Not Rated</v>
      </c>
      <c r="J181" s="9" t="str">
        <f aca="false">IF(TRIM(Raw_Donors!I181)="","Unknown",TRIM(Raw_Donors!I181))</f>
        <v>HOME</v>
      </c>
      <c r="K181" s="9" t="str">
        <f aca="false">Raw_Donors!J181</f>
        <v>N</v>
      </c>
      <c r="L181" s="9" t="n">
        <f aca="false">Raw_Donors!K181</f>
        <v>1</v>
      </c>
      <c r="M181" s="10" t="n">
        <f aca="false">IFERROR(VALUE(SUBSTITUTE(SUBSTITUTE(Raw_Donors!L181,"$",""),",","")),0)</f>
        <v>0</v>
      </c>
      <c r="N181" s="10" t="n">
        <f aca="false">IFERROR(VALUE(SUBSTITUTE(SUBSTITUTE(Raw_Donors!M181,"$",""),",","")),0)</f>
        <v>0</v>
      </c>
      <c r="O181" s="10" t="n">
        <f aca="false">IFERROR(VALUE(SUBSTITUTE(SUBSTITUTE(Raw_Donors!N181,"$",""),",","")),0)</f>
        <v>0</v>
      </c>
      <c r="P181" s="10" t="n">
        <f aca="false">IFERROR(VALUE(SUBSTITUTE(SUBSTITUTE(Raw_Donors!O181,"$",""),",","")),0)</f>
        <v>0</v>
      </c>
      <c r="Q181" s="10" t="n">
        <f aca="false">IFERROR(VALUE(SUBSTITUTE(SUBSTITUTE(Raw_Donors!P181,"$",""),",","")),0)</f>
        <v>0</v>
      </c>
      <c r="R181" s="10" t="n">
        <f aca="false">Raw_Donors!Q181</f>
        <v>0</v>
      </c>
      <c r="S181" s="9" t="str">
        <f aca="false">Raw_Donors!R181</f>
        <v>N</v>
      </c>
      <c r="T181" s="9" t="str">
        <f aca="false">IF(Raw_Donors!S181="","",Raw_Donors!S181)</f>
        <v/>
      </c>
      <c r="U181" s="9" t="str">
        <f aca="false">IF(AND((O181+P181)&gt;0,Q181=0),"Lapsed - Follow Up","")</f>
        <v/>
      </c>
      <c r="V181" s="9" t="n">
        <f aca="false">RANK(R181,$R$2:$R$759)+COUNTIF($R$2:R181,R181)-1</f>
        <v>604</v>
      </c>
      <c r="W181" s="9" t="str">
        <f aca="false">IF(U181="Lapsed - Follow Up",COUNTIF($U$2:U181,"Lapsed - Follow Up"),"")</f>
        <v/>
      </c>
    </row>
    <row r="182" customFormat="false" ht="15" hidden="false" customHeight="true" outlineLevel="0" collapsed="false">
      <c r="A182" s="9" t="str">
        <f aca="false">Raw_Donors!A182</f>
        <v>D1180</v>
      </c>
      <c r="B182" s="9" t="str">
        <f aca="false">IF(ISNUMBER(SEARCH("-DUP",A182)),"Duplicate ID","")</f>
        <v/>
      </c>
      <c r="C182" s="9" t="n">
        <f aca="false">Raw_Donors!B182</f>
        <v>90265</v>
      </c>
      <c r="D182" s="9" t="n">
        <f aca="false">Raw_Donors!C182</f>
        <v>58</v>
      </c>
      <c r="E182" s="9" t="str">
        <f aca="false">IFERROR(IF(Raw_Donors!D182="","Unknown",Raw_Donors!D182),"Unknown")</f>
        <v>Unknown</v>
      </c>
      <c r="F182" s="9" t="str">
        <f aca="false">IFERROR(IF(Raw_Donors!E182="","Unknown",Raw_Donors!E182),"Unknown")</f>
        <v>Female</v>
      </c>
      <c r="G182" s="9" t="str">
        <f aca="false">PROPER(TRIM(Raw_Donors!F182))</f>
        <v>Community Partner</v>
      </c>
      <c r="H182" s="9" t="str">
        <f aca="false">IFERROR(IF(Raw_Donors!G182="","N",Raw_Donors!G182),"N")</f>
        <v>Y</v>
      </c>
      <c r="I182" s="9" t="str">
        <f aca="false">IF(Raw_Donors!H182="","Not Rated",Raw_Donors!H182)</f>
        <v>$100,000-$249,999</v>
      </c>
      <c r="J182" s="9" t="str">
        <f aca="false">IF(TRIM(Raw_Donors!I182)="","Unknown",TRIM(Raw_Donors!I182))</f>
        <v>Unknown</v>
      </c>
      <c r="K182" s="9" t="str">
        <f aca="false">Raw_Donors!J182</f>
        <v>Y</v>
      </c>
      <c r="L182" s="9" t="n">
        <f aca="false">Raw_Donors!K182</f>
        <v>10</v>
      </c>
      <c r="M182" s="10" t="n">
        <f aca="false">IFERROR(VALUE(SUBSTITUTE(SUBSTITUTE(Raw_Donors!L182,"$",""),",","")),0)</f>
        <v>35</v>
      </c>
      <c r="N182" s="10" t="n">
        <f aca="false">IFERROR(VALUE(SUBSTITUTE(SUBSTITUTE(Raw_Donors!M182,"$",""),",","")),0)</f>
        <v>0</v>
      </c>
      <c r="O182" s="10" t="n">
        <f aca="false">IFERROR(VALUE(SUBSTITUTE(SUBSTITUTE(Raw_Donors!N182,"$",""),",","")),0)</f>
        <v>0</v>
      </c>
      <c r="P182" s="10" t="n">
        <f aca="false">IFERROR(VALUE(SUBSTITUTE(SUBSTITUTE(Raw_Donors!O182,"$",""),",","")),0)</f>
        <v>0</v>
      </c>
      <c r="Q182" s="10" t="n">
        <f aca="false">IFERROR(VALUE(SUBSTITUTE(SUBSTITUTE(Raw_Donors!P182,"$",""),",","")),0)</f>
        <v>0</v>
      </c>
      <c r="R182" s="10" t="n">
        <f aca="false">Raw_Donors!Q182</f>
        <v>295</v>
      </c>
      <c r="S182" s="9" t="str">
        <f aca="false">Raw_Donors!R182</f>
        <v>Y</v>
      </c>
      <c r="T182" s="9" t="str">
        <f aca="false">IF(Raw_Donors!S182="","",Raw_Donors!S182)</f>
        <v>1959-08-11</v>
      </c>
      <c r="U182" s="9" t="str">
        <f aca="false">IF(AND((O182+P182)&gt;0,Q182=0),"Lapsed - Follow Up","")</f>
        <v/>
      </c>
      <c r="V182" s="9" t="n">
        <f aca="false">RANK(R182,$R$2:$R$759)+COUNTIF($R$2:R182,R182)-1</f>
        <v>147</v>
      </c>
      <c r="W182" s="9" t="str">
        <f aca="false">IF(U182="Lapsed - Follow Up",COUNTIF($U$2:U182,"Lapsed - Follow Up"),"")</f>
        <v/>
      </c>
    </row>
    <row r="183" customFormat="false" ht="15" hidden="false" customHeight="true" outlineLevel="0" collapsed="false">
      <c r="A183" s="9" t="str">
        <f aca="false">Raw_Donors!A183</f>
        <v>D1181</v>
      </c>
      <c r="B183" s="9" t="str">
        <f aca="false">IF(ISNUMBER(SEARCH("-DUP",A183)),"Duplicate ID","")</f>
        <v/>
      </c>
      <c r="C183" s="9" t="n">
        <f aca="false">Raw_Donors!B183</f>
        <v>35897</v>
      </c>
      <c r="D183" s="9" t="n">
        <f aca="false">Raw_Donors!C183</f>
        <v>0</v>
      </c>
      <c r="E183" s="9" t="str">
        <f aca="false">IFERROR(IF(Raw_Donors!D183="","Unknown",Raw_Donors!D183),"Unknown")</f>
        <v>Unknown</v>
      </c>
      <c r="F183" s="9" t="str">
        <f aca="false">IFERROR(IF(Raw_Donors!E183="","Unknown",Raw_Donors!E183),"Unknown")</f>
        <v>Male</v>
      </c>
      <c r="G183" s="9" t="str">
        <f aca="false">PROPER(TRIM(Raw_Donors!F183))</f>
        <v>Individual Donor</v>
      </c>
      <c r="H183" s="9" t="str">
        <f aca="false">IFERROR(IF(Raw_Donors!G183="","N",Raw_Donors!G183),"N")</f>
        <v>N</v>
      </c>
      <c r="I183" s="9" t="str">
        <f aca="false">IF(Raw_Donors!H183="","Not Rated",Raw_Donors!H183)</f>
        <v>Not Rated</v>
      </c>
      <c r="J183" s="9" t="str">
        <f aca="false">IF(TRIM(Raw_Donors!I183)="","Unknown",TRIM(Raw_Donors!I183))</f>
        <v>HOME</v>
      </c>
      <c r="K183" s="9" t="str">
        <f aca="false">Raw_Donors!J183</f>
        <v>N</v>
      </c>
      <c r="L183" s="9" t="n">
        <f aca="false">Raw_Donors!K183</f>
        <v>1</v>
      </c>
      <c r="M183" s="10" t="n">
        <f aca="false">IFERROR(VALUE(SUBSTITUTE(SUBSTITUTE(Raw_Donors!L183,"$",""),",","")),0)</f>
        <v>0</v>
      </c>
      <c r="N183" s="10" t="n">
        <f aca="false">IFERROR(VALUE(SUBSTITUTE(SUBSTITUTE(Raw_Donors!M183,"$",""),",","")),0)</f>
        <v>0</v>
      </c>
      <c r="O183" s="10" t="n">
        <f aca="false">IFERROR(VALUE(SUBSTITUTE(SUBSTITUTE(Raw_Donors!N183,"$",""),",","")),0)</f>
        <v>0</v>
      </c>
      <c r="P183" s="10" t="n">
        <f aca="false">IFERROR(VALUE(SUBSTITUTE(SUBSTITUTE(Raw_Donors!O183,"$",""),",","")),0)</f>
        <v>0</v>
      </c>
      <c r="Q183" s="10" t="n">
        <f aca="false">IFERROR(VALUE(SUBSTITUTE(SUBSTITUTE(Raw_Donors!P183,"$",""),",","")),0)</f>
        <v>0</v>
      </c>
      <c r="R183" s="10" t="n">
        <f aca="false">Raw_Donors!Q183</f>
        <v>0</v>
      </c>
      <c r="S183" s="9" t="str">
        <f aca="false">Raw_Donors!R183</f>
        <v>N</v>
      </c>
      <c r="T183" s="9" t="str">
        <f aca="false">IF(Raw_Donors!S183="","",Raw_Donors!S183)</f>
        <v/>
      </c>
      <c r="U183" s="9" t="str">
        <f aca="false">IF(AND((O183+P183)&gt;0,Q183=0),"Lapsed - Follow Up","")</f>
        <v/>
      </c>
      <c r="V183" s="9" t="n">
        <f aca="false">RANK(R183,$R$2:$R$759)+COUNTIF($R$2:R183,R183)-1</f>
        <v>605</v>
      </c>
      <c r="W183" s="9" t="str">
        <f aca="false">IF(U183="Lapsed - Follow Up",COUNTIF($U$2:U183,"Lapsed - Follow Up"),"")</f>
        <v/>
      </c>
    </row>
    <row r="184" customFormat="false" ht="15" hidden="false" customHeight="true" outlineLevel="0" collapsed="false">
      <c r="A184" s="9" t="str">
        <f aca="false">Raw_Donors!A184</f>
        <v>D1182</v>
      </c>
      <c r="B184" s="9" t="str">
        <f aca="false">IF(ISNUMBER(SEARCH("-DUP",A184)),"Duplicate ID","")</f>
        <v/>
      </c>
      <c r="C184" s="9" t="n">
        <f aca="false">Raw_Donors!B184</f>
        <v>94503</v>
      </c>
      <c r="D184" s="9" t="n">
        <f aca="false">Raw_Donors!C184</f>
        <v>24</v>
      </c>
      <c r="E184" s="9" t="str">
        <f aca="false">IFERROR(IF(Raw_Donors!D184="","Unknown",Raw_Donors!D184),"Unknown")</f>
        <v>Unknown</v>
      </c>
      <c r="F184" s="9" t="str">
        <f aca="false">IFERROR(IF(Raw_Donors!E184="","Unknown",Raw_Donors!E184),"Unknown")</f>
        <v>Female</v>
      </c>
      <c r="G184" s="9" t="str">
        <f aca="false">PROPER(TRIM(Raw_Donors!F184))</f>
        <v>Individual Donor</v>
      </c>
      <c r="H184" s="9" t="str">
        <f aca="false">IFERROR(IF(Raw_Donors!G184="","N",Raw_Donors!G184),"N")</f>
        <v>N</v>
      </c>
      <c r="I184" s="9" t="str">
        <f aca="false">IF(Raw_Donors!H184="","Not Rated",Raw_Donors!H184)</f>
        <v>Not Rated</v>
      </c>
      <c r="J184" s="9" t="str">
        <f aca="false">IF(TRIM(Raw_Donors!I184)="","Unknown",TRIM(Raw_Donors!I184))</f>
        <v>Unknown</v>
      </c>
      <c r="K184" s="9" t="str">
        <f aca="false">Raw_Donors!J184</f>
        <v>N</v>
      </c>
      <c r="L184" s="9" t="n">
        <f aca="false">Raw_Donors!K184</f>
        <v>0</v>
      </c>
      <c r="M184" s="10" t="n">
        <f aca="false">IFERROR(VALUE(SUBSTITUTE(SUBSTITUTE(Raw_Donors!L184,"$",""),",","")),0)</f>
        <v>0</v>
      </c>
      <c r="N184" s="10" t="n">
        <f aca="false">IFERROR(VALUE(SUBSTITUTE(SUBSTITUTE(Raw_Donors!M184,"$",""),",","")),0)</f>
        <v>0</v>
      </c>
      <c r="O184" s="10" t="n">
        <f aca="false">IFERROR(VALUE(SUBSTITUTE(SUBSTITUTE(Raw_Donors!N184,"$",""),",","")),0)</f>
        <v>0</v>
      </c>
      <c r="P184" s="10" t="n">
        <f aca="false">IFERROR(VALUE(SUBSTITUTE(SUBSTITUTE(Raw_Donors!O184,"$",""),",","")),0)</f>
        <v>0</v>
      </c>
      <c r="Q184" s="10" t="n">
        <f aca="false">IFERROR(VALUE(SUBSTITUTE(SUBSTITUTE(Raw_Donors!P184,"$",""),",","")),0)</f>
        <v>0</v>
      </c>
      <c r="R184" s="10" t="n">
        <f aca="false">Raw_Donors!Q184</f>
        <v>100</v>
      </c>
      <c r="S184" s="9" t="str">
        <f aca="false">Raw_Donors!R184</f>
        <v>Y</v>
      </c>
      <c r="T184" s="9" t="str">
        <f aca="false">IF(Raw_Donors!S184="","",Raw_Donors!S184)</f>
        <v>1993-03-16</v>
      </c>
      <c r="U184" s="9" t="str">
        <f aca="false">IF(AND((O184+P184)&gt;0,Q184=0),"Lapsed - Follow Up","")</f>
        <v/>
      </c>
      <c r="V184" s="9" t="n">
        <f aca="false">RANK(R184,$R$2:$R$759)+COUNTIF($R$2:R184,R184)-1</f>
        <v>278</v>
      </c>
      <c r="W184" s="9" t="str">
        <f aca="false">IF(U184="Lapsed - Follow Up",COUNTIF($U$2:U184,"Lapsed - Follow Up"),"")</f>
        <v/>
      </c>
    </row>
    <row r="185" customFormat="false" ht="15" hidden="false" customHeight="true" outlineLevel="0" collapsed="false">
      <c r="A185" s="9" t="str">
        <f aca="false">Raw_Donors!A185</f>
        <v>D1183</v>
      </c>
      <c r="B185" s="9" t="str">
        <f aca="false">IF(ISNUMBER(SEARCH("-DUP",A185)),"Duplicate ID","")</f>
        <v/>
      </c>
      <c r="C185" s="9" t="n">
        <f aca="false">Raw_Donors!B185</f>
        <v>90265</v>
      </c>
      <c r="D185" s="9" t="n">
        <f aca="false">Raw_Donors!C185</f>
        <v>0</v>
      </c>
      <c r="E185" s="9" t="str">
        <f aca="false">IFERROR(IF(Raw_Donors!D185="","Unknown",Raw_Donors!D185),"Unknown")</f>
        <v>Married</v>
      </c>
      <c r="F185" s="9" t="str">
        <f aca="false">IFERROR(IF(Raw_Donors!E185="","Unknown",Raw_Donors!E185),"Unknown")</f>
        <v>Male</v>
      </c>
      <c r="G185" s="9" t="str">
        <f aca="false">PROPER(TRIM(Raw_Donors!F185))</f>
        <v>Individual Donor</v>
      </c>
      <c r="H185" s="9" t="str">
        <f aca="false">IFERROR(IF(Raw_Donors!G185="","N",Raw_Donors!G185),"N")</f>
        <v>N</v>
      </c>
      <c r="I185" s="9" t="str">
        <f aca="false">IF(Raw_Donors!H185="","Not Rated",Raw_Donors!H185)</f>
        <v>Not Rated</v>
      </c>
      <c r="J185" s="9" t="str">
        <f aca="false">IF(TRIM(Raw_Donors!I185)="","Unknown",TRIM(Raw_Donors!I185))</f>
        <v>HOME</v>
      </c>
      <c r="K185" s="9" t="str">
        <f aca="false">Raw_Donors!J185</f>
        <v>N</v>
      </c>
      <c r="L185" s="9" t="n">
        <f aca="false">Raw_Donors!K185</f>
        <v>3</v>
      </c>
      <c r="M185" s="10" t="n">
        <f aca="false">IFERROR(VALUE(SUBSTITUTE(SUBSTITUTE(Raw_Donors!L185,"$",""),",","")),0)</f>
        <v>0</v>
      </c>
      <c r="N185" s="10" t="n">
        <f aca="false">IFERROR(VALUE(SUBSTITUTE(SUBSTITUTE(Raw_Donors!M185,"$",""),",","")),0)</f>
        <v>0</v>
      </c>
      <c r="O185" s="10" t="n">
        <f aca="false">IFERROR(VALUE(SUBSTITUTE(SUBSTITUTE(Raw_Donors!N185,"$",""),",","")),0)</f>
        <v>0</v>
      </c>
      <c r="P185" s="10" t="n">
        <f aca="false">IFERROR(VALUE(SUBSTITUTE(SUBSTITUTE(Raw_Donors!O185,"$",""),",","")),0)</f>
        <v>0</v>
      </c>
      <c r="Q185" s="10" t="n">
        <f aca="false">IFERROR(VALUE(SUBSTITUTE(SUBSTITUTE(Raw_Donors!P185,"$",""),",","")),0)</f>
        <v>0</v>
      </c>
      <c r="R185" s="10" t="n">
        <f aca="false">Raw_Donors!Q185</f>
        <v>0</v>
      </c>
      <c r="S185" s="9" t="str">
        <f aca="false">Raw_Donors!R185</f>
        <v>N</v>
      </c>
      <c r="T185" s="9" t="str">
        <f aca="false">IF(Raw_Donors!S185="","",Raw_Donors!S185)</f>
        <v/>
      </c>
      <c r="U185" s="9" t="str">
        <f aca="false">IF(AND((O185+P185)&gt;0,Q185=0),"Lapsed - Follow Up","")</f>
        <v/>
      </c>
      <c r="V185" s="9" t="n">
        <f aca="false">RANK(R185,$R$2:$R$759)+COUNTIF($R$2:R185,R185)-1</f>
        <v>606</v>
      </c>
      <c r="W185" s="9" t="str">
        <f aca="false">IF(U185="Lapsed - Follow Up",COUNTIF($U$2:U185,"Lapsed - Follow Up"),"")</f>
        <v/>
      </c>
    </row>
    <row r="186" customFormat="false" ht="15" hidden="false" customHeight="true" outlineLevel="0" collapsed="false">
      <c r="A186" s="9" t="str">
        <f aca="false">Raw_Donors!A186</f>
        <v>D1184</v>
      </c>
      <c r="B186" s="9" t="str">
        <f aca="false">IF(ISNUMBER(SEARCH("-DUP",A186)),"Duplicate ID","")</f>
        <v/>
      </c>
      <c r="C186" s="9" t="n">
        <f aca="false">Raw_Donors!B186</f>
        <v>46738</v>
      </c>
      <c r="D186" s="9" t="n">
        <f aca="false">Raw_Donors!C186</f>
        <v>35</v>
      </c>
      <c r="E186" s="9" t="str">
        <f aca="false">IFERROR(IF(Raw_Donors!D186="","Unknown",Raw_Donors!D186),"Unknown")</f>
        <v>Unknown</v>
      </c>
      <c r="F186" s="9" t="str">
        <f aca="false">IFERROR(IF(Raw_Donors!E186="","Unknown",Raw_Donors!E186),"Unknown")</f>
        <v>Male</v>
      </c>
      <c r="G186" s="9" t="str">
        <f aca="false">PROPER(TRIM(Raw_Donors!F186))</f>
        <v>Community Partner</v>
      </c>
      <c r="H186" s="9" t="str">
        <f aca="false">IFERROR(IF(Raw_Donors!G186="","N",Raw_Donors!G186),"N")</f>
        <v>Y</v>
      </c>
      <c r="I186" s="9" t="str">
        <f aca="false">IF(Raw_Donors!H186="","Not Rated",Raw_Donors!H186)</f>
        <v>Not Rated</v>
      </c>
      <c r="J186" s="9" t="str">
        <f aca="false">IF(TRIM(Raw_Donors!I186)="","Unknown",TRIM(Raw_Donors!I186))</f>
        <v>HOME</v>
      </c>
      <c r="K186" s="9" t="str">
        <f aca="false">Raw_Donors!J186</f>
        <v>Y</v>
      </c>
      <c r="L186" s="9" t="n">
        <f aca="false">Raw_Donors!K186</f>
        <v>0</v>
      </c>
      <c r="M186" s="10" t="n">
        <f aca="false">IFERROR(VALUE(SUBSTITUTE(SUBSTITUTE(Raw_Donors!L186,"$",""),",","")),0)</f>
        <v>0</v>
      </c>
      <c r="N186" s="10" t="n">
        <f aca="false">IFERROR(VALUE(SUBSTITUTE(SUBSTITUTE(Raw_Donors!M186,"$",""),",","")),0)</f>
        <v>0</v>
      </c>
      <c r="O186" s="10" t="n">
        <f aca="false">IFERROR(VALUE(SUBSTITUTE(SUBSTITUTE(Raw_Donors!N186,"$",""),",","")),0)</f>
        <v>0</v>
      </c>
      <c r="P186" s="10" t="n">
        <f aca="false">IFERROR(VALUE(SUBSTITUTE(SUBSTITUTE(Raw_Donors!O186,"$",""),",","")),0)</f>
        <v>0</v>
      </c>
      <c r="Q186" s="10" t="n">
        <f aca="false">IFERROR(VALUE(SUBSTITUTE(SUBSTITUTE(Raw_Donors!P186,"$",""),",","")),0)</f>
        <v>0</v>
      </c>
      <c r="R186" s="10" t="n">
        <f aca="false">Raw_Donors!Q186</f>
        <v>1</v>
      </c>
      <c r="S186" s="9" t="str">
        <f aca="false">Raw_Donors!R186</f>
        <v>Y</v>
      </c>
      <c r="T186" s="9" t="str">
        <f aca="false">IF(Raw_Donors!S186="","",Raw_Donors!S186)</f>
        <v>1982-08-19</v>
      </c>
      <c r="U186" s="9" t="str">
        <f aca="false">IF(AND((O186+P186)&gt;0,Q186=0),"Lapsed - Follow Up","")</f>
        <v/>
      </c>
      <c r="V186" s="9" t="n">
        <f aca="false">RANK(R186,$R$2:$R$759)+COUNTIF($R$2:R186,R186)-1</f>
        <v>534</v>
      </c>
      <c r="W186" s="9" t="str">
        <f aca="false">IF(U186="Lapsed - Follow Up",COUNTIF($U$2:U186,"Lapsed - Follow Up"),"")</f>
        <v/>
      </c>
    </row>
    <row r="187" customFormat="false" ht="15" hidden="false" customHeight="true" outlineLevel="0" collapsed="false">
      <c r="A187" s="9" t="str">
        <f aca="false">Raw_Donors!A187</f>
        <v>D1185</v>
      </c>
      <c r="B187" s="9" t="str">
        <f aca="false">IF(ISNUMBER(SEARCH("-DUP",A187)),"Duplicate ID","")</f>
        <v/>
      </c>
      <c r="C187" s="9" t="n">
        <f aca="false">Raw_Donors!B187</f>
        <v>69301</v>
      </c>
      <c r="D187" s="9" t="n">
        <f aca="false">Raw_Donors!C187</f>
        <v>92</v>
      </c>
      <c r="E187" s="9" t="str">
        <f aca="false">IFERROR(IF(Raw_Donors!D187="","Unknown",Raw_Donors!D187),"Unknown")</f>
        <v>Widowed</v>
      </c>
      <c r="F187" s="9" t="str">
        <f aca="false">IFERROR(IF(Raw_Donors!E187="","Unknown",Raw_Donors!E187),"Unknown")</f>
        <v>Female</v>
      </c>
      <c r="G187" s="9" t="str">
        <f aca="false">PROPER(TRIM(Raw_Donors!F187))</f>
        <v>Community Partner</v>
      </c>
      <c r="H187" s="9" t="str">
        <f aca="false">IFERROR(IF(Raw_Donors!G187="","N",Raw_Donors!G187),"N")</f>
        <v>Y</v>
      </c>
      <c r="I187" s="9" t="str">
        <f aca="false">IF(Raw_Donors!H187="","Not Rated",Raw_Donors!H187)</f>
        <v>Not Rated</v>
      </c>
      <c r="J187" s="9" t="str">
        <f aca="false">IF(TRIM(Raw_Donors!I187)="","Unknown",TRIM(Raw_Donors!I187))</f>
        <v>HOME</v>
      </c>
      <c r="K187" s="9" t="str">
        <f aca="false">Raw_Donors!J187</f>
        <v>N</v>
      </c>
      <c r="L187" s="9" t="n">
        <f aca="false">Raw_Donors!K187</f>
        <v>9</v>
      </c>
      <c r="M187" s="10" t="n">
        <f aca="false">IFERROR(VALUE(SUBSTITUTE(SUBSTITUTE(Raw_Donors!L187,"$",""),",","")),0)</f>
        <v>0</v>
      </c>
      <c r="N187" s="10" t="n">
        <f aca="false">IFERROR(VALUE(SUBSTITUTE(SUBSTITUTE(Raw_Donors!M187,"$",""),",","")),0)</f>
        <v>0</v>
      </c>
      <c r="O187" s="10" t="n">
        <f aca="false">IFERROR(VALUE(SUBSTITUTE(SUBSTITUTE(Raw_Donors!N187,"$",""),",","")),0)</f>
        <v>0</v>
      </c>
      <c r="P187" s="10" t="n">
        <f aca="false">IFERROR(VALUE(SUBSTITUTE(SUBSTITUTE(Raw_Donors!O187,"$",""),",","")),0)</f>
        <v>0</v>
      </c>
      <c r="Q187" s="10" t="n">
        <f aca="false">IFERROR(VALUE(SUBSTITUTE(SUBSTITUTE(Raw_Donors!P187,"$",""),",","")),0)</f>
        <v>0</v>
      </c>
      <c r="R187" s="10" t="n">
        <f aca="false">Raw_Donors!Q187</f>
        <v>1140</v>
      </c>
      <c r="S187" s="9" t="str">
        <f aca="false">Raw_Donors!R187</f>
        <v>Y</v>
      </c>
      <c r="T187" s="9" t="str">
        <f aca="false">IF(Raw_Donors!S187="","",Raw_Donors!S187)</f>
        <v>1925-03-09</v>
      </c>
      <c r="U187" s="9" t="str">
        <f aca="false">IF(AND((O187+P187)&gt;0,Q187=0),"Lapsed - Follow Up","")</f>
        <v/>
      </c>
      <c r="V187" s="9" t="n">
        <f aca="false">RANK(R187,$R$2:$R$759)+COUNTIF($R$2:R187,R187)-1</f>
        <v>52</v>
      </c>
      <c r="W187" s="9" t="str">
        <f aca="false">IF(U187="Lapsed - Follow Up",COUNTIF($U$2:U187,"Lapsed - Follow Up"),"")</f>
        <v/>
      </c>
    </row>
    <row r="188" customFormat="false" ht="15" hidden="false" customHeight="true" outlineLevel="0" collapsed="false">
      <c r="A188" s="9" t="str">
        <f aca="false">Raw_Donors!A188</f>
        <v>D1186</v>
      </c>
      <c r="B188" s="9" t="str">
        <f aca="false">IF(ISNUMBER(SEARCH("-DUP",A188)),"Duplicate ID","")</f>
        <v/>
      </c>
      <c r="C188" s="9" t="n">
        <f aca="false">Raw_Donors!B188</f>
        <v>12148</v>
      </c>
      <c r="D188" s="9" t="n">
        <f aca="false">Raw_Donors!C188</f>
        <v>0</v>
      </c>
      <c r="E188" s="9" t="str">
        <f aca="false">IFERROR(IF(Raw_Donors!D188="","Unknown",Raw_Donors!D188),"Unknown")</f>
        <v>Unknown</v>
      </c>
      <c r="F188" s="9" t="str">
        <f aca="false">IFERROR(IF(Raw_Donors!E188="","Unknown",Raw_Donors!E188),"Unknown")</f>
        <v>Male</v>
      </c>
      <c r="G188" s="9" t="str">
        <f aca="false">PROPER(TRIM(Raw_Donors!F188))</f>
        <v>Individual Donor</v>
      </c>
      <c r="H188" s="9" t="str">
        <f aca="false">IFERROR(IF(Raw_Donors!G188="","N",Raw_Donors!G188),"N")</f>
        <v>Y</v>
      </c>
      <c r="I188" s="9" t="str">
        <f aca="false">IF(Raw_Donors!H188="","Not Rated",Raw_Donors!H188)</f>
        <v>Not Rated</v>
      </c>
      <c r="J188" s="9" t="str">
        <f aca="false">IF(TRIM(Raw_Donors!I188)="","Unknown",TRIM(Raw_Donors!I188))</f>
        <v>HOME</v>
      </c>
      <c r="K188" s="9" t="str">
        <f aca="false">Raw_Donors!J188</f>
        <v>N</v>
      </c>
      <c r="L188" s="9" t="n">
        <f aca="false">Raw_Donors!K188</f>
        <v>4</v>
      </c>
      <c r="M188" s="10" t="n">
        <f aca="false">IFERROR(VALUE(SUBSTITUTE(SUBSTITUTE(Raw_Donors!L188,"$",""),",","")),0)</f>
        <v>170</v>
      </c>
      <c r="N188" s="10" t="n">
        <f aca="false">IFERROR(VALUE(SUBSTITUTE(SUBSTITUTE(Raw_Donors!M188,"$",""),",","")),0)</f>
        <v>0</v>
      </c>
      <c r="O188" s="10" t="n">
        <f aca="false">IFERROR(VALUE(SUBSTITUTE(SUBSTITUTE(Raw_Donors!N188,"$",""),",","")),0)</f>
        <v>0</v>
      </c>
      <c r="P188" s="10" t="n">
        <f aca="false">IFERROR(VALUE(SUBSTITUTE(SUBSTITUTE(Raw_Donors!O188,"$",""),",","")),0)</f>
        <v>0</v>
      </c>
      <c r="Q188" s="10" t="n">
        <f aca="false">IFERROR(VALUE(SUBSTITUTE(SUBSTITUTE(Raw_Donors!P188,"$",""),",","")),0)</f>
        <v>0</v>
      </c>
      <c r="R188" s="10" t="n">
        <f aca="false">Raw_Donors!Q188</f>
        <v>170</v>
      </c>
      <c r="S188" s="9" t="str">
        <f aca="false">Raw_Donors!R188</f>
        <v>Y</v>
      </c>
      <c r="T188" s="9" t="str">
        <f aca="false">IF(Raw_Donors!S188="","",Raw_Donors!S188)</f>
        <v/>
      </c>
      <c r="U188" s="9" t="str">
        <f aca="false">IF(AND((O188+P188)&gt;0,Q188=0),"Lapsed - Follow Up","")</f>
        <v/>
      </c>
      <c r="V188" s="9" t="n">
        <f aca="false">RANK(R188,$R$2:$R$759)+COUNTIF($R$2:R188,R188)-1</f>
        <v>221</v>
      </c>
      <c r="W188" s="9" t="str">
        <f aca="false">IF(U188="Lapsed - Follow Up",COUNTIF($U$2:U188,"Lapsed - Follow Up"),"")</f>
        <v/>
      </c>
    </row>
    <row r="189" customFormat="false" ht="15" hidden="false" customHeight="true" outlineLevel="0" collapsed="false">
      <c r="A189" s="9" t="str">
        <f aca="false">Raw_Donors!A189</f>
        <v>D1187</v>
      </c>
      <c r="B189" s="9" t="str">
        <f aca="false">IF(ISNUMBER(SEARCH("-DUP",A189)),"Duplicate ID","")</f>
        <v/>
      </c>
      <c r="C189" s="9" t="n">
        <f aca="false">Raw_Donors!B189</f>
        <v>90265</v>
      </c>
      <c r="D189" s="9" t="n">
        <f aca="false">Raw_Donors!C189</f>
        <v>0</v>
      </c>
      <c r="E189" s="9" t="str">
        <f aca="false">IFERROR(IF(Raw_Donors!D189="","Unknown",Raw_Donors!D189),"Unknown")</f>
        <v>Married</v>
      </c>
      <c r="F189" s="9" t="str">
        <f aca="false">IFERROR(IF(Raw_Donors!E189="","Unknown",Raw_Donors!E189),"Unknown")</f>
        <v>Male</v>
      </c>
      <c r="G189" s="9" t="str">
        <f aca="false">PROPER(TRIM(Raw_Donors!F189))</f>
        <v>Individual Donor</v>
      </c>
      <c r="H189" s="9" t="str">
        <f aca="false">IFERROR(IF(Raw_Donors!G189="","N",Raw_Donors!G189),"N")</f>
        <v>N</v>
      </c>
      <c r="I189" s="9" t="str">
        <f aca="false">IF(Raw_Donors!H189="","Not Rated",Raw_Donors!H189)</f>
        <v>Not Rated</v>
      </c>
      <c r="J189" s="9" t="str">
        <f aca="false">IF(TRIM(Raw_Donors!I189)="","Unknown",TRIM(Raw_Donors!I189))</f>
        <v>HOME</v>
      </c>
      <c r="K189" s="9" t="str">
        <f aca="false">Raw_Donors!J189</f>
        <v>N</v>
      </c>
      <c r="L189" s="9" t="n">
        <f aca="false">Raw_Donors!K189</f>
        <v>1</v>
      </c>
      <c r="M189" s="10" t="n">
        <f aca="false">IFERROR(VALUE(SUBSTITUTE(SUBSTITUTE(Raw_Donors!L189,"$",""),",","")),0)</f>
        <v>0</v>
      </c>
      <c r="N189" s="10" t="n">
        <f aca="false">IFERROR(VALUE(SUBSTITUTE(SUBSTITUTE(Raw_Donors!M189,"$",""),",","")),0)</f>
        <v>0</v>
      </c>
      <c r="O189" s="10" t="n">
        <f aca="false">IFERROR(VALUE(SUBSTITUTE(SUBSTITUTE(Raw_Donors!N189,"$",""),",","")),0)</f>
        <v>0</v>
      </c>
      <c r="P189" s="10" t="n">
        <f aca="false">IFERROR(VALUE(SUBSTITUTE(SUBSTITUTE(Raw_Donors!O189,"$",""),",","")),0)</f>
        <v>0</v>
      </c>
      <c r="Q189" s="10" t="n">
        <f aca="false">IFERROR(VALUE(SUBSTITUTE(SUBSTITUTE(Raw_Donors!P189,"$",""),",","")),0)</f>
        <v>110</v>
      </c>
      <c r="R189" s="10" t="n">
        <f aca="false">Raw_Donors!Q189</f>
        <v>445</v>
      </c>
      <c r="S189" s="9" t="str">
        <f aca="false">Raw_Donors!R189</f>
        <v>Y</v>
      </c>
      <c r="T189" s="9" t="str">
        <f aca="false">IF(Raw_Donors!S189="","",Raw_Donors!S189)</f>
        <v/>
      </c>
      <c r="U189" s="9" t="str">
        <f aca="false">IF(AND((O189+P189)&gt;0,Q189=0),"Lapsed - Follow Up","")</f>
        <v/>
      </c>
      <c r="V189" s="9" t="n">
        <f aca="false">RANK(R189,$R$2:$R$759)+COUNTIF($R$2:R189,R189)-1</f>
        <v>106</v>
      </c>
      <c r="W189" s="9" t="str">
        <f aca="false">IF(U189="Lapsed - Follow Up",COUNTIF($U$2:U189,"Lapsed - Follow Up"),"")</f>
        <v/>
      </c>
    </row>
    <row r="190" customFormat="false" ht="15" hidden="false" customHeight="true" outlineLevel="0" collapsed="false">
      <c r="A190" s="9" t="str">
        <f aca="false">Raw_Donors!A190</f>
        <v>D1188</v>
      </c>
      <c r="B190" s="9" t="str">
        <f aca="false">IF(ISNUMBER(SEARCH("-DUP",A190)),"Duplicate ID","")</f>
        <v/>
      </c>
      <c r="C190" s="9" t="n">
        <f aca="false">Raw_Donors!B190</f>
        <v>49752</v>
      </c>
      <c r="D190" s="9" t="n">
        <f aca="false">Raw_Donors!C190</f>
        <v>38</v>
      </c>
      <c r="E190" s="9" t="str">
        <f aca="false">IFERROR(IF(Raw_Donors!D190="","Unknown",Raw_Donors!D190),"Unknown")</f>
        <v>Unknown</v>
      </c>
      <c r="F190" s="9" t="str">
        <f aca="false">IFERROR(IF(Raw_Donors!E190="","Unknown",Raw_Donors!E190),"Unknown")</f>
        <v>Female</v>
      </c>
      <c r="G190" s="9" t="str">
        <f aca="false">PROPER(TRIM(Raw_Donors!F190))</f>
        <v>Community Partner</v>
      </c>
      <c r="H190" s="9" t="str">
        <f aca="false">IFERROR(IF(Raw_Donors!G190="","N",Raw_Donors!G190),"N")</f>
        <v>Y</v>
      </c>
      <c r="I190" s="9" t="str">
        <f aca="false">IF(Raw_Donors!H190="","Not Rated",Raw_Donors!H190)</f>
        <v>Not Rated</v>
      </c>
      <c r="J190" s="9" t="str">
        <f aca="false">IF(TRIM(Raw_Donors!I190)="","Unknown",TRIM(Raw_Donors!I190))</f>
        <v>HOME</v>
      </c>
      <c r="K190" s="9" t="str">
        <f aca="false">Raw_Donors!J190</f>
        <v>N</v>
      </c>
      <c r="L190" s="9" t="n">
        <f aca="false">Raw_Donors!K190</f>
        <v>0</v>
      </c>
      <c r="M190" s="10" t="n">
        <f aca="false">IFERROR(VALUE(SUBSTITUTE(SUBSTITUTE(Raw_Donors!L190,"$",""),",","")),0)</f>
        <v>0</v>
      </c>
      <c r="N190" s="10" t="n">
        <f aca="false">IFERROR(VALUE(SUBSTITUTE(SUBSTITUTE(Raw_Donors!M190,"$",""),",","")),0)</f>
        <v>0</v>
      </c>
      <c r="O190" s="10" t="n">
        <f aca="false">IFERROR(VALUE(SUBSTITUTE(SUBSTITUTE(Raw_Donors!N190,"$",""),",","")),0)</f>
        <v>0</v>
      </c>
      <c r="P190" s="10" t="n">
        <f aca="false">IFERROR(VALUE(SUBSTITUTE(SUBSTITUTE(Raw_Donors!O190,"$",""),",","")),0)</f>
        <v>0</v>
      </c>
      <c r="Q190" s="10" t="n">
        <f aca="false">IFERROR(VALUE(SUBSTITUTE(SUBSTITUTE(Raw_Donors!P190,"$",""),",","")),0)</f>
        <v>0</v>
      </c>
      <c r="R190" s="10" t="n">
        <f aca="false">Raw_Donors!Q190</f>
        <v>380</v>
      </c>
      <c r="S190" s="9" t="str">
        <f aca="false">Raw_Donors!R190</f>
        <v>Y</v>
      </c>
      <c r="T190" s="9" t="str">
        <f aca="false">IF(Raw_Donors!S190="","",Raw_Donors!S190)</f>
        <v>1979-03-17</v>
      </c>
      <c r="U190" s="9" t="str">
        <f aca="false">IF(AND((O190+P190)&gt;0,Q190=0),"Lapsed - Follow Up","")</f>
        <v/>
      </c>
      <c r="V190" s="9" t="n">
        <f aca="false">RANK(R190,$R$2:$R$759)+COUNTIF($R$2:R190,R190)-1</f>
        <v>117</v>
      </c>
      <c r="W190" s="9" t="str">
        <f aca="false">IF(U190="Lapsed - Follow Up",COUNTIF($U$2:U190,"Lapsed - Follow Up"),"")</f>
        <v/>
      </c>
    </row>
    <row r="191" customFormat="false" ht="15" hidden="false" customHeight="true" outlineLevel="0" collapsed="false">
      <c r="A191" s="9" t="str">
        <f aca="false">Raw_Donors!A191</f>
        <v>D1189</v>
      </c>
      <c r="B191" s="9" t="str">
        <f aca="false">IF(ISNUMBER(SEARCH("-DUP",A191)),"Duplicate ID","")</f>
        <v/>
      </c>
      <c r="C191" s="9" t="n">
        <f aca="false">Raw_Donors!B191</f>
        <v>78134</v>
      </c>
      <c r="D191" s="9" t="n">
        <f aca="false">Raw_Donors!C191</f>
        <v>0</v>
      </c>
      <c r="E191" s="9" t="str">
        <f aca="false">IFERROR(IF(Raw_Donors!D191="","Unknown",Raw_Donors!D191),"Unknown")</f>
        <v>Single</v>
      </c>
      <c r="F191" s="9" t="str">
        <f aca="false">IFERROR(IF(Raw_Donors!E191="","Unknown",Raw_Donors!E191),"Unknown")</f>
        <v>Female</v>
      </c>
      <c r="G191" s="9" t="str">
        <f aca="false">PROPER(TRIM(Raw_Donors!F191))</f>
        <v>Individual Donor</v>
      </c>
      <c r="H191" s="9" t="str">
        <f aca="false">IFERROR(IF(Raw_Donors!G191="","N",Raw_Donors!G191),"N")</f>
        <v>N</v>
      </c>
      <c r="I191" s="9" t="str">
        <f aca="false">IF(Raw_Donors!H191="","Not Rated",Raw_Donors!H191)</f>
        <v>Not Rated</v>
      </c>
      <c r="J191" s="9" t="str">
        <f aca="false">IF(TRIM(Raw_Donors!I191)="","Unknown",TRIM(Raw_Donors!I191))</f>
        <v>Unknown</v>
      </c>
      <c r="K191" s="9" t="str">
        <f aca="false">Raw_Donors!J191</f>
        <v>N</v>
      </c>
      <c r="L191" s="9" t="n">
        <f aca="false">Raw_Donors!K191</f>
        <v>0</v>
      </c>
      <c r="M191" s="10" t="n">
        <f aca="false">IFERROR(VALUE(SUBSTITUTE(SUBSTITUTE(Raw_Donors!L191,"$",""),",","")),0)</f>
        <v>0</v>
      </c>
      <c r="N191" s="10" t="n">
        <f aca="false">IFERROR(VALUE(SUBSTITUTE(SUBSTITUTE(Raw_Donors!M191,"$",""),",","")),0)</f>
        <v>0</v>
      </c>
      <c r="O191" s="10" t="n">
        <f aca="false">IFERROR(VALUE(SUBSTITUTE(SUBSTITUTE(Raw_Donors!N191,"$",""),",","")),0)</f>
        <v>0</v>
      </c>
      <c r="P191" s="10" t="n">
        <f aca="false">IFERROR(VALUE(SUBSTITUTE(SUBSTITUTE(Raw_Donors!O191,"$",""),",","")),0)</f>
        <v>0</v>
      </c>
      <c r="Q191" s="10" t="n">
        <f aca="false">IFERROR(VALUE(SUBSTITUTE(SUBSTITUTE(Raw_Donors!P191,"$",""),",","")),0)</f>
        <v>0</v>
      </c>
      <c r="R191" s="10" t="n">
        <f aca="false">Raw_Donors!Q191</f>
        <v>2500</v>
      </c>
      <c r="S191" s="9" t="str">
        <f aca="false">Raw_Donors!R191</f>
        <v>Y</v>
      </c>
      <c r="T191" s="9" t="str">
        <f aca="false">IF(Raw_Donors!S191="","",Raw_Donors!S191)</f>
        <v/>
      </c>
      <c r="U191" s="9" t="str">
        <f aca="false">IF(AND((O191+P191)&gt;0,Q191=0),"Lapsed - Follow Up","")</f>
        <v/>
      </c>
      <c r="V191" s="9" t="n">
        <f aca="false">RANK(R191,$R$2:$R$759)+COUNTIF($R$2:R191,R191)-1</f>
        <v>23</v>
      </c>
      <c r="W191" s="9" t="str">
        <f aca="false">IF(U191="Lapsed - Follow Up",COUNTIF($U$2:U191,"Lapsed - Follow Up"),"")</f>
        <v/>
      </c>
    </row>
    <row r="192" customFormat="false" ht="15" hidden="false" customHeight="true" outlineLevel="0" collapsed="false">
      <c r="A192" s="9" t="str">
        <f aca="false">Raw_Donors!A192</f>
        <v>D1190</v>
      </c>
      <c r="B192" s="9" t="str">
        <f aca="false">IF(ISNUMBER(SEARCH("-DUP",A192)),"Duplicate ID","")</f>
        <v/>
      </c>
      <c r="C192" s="9" t="n">
        <f aca="false">Raw_Donors!B192</f>
        <v>66612</v>
      </c>
      <c r="D192" s="9" t="n">
        <f aca="false">Raw_Donors!C192</f>
        <v>0</v>
      </c>
      <c r="E192" s="9" t="str">
        <f aca="false">IFERROR(IF(Raw_Donors!D192="","Unknown",Raw_Donors!D192),"Unknown")</f>
        <v>Unknown</v>
      </c>
      <c r="F192" s="9" t="str">
        <f aca="false">IFERROR(IF(Raw_Donors!E192="","Unknown",Raw_Donors!E192),"Unknown")</f>
        <v>Female</v>
      </c>
      <c r="G192" s="9" t="str">
        <f aca="false">PROPER(TRIM(Raw_Donors!F192))</f>
        <v>Individual Donor</v>
      </c>
      <c r="H192" s="9" t="str">
        <f aca="false">IFERROR(IF(Raw_Donors!G192="","N",Raw_Donors!G192),"N")</f>
        <v>N</v>
      </c>
      <c r="I192" s="9" t="str">
        <f aca="false">IF(Raw_Donors!H192="","Not Rated",Raw_Donors!H192)</f>
        <v>Not Rated</v>
      </c>
      <c r="J192" s="9" t="str">
        <f aca="false">IF(TRIM(Raw_Donors!I192)="","Unknown",TRIM(Raw_Donors!I192))</f>
        <v>HOME</v>
      </c>
      <c r="K192" s="9" t="str">
        <f aca="false">Raw_Donors!J192</f>
        <v>N</v>
      </c>
      <c r="L192" s="9" t="n">
        <f aca="false">Raw_Donors!K192</f>
        <v>1</v>
      </c>
      <c r="M192" s="10" t="n">
        <f aca="false">IFERROR(VALUE(SUBSTITUTE(SUBSTITUTE(Raw_Donors!L192,"$",""),",","")),0)</f>
        <v>0</v>
      </c>
      <c r="N192" s="10" t="n">
        <f aca="false">IFERROR(VALUE(SUBSTITUTE(SUBSTITUTE(Raw_Donors!M192,"$",""),",","")),0)</f>
        <v>0</v>
      </c>
      <c r="O192" s="10" t="n">
        <f aca="false">IFERROR(VALUE(SUBSTITUTE(SUBSTITUTE(Raw_Donors!N192,"$",""),",","")),0)</f>
        <v>0</v>
      </c>
      <c r="P192" s="10" t="n">
        <f aca="false">IFERROR(VALUE(SUBSTITUTE(SUBSTITUTE(Raw_Donors!O192,"$",""),",","")),0)</f>
        <v>5</v>
      </c>
      <c r="Q192" s="10" t="n">
        <f aca="false">IFERROR(VALUE(SUBSTITUTE(SUBSTITUTE(Raw_Donors!P192,"$",""),",","")),0)</f>
        <v>5</v>
      </c>
      <c r="R192" s="10" t="n">
        <f aca="false">Raw_Donors!Q192</f>
        <v>11</v>
      </c>
      <c r="S192" s="9" t="str">
        <f aca="false">Raw_Donors!R192</f>
        <v>Y</v>
      </c>
      <c r="T192" s="9" t="str">
        <f aca="false">IF(Raw_Donors!S192="","",Raw_Donors!S192)</f>
        <v/>
      </c>
      <c r="U192" s="9" t="str">
        <f aca="false">IF(AND((O192+P192)&gt;0,Q192=0),"Lapsed - Follow Up","")</f>
        <v/>
      </c>
      <c r="V192" s="9" t="n">
        <f aca="false">RANK(R192,$R$2:$R$759)+COUNTIF($R$2:R192,R192)-1</f>
        <v>493</v>
      </c>
      <c r="W192" s="9" t="str">
        <f aca="false">IF(U192="Lapsed - Follow Up",COUNTIF($U$2:U192,"Lapsed - Follow Up"),"")</f>
        <v/>
      </c>
    </row>
    <row r="193" customFormat="false" ht="15" hidden="false" customHeight="true" outlineLevel="0" collapsed="false">
      <c r="A193" s="9" t="str">
        <f aca="false">Raw_Donors!A193</f>
        <v>D1191</v>
      </c>
      <c r="B193" s="9" t="str">
        <f aca="false">IF(ISNUMBER(SEARCH("-DUP",A193)),"Duplicate ID","")</f>
        <v/>
      </c>
      <c r="C193" s="9" t="n">
        <f aca="false">Raw_Donors!B193</f>
        <v>15024</v>
      </c>
      <c r="D193" s="9" t="n">
        <f aca="false">Raw_Donors!C193</f>
        <v>0</v>
      </c>
      <c r="E193" s="9" t="str">
        <f aca="false">IFERROR(IF(Raw_Donors!D193="","Unknown",Raw_Donors!D193),"Unknown")</f>
        <v>Single</v>
      </c>
      <c r="F193" s="9" t="str">
        <f aca="false">IFERROR(IF(Raw_Donors!E193="","Unknown",Raw_Donors!E193),"Unknown")</f>
        <v>Female</v>
      </c>
      <c r="G193" s="9" t="str">
        <f aca="false">PROPER(TRIM(Raw_Donors!F193))</f>
        <v>Individual Donor</v>
      </c>
      <c r="H193" s="9" t="str">
        <f aca="false">IFERROR(IF(Raw_Donors!G193="","N",Raw_Donors!G193),"N")</f>
        <v>N</v>
      </c>
      <c r="I193" s="9" t="str">
        <f aca="false">IF(Raw_Donors!H193="","Not Rated",Raw_Donors!H193)</f>
        <v>Not Rated</v>
      </c>
      <c r="J193" s="9" t="str">
        <f aca="false">IF(TRIM(Raw_Donors!I193)="","Unknown",TRIM(Raw_Donors!I193))</f>
        <v>Unknown</v>
      </c>
      <c r="K193" s="9" t="str">
        <f aca="false">Raw_Donors!J193</f>
        <v>N</v>
      </c>
      <c r="L193" s="9" t="n">
        <f aca="false">Raw_Donors!K193</f>
        <v>0</v>
      </c>
      <c r="M193" s="10" t="n">
        <f aca="false">IFERROR(VALUE(SUBSTITUTE(SUBSTITUTE(Raw_Donors!L193,"$",""),",","")),0)</f>
        <v>0</v>
      </c>
      <c r="N193" s="10" t="n">
        <f aca="false">IFERROR(VALUE(SUBSTITUTE(SUBSTITUTE(Raw_Donors!M193,"$",""),",","")),0)</f>
        <v>0</v>
      </c>
      <c r="O193" s="10" t="n">
        <f aca="false">IFERROR(VALUE(SUBSTITUTE(SUBSTITUTE(Raw_Donors!N193,"$",""),",","")),0)</f>
        <v>0</v>
      </c>
      <c r="P193" s="10" t="n">
        <f aca="false">IFERROR(VALUE(SUBSTITUTE(SUBSTITUTE(Raw_Donors!O193,"$",""),",","")),0)</f>
        <v>0</v>
      </c>
      <c r="Q193" s="10" t="n">
        <f aca="false">IFERROR(VALUE(SUBSTITUTE(SUBSTITUTE(Raw_Donors!P193,"$",""),",","")),0)</f>
        <v>0</v>
      </c>
      <c r="R193" s="10" t="n">
        <f aca="false">Raw_Donors!Q193</f>
        <v>12</v>
      </c>
      <c r="S193" s="9" t="str">
        <f aca="false">Raw_Donors!R193</f>
        <v>Y</v>
      </c>
      <c r="T193" s="9" t="str">
        <f aca="false">IF(Raw_Donors!S193="","",Raw_Donors!S193)</f>
        <v/>
      </c>
      <c r="U193" s="9" t="str">
        <f aca="false">IF(AND((O193+P193)&gt;0,Q193=0),"Lapsed - Follow Up","")</f>
        <v/>
      </c>
      <c r="V193" s="9" t="n">
        <f aca="false">RANK(R193,$R$2:$R$759)+COUNTIF($R$2:R193,R193)-1</f>
        <v>491</v>
      </c>
      <c r="W193" s="9" t="str">
        <f aca="false">IF(U193="Lapsed - Follow Up",COUNTIF($U$2:U193,"Lapsed - Follow Up"),"")</f>
        <v/>
      </c>
    </row>
    <row r="194" customFormat="false" ht="15" hidden="false" customHeight="true" outlineLevel="0" collapsed="false">
      <c r="A194" s="9" t="str">
        <f aca="false">Raw_Donors!A194</f>
        <v>D1192</v>
      </c>
      <c r="B194" s="9" t="str">
        <f aca="false">IF(ISNUMBER(SEARCH("-DUP",A194)),"Duplicate ID","")</f>
        <v/>
      </c>
      <c r="C194" s="9" t="n">
        <f aca="false">Raw_Donors!B194</f>
        <v>56902</v>
      </c>
      <c r="D194" s="9" t="n">
        <f aca="false">Raw_Donors!C194</f>
        <v>0</v>
      </c>
      <c r="E194" s="9" t="str">
        <f aca="false">IFERROR(IF(Raw_Donors!D194="","Unknown",Raw_Donors!D194),"Unknown")</f>
        <v>Married</v>
      </c>
      <c r="F194" s="9" t="str">
        <f aca="false">IFERROR(IF(Raw_Donors!E194="","Unknown",Raw_Donors!E194),"Unknown")</f>
        <v>Female</v>
      </c>
      <c r="G194" s="9" t="str">
        <f aca="false">PROPER(TRIM(Raw_Donors!F194))</f>
        <v>Individual Donor</v>
      </c>
      <c r="H194" s="9" t="str">
        <f aca="false">IFERROR(IF(Raw_Donors!G194="","N",Raw_Donors!G194),"N")</f>
        <v>Y</v>
      </c>
      <c r="I194" s="9" t="str">
        <f aca="false">IF(Raw_Donors!H194="","Not Rated",Raw_Donors!H194)</f>
        <v>Not Rated</v>
      </c>
      <c r="J194" s="9" t="str">
        <f aca="false">IF(TRIM(Raw_Donors!I194)="","Unknown",TRIM(Raw_Donors!I194))</f>
        <v>HOME</v>
      </c>
      <c r="K194" s="9" t="str">
        <f aca="false">Raw_Donors!J194</f>
        <v>N</v>
      </c>
      <c r="L194" s="9" t="n">
        <f aca="false">Raw_Donors!K194</f>
        <v>9</v>
      </c>
      <c r="M194" s="10" t="n">
        <f aca="false">IFERROR(VALUE(SUBSTITUTE(SUBSTITUTE(Raw_Donors!L194,"$",""),",","")),0)</f>
        <v>20</v>
      </c>
      <c r="N194" s="10" t="n">
        <f aca="false">IFERROR(VALUE(SUBSTITUTE(SUBSTITUTE(Raw_Donors!M194,"$",""),",","")),0)</f>
        <v>0</v>
      </c>
      <c r="O194" s="10" t="n">
        <f aca="false">IFERROR(VALUE(SUBSTITUTE(SUBSTITUTE(Raw_Donors!N194,"$",""),",","")),0)</f>
        <v>0</v>
      </c>
      <c r="P194" s="10" t="n">
        <f aca="false">IFERROR(VALUE(SUBSTITUTE(SUBSTITUTE(Raw_Donors!O194,"$",""),",","")),0)</f>
        <v>0</v>
      </c>
      <c r="Q194" s="10" t="n">
        <f aca="false">IFERROR(VALUE(SUBSTITUTE(SUBSTITUTE(Raw_Donors!P194,"$",""),",","")),0)</f>
        <v>0</v>
      </c>
      <c r="R194" s="10" t="n">
        <f aca="false">Raw_Donors!Q194</f>
        <v>150</v>
      </c>
      <c r="S194" s="9" t="str">
        <f aca="false">Raw_Donors!R194</f>
        <v>Y</v>
      </c>
      <c r="T194" s="9" t="str">
        <f aca="false">IF(Raw_Donors!S194="","",Raw_Donors!S194)</f>
        <v/>
      </c>
      <c r="U194" s="9" t="str">
        <f aca="false">IF(AND((O194+P194)&gt;0,Q194=0),"Lapsed - Follow Up","")</f>
        <v/>
      </c>
      <c r="V194" s="9" t="n">
        <f aca="false">RANK(R194,$R$2:$R$759)+COUNTIF($R$2:R194,R194)-1</f>
        <v>229</v>
      </c>
      <c r="W194" s="9" t="str">
        <f aca="false">IF(U194="Lapsed - Follow Up",COUNTIF($U$2:U194,"Lapsed - Follow Up"),"")</f>
        <v/>
      </c>
    </row>
    <row r="195" customFormat="false" ht="15" hidden="false" customHeight="true" outlineLevel="0" collapsed="false">
      <c r="A195" s="9" t="str">
        <f aca="false">Raw_Donors!A195</f>
        <v>D1193</v>
      </c>
      <c r="B195" s="9" t="str">
        <f aca="false">IF(ISNUMBER(SEARCH("-DUP",A195)),"Duplicate ID","")</f>
        <v/>
      </c>
      <c r="C195" s="9" t="n">
        <f aca="false">Raw_Donors!B195</f>
        <v>60467</v>
      </c>
      <c r="D195" s="9" t="n">
        <f aca="false">Raw_Donors!C195</f>
        <v>0</v>
      </c>
      <c r="E195" s="9" t="str">
        <f aca="false">IFERROR(IF(Raw_Donors!D195="","Unknown",Raw_Donors!D195),"Unknown")</f>
        <v>Unknown</v>
      </c>
      <c r="F195" s="9" t="str">
        <f aca="false">IFERROR(IF(Raw_Donors!E195="","Unknown",Raw_Donors!E195),"Unknown")</f>
        <v>Uknown</v>
      </c>
      <c r="G195" s="9" t="str">
        <f aca="false">PROPER(TRIM(Raw_Donors!F195))</f>
        <v>Individual Donor</v>
      </c>
      <c r="H195" s="9" t="str">
        <f aca="false">IFERROR(IF(Raw_Donors!G195="","N",Raw_Donors!G195),"N")</f>
        <v>N</v>
      </c>
      <c r="I195" s="9" t="str">
        <f aca="false">IF(Raw_Donors!H195="","Not Rated",Raw_Donors!H195)</f>
        <v>Not Rated</v>
      </c>
      <c r="J195" s="9" t="str">
        <f aca="false">IF(TRIM(Raw_Donors!I195)="","Unknown",TRIM(Raw_Donors!I195))</f>
        <v>HOME</v>
      </c>
      <c r="K195" s="9" t="str">
        <f aca="false">Raw_Donors!J195</f>
        <v>N</v>
      </c>
      <c r="L195" s="9" t="n">
        <f aca="false">Raw_Donors!K195</f>
        <v>1</v>
      </c>
      <c r="M195" s="10" t="n">
        <f aca="false">IFERROR(VALUE(SUBSTITUTE(SUBSTITUTE(Raw_Donors!L195,"$",""),",","")),0)</f>
        <v>0</v>
      </c>
      <c r="N195" s="10" t="n">
        <f aca="false">IFERROR(VALUE(SUBSTITUTE(SUBSTITUTE(Raw_Donors!M195,"$",""),",","")),0)</f>
        <v>100</v>
      </c>
      <c r="O195" s="10" t="n">
        <f aca="false">IFERROR(VALUE(SUBSTITUTE(SUBSTITUTE(Raw_Donors!N195,"$",""),",","")),0)</f>
        <v>0</v>
      </c>
      <c r="P195" s="10" t="n">
        <f aca="false">IFERROR(VALUE(SUBSTITUTE(SUBSTITUTE(Raw_Donors!O195,"$",""),",","")),0)</f>
        <v>0</v>
      </c>
      <c r="Q195" s="10" t="n">
        <f aca="false">IFERROR(VALUE(SUBSTITUTE(SUBSTITUTE(Raw_Donors!P195,"$",""),",","")),0)</f>
        <v>0</v>
      </c>
      <c r="R195" s="10" t="n">
        <f aca="false">Raw_Donors!Q195</f>
        <v>100</v>
      </c>
      <c r="S195" s="9" t="str">
        <f aca="false">Raw_Donors!R195</f>
        <v>Y</v>
      </c>
      <c r="T195" s="9" t="str">
        <f aca="false">IF(Raw_Donors!S195="","",Raw_Donors!S195)</f>
        <v/>
      </c>
      <c r="U195" s="9" t="str">
        <f aca="false">IF(AND((O195+P195)&gt;0,Q195=0),"Lapsed - Follow Up","")</f>
        <v/>
      </c>
      <c r="V195" s="9" t="n">
        <f aca="false">RANK(R195,$R$2:$R$759)+COUNTIF($R$2:R195,R195)-1</f>
        <v>279</v>
      </c>
      <c r="W195" s="9" t="str">
        <f aca="false">IF(U195="Lapsed - Follow Up",COUNTIF($U$2:U195,"Lapsed - Follow Up"),"")</f>
        <v/>
      </c>
    </row>
    <row r="196" customFormat="false" ht="15" hidden="false" customHeight="true" outlineLevel="0" collapsed="false">
      <c r="A196" s="9" t="str">
        <f aca="false">Raw_Donors!A196</f>
        <v>D1194</v>
      </c>
      <c r="B196" s="9" t="str">
        <f aca="false">IF(ISNUMBER(SEARCH("-DUP",A196)),"Duplicate ID","")</f>
        <v/>
      </c>
      <c r="C196" s="9" t="n">
        <f aca="false">Raw_Donors!B196</f>
        <v>36626</v>
      </c>
      <c r="D196" s="9" t="n">
        <f aca="false">Raw_Donors!C196</f>
        <v>0</v>
      </c>
      <c r="E196" s="9" t="str">
        <f aca="false">IFERROR(IF(Raw_Donors!D196="","Unknown",Raw_Donors!D196),"Unknown")</f>
        <v>Unknown</v>
      </c>
      <c r="F196" s="9" t="str">
        <f aca="false">IFERROR(IF(Raw_Donors!E196="","Unknown",Raw_Donors!E196),"Unknown")</f>
        <v>Male</v>
      </c>
      <c r="G196" s="9" t="str">
        <f aca="false">PROPER(TRIM(Raw_Donors!F196))</f>
        <v>Individual Donor</v>
      </c>
      <c r="H196" s="9" t="str">
        <f aca="false">IFERROR(IF(Raw_Donors!G196="","N",Raw_Donors!G196),"N")</f>
        <v>Y</v>
      </c>
      <c r="I196" s="9" t="str">
        <f aca="false">IF(Raw_Donors!H196="","Not Rated",Raw_Donors!H196)</f>
        <v>Not Rated</v>
      </c>
      <c r="J196" s="9" t="str">
        <f aca="false">IF(TRIM(Raw_Donors!I196)="","Unknown",TRIM(Raw_Donors!I196))</f>
        <v>HOME</v>
      </c>
      <c r="K196" s="9" t="str">
        <f aca="false">Raw_Donors!J196</f>
        <v>N</v>
      </c>
      <c r="L196" s="9" t="n">
        <f aca="false">Raw_Donors!K196</f>
        <v>0</v>
      </c>
      <c r="M196" s="10" t="n">
        <f aca="false">IFERROR(VALUE(SUBSTITUTE(SUBSTITUTE(Raw_Donors!L196,"$",""),",","")),0)</f>
        <v>0</v>
      </c>
      <c r="N196" s="10" t="n">
        <f aca="false">IFERROR(VALUE(SUBSTITUTE(SUBSTITUTE(Raw_Donors!M196,"$",""),",","")),0)</f>
        <v>0</v>
      </c>
      <c r="O196" s="10" t="n">
        <f aca="false">IFERROR(VALUE(SUBSTITUTE(SUBSTITUTE(Raw_Donors!N196,"$",""),",","")),0)</f>
        <v>0</v>
      </c>
      <c r="P196" s="10" t="n">
        <f aca="false">IFERROR(VALUE(SUBSTITUTE(SUBSTITUTE(Raw_Donors!O196,"$",""),",","")),0)</f>
        <v>0</v>
      </c>
      <c r="Q196" s="10" t="n">
        <f aca="false">IFERROR(VALUE(SUBSTITUTE(SUBSTITUTE(Raw_Donors!P196,"$",""),",","")),0)</f>
        <v>0</v>
      </c>
      <c r="R196" s="10" t="n">
        <f aca="false">Raw_Donors!Q196</f>
        <v>265</v>
      </c>
      <c r="S196" s="9" t="str">
        <f aca="false">Raw_Donors!R196</f>
        <v>Y</v>
      </c>
      <c r="T196" s="9" t="str">
        <f aca="false">IF(Raw_Donors!S196="","",Raw_Donors!S196)</f>
        <v/>
      </c>
      <c r="U196" s="9" t="str">
        <f aca="false">IF(AND((O196+P196)&gt;0,Q196=0),"Lapsed - Follow Up","")</f>
        <v/>
      </c>
      <c r="V196" s="9" t="n">
        <f aca="false">RANK(R196,$R$2:$R$759)+COUNTIF($R$2:R196,R196)-1</f>
        <v>155</v>
      </c>
      <c r="W196" s="9" t="str">
        <f aca="false">IF(U196="Lapsed - Follow Up",COUNTIF($U$2:U196,"Lapsed - Follow Up"),"")</f>
        <v/>
      </c>
    </row>
    <row r="197" customFormat="false" ht="15" hidden="false" customHeight="true" outlineLevel="0" collapsed="false">
      <c r="A197" s="9" t="str">
        <f aca="false">Raw_Donors!A197</f>
        <v>D1195</v>
      </c>
      <c r="B197" s="9" t="str">
        <f aca="false">IF(ISNUMBER(SEARCH("-DUP",A197)),"Duplicate ID","")</f>
        <v/>
      </c>
      <c r="C197" s="9" t="n">
        <f aca="false">Raw_Donors!B197</f>
        <v>90265</v>
      </c>
      <c r="D197" s="9" t="n">
        <f aca="false">Raw_Donors!C197</f>
        <v>61</v>
      </c>
      <c r="E197" s="9" t="str">
        <f aca="false">IFERROR(IF(Raw_Donors!D197="","Unknown",Raw_Donors!D197),"Unknown")</f>
        <v>Unknown</v>
      </c>
      <c r="F197" s="9" t="str">
        <f aca="false">IFERROR(IF(Raw_Donors!E197="","Unknown",Raw_Donors!E197),"Unknown")</f>
        <v>Female</v>
      </c>
      <c r="G197" s="9" t="str">
        <f aca="false">PROPER(TRIM(Raw_Donors!F197))</f>
        <v>Individual Donor</v>
      </c>
      <c r="H197" s="9" t="str">
        <f aca="false">IFERROR(IF(Raw_Donors!G197="","N",Raw_Donors!G197),"N")</f>
        <v>N</v>
      </c>
      <c r="I197" s="9" t="str">
        <f aca="false">IF(Raw_Donors!H197="","Not Rated",Raw_Donors!H197)</f>
        <v>Not Rated</v>
      </c>
      <c r="J197" s="9" t="str">
        <f aca="false">IF(TRIM(Raw_Donors!I197)="","Unknown",TRIM(Raw_Donors!I197))</f>
        <v>HOME</v>
      </c>
      <c r="K197" s="9" t="str">
        <f aca="false">Raw_Donors!J197</f>
        <v>N</v>
      </c>
      <c r="L197" s="9" t="n">
        <f aca="false">Raw_Donors!K197</f>
        <v>0</v>
      </c>
      <c r="M197" s="10" t="n">
        <f aca="false">IFERROR(VALUE(SUBSTITUTE(SUBSTITUTE(Raw_Donors!L197,"$",""),",","")),0)</f>
        <v>0</v>
      </c>
      <c r="N197" s="10" t="n">
        <f aca="false">IFERROR(VALUE(SUBSTITUTE(SUBSTITUTE(Raw_Donors!M197,"$",""),",","")),0)</f>
        <v>0</v>
      </c>
      <c r="O197" s="10" t="n">
        <f aca="false">IFERROR(VALUE(SUBSTITUTE(SUBSTITUTE(Raw_Donors!N197,"$",""),",","")),0)</f>
        <v>0</v>
      </c>
      <c r="P197" s="10" t="n">
        <f aca="false">IFERROR(VALUE(SUBSTITUTE(SUBSTITUTE(Raw_Donors!O197,"$",""),",","")),0)</f>
        <v>0</v>
      </c>
      <c r="Q197" s="10" t="n">
        <f aca="false">IFERROR(VALUE(SUBSTITUTE(SUBSTITUTE(Raw_Donors!P197,"$",""),",","")),0)</f>
        <v>0</v>
      </c>
      <c r="R197" s="10" t="n">
        <f aca="false">Raw_Donors!Q197</f>
        <v>0</v>
      </c>
      <c r="S197" s="9" t="str">
        <f aca="false">Raw_Donors!R197</f>
        <v>N</v>
      </c>
      <c r="T197" s="9" t="str">
        <f aca="false">IF(Raw_Donors!S197="","",Raw_Donors!S197)</f>
        <v>1956-09-13</v>
      </c>
      <c r="U197" s="9" t="str">
        <f aca="false">IF(AND((O197+P197)&gt;0,Q197=0),"Lapsed - Follow Up","")</f>
        <v/>
      </c>
      <c r="V197" s="9" t="n">
        <f aca="false">RANK(R197,$R$2:$R$759)+COUNTIF($R$2:R197,R197)-1</f>
        <v>607</v>
      </c>
      <c r="W197" s="9" t="str">
        <f aca="false">IF(U197="Lapsed - Follow Up",COUNTIF($U$2:U197,"Lapsed - Follow Up"),"")</f>
        <v/>
      </c>
    </row>
    <row r="198" customFormat="false" ht="15" hidden="false" customHeight="true" outlineLevel="0" collapsed="false">
      <c r="A198" s="9" t="str">
        <f aca="false">Raw_Donors!A198</f>
        <v>D1196</v>
      </c>
      <c r="B198" s="9" t="str">
        <f aca="false">IF(ISNUMBER(SEARCH("-DUP",A198)),"Duplicate ID","")</f>
        <v/>
      </c>
      <c r="C198" s="9" t="n">
        <f aca="false">Raw_Donors!B198</f>
        <v>30340</v>
      </c>
      <c r="D198" s="9" t="n">
        <f aca="false">Raw_Donors!C198</f>
        <v>56</v>
      </c>
      <c r="E198" s="9" t="str">
        <f aca="false">IFERROR(IF(Raw_Donors!D198="","Unknown",Raw_Donors!D198),"Unknown")</f>
        <v>Unknown</v>
      </c>
      <c r="F198" s="9" t="str">
        <f aca="false">IFERROR(IF(Raw_Donors!E198="","Unknown",Raw_Donors!E198),"Unknown")</f>
        <v>Male</v>
      </c>
      <c r="G198" s="9" t="str">
        <f aca="false">PROPER(TRIM(Raw_Donors!F198))</f>
        <v>Community Partner</v>
      </c>
      <c r="H198" s="9" t="str">
        <f aca="false">IFERROR(IF(Raw_Donors!G198="","N",Raw_Donors!G198),"N")</f>
        <v>Y</v>
      </c>
      <c r="I198" s="9" t="str">
        <f aca="false">IF(Raw_Donors!H198="","Not Rated",Raw_Donors!H198)</f>
        <v>Not Rated</v>
      </c>
      <c r="J198" s="9" t="str">
        <f aca="false">IF(TRIM(Raw_Donors!I198)="","Unknown",TRIM(Raw_Donors!I198))</f>
        <v>HOME</v>
      </c>
      <c r="K198" s="9" t="str">
        <f aca="false">Raw_Donors!J198</f>
        <v>Y</v>
      </c>
      <c r="L198" s="9" t="n">
        <f aca="false">Raw_Donors!K198</f>
        <v>2</v>
      </c>
      <c r="M198" s="10" t="n">
        <f aca="false">IFERROR(VALUE(SUBSTITUTE(SUBSTITUTE(Raw_Donors!L198,"$",""),",","")),0)</f>
        <v>0</v>
      </c>
      <c r="N198" s="10" t="n">
        <f aca="false">IFERROR(VALUE(SUBSTITUTE(SUBSTITUTE(Raw_Donors!M198,"$",""),",","")),0)</f>
        <v>0</v>
      </c>
      <c r="O198" s="10" t="n">
        <f aca="false">IFERROR(VALUE(SUBSTITUTE(SUBSTITUTE(Raw_Donors!N198,"$",""),",","")),0)</f>
        <v>0</v>
      </c>
      <c r="P198" s="10" t="n">
        <f aca="false">IFERROR(VALUE(SUBSTITUTE(SUBSTITUTE(Raw_Donors!O198,"$",""),",","")),0)</f>
        <v>0</v>
      </c>
      <c r="Q198" s="10" t="n">
        <f aca="false">IFERROR(VALUE(SUBSTITUTE(SUBSTITUTE(Raw_Donors!P198,"$",""),",","")),0)</f>
        <v>0</v>
      </c>
      <c r="R198" s="10" t="n">
        <f aca="false">Raw_Donors!Q198</f>
        <v>180</v>
      </c>
      <c r="S198" s="9" t="str">
        <f aca="false">Raw_Donors!R198</f>
        <v>Y</v>
      </c>
      <c r="T198" s="9" t="str">
        <f aca="false">IF(Raw_Donors!S198="","",Raw_Donors!S198)</f>
        <v>1961-03-09</v>
      </c>
      <c r="U198" s="9" t="str">
        <f aca="false">IF(AND((O198+P198)&gt;0,Q198=0),"Lapsed - Follow Up","")</f>
        <v/>
      </c>
      <c r="V198" s="9" t="n">
        <f aca="false">RANK(R198,$R$2:$R$759)+COUNTIF($R$2:R198,R198)-1</f>
        <v>212</v>
      </c>
      <c r="W198" s="9" t="str">
        <f aca="false">IF(U198="Lapsed - Follow Up",COUNTIF($U$2:U198,"Lapsed - Follow Up"),"")</f>
        <v/>
      </c>
    </row>
    <row r="199" customFormat="false" ht="15" hidden="false" customHeight="true" outlineLevel="0" collapsed="false">
      <c r="A199" s="9" t="str">
        <f aca="false">Raw_Donors!A199</f>
        <v>D1197</v>
      </c>
      <c r="B199" s="9" t="str">
        <f aca="false">IF(ISNUMBER(SEARCH("-DUP",A199)),"Duplicate ID","")</f>
        <v/>
      </c>
      <c r="C199" s="9" t="n">
        <f aca="false">Raw_Donors!B199</f>
        <v>66759</v>
      </c>
      <c r="D199" s="9" t="n">
        <f aca="false">Raw_Donors!C199</f>
        <v>0</v>
      </c>
      <c r="E199" s="9" t="str">
        <f aca="false">IFERROR(IF(Raw_Donors!D199="","Unknown",Raw_Donors!D199),"Unknown")</f>
        <v>Married</v>
      </c>
      <c r="F199" s="9" t="str">
        <f aca="false">IFERROR(IF(Raw_Donors!E199="","Unknown",Raw_Donors!E199),"Unknown")</f>
        <v>Male</v>
      </c>
      <c r="G199" s="9" t="str">
        <f aca="false">PROPER(TRIM(Raw_Donors!F199))</f>
        <v>Individual Donor</v>
      </c>
      <c r="H199" s="9" t="str">
        <f aca="false">IFERROR(IF(Raw_Donors!G199="","N",Raw_Donors!G199),"N")</f>
        <v>Y</v>
      </c>
      <c r="I199" s="9" t="str">
        <f aca="false">IF(Raw_Donors!H199="","Not Rated",Raw_Donors!H199)</f>
        <v>Not Rated</v>
      </c>
      <c r="J199" s="9" t="str">
        <f aca="false">IF(TRIM(Raw_Donors!I199)="","Unknown",TRIM(Raw_Donors!I199))</f>
        <v>HOME</v>
      </c>
      <c r="K199" s="9" t="str">
        <f aca="false">Raw_Donors!J199</f>
        <v>N</v>
      </c>
      <c r="L199" s="9" t="n">
        <f aca="false">Raw_Donors!K199</f>
        <v>3</v>
      </c>
      <c r="M199" s="10" t="n">
        <f aca="false">IFERROR(VALUE(SUBSTITUTE(SUBSTITUTE(Raw_Donors!L199,"$",""),",","")),0)</f>
        <v>0</v>
      </c>
      <c r="N199" s="10" t="n">
        <f aca="false">IFERROR(VALUE(SUBSTITUTE(SUBSTITUTE(Raw_Donors!M199,"$",""),",","")),0)</f>
        <v>0</v>
      </c>
      <c r="O199" s="10" t="n">
        <f aca="false">IFERROR(VALUE(SUBSTITUTE(SUBSTITUTE(Raw_Donors!N199,"$",""),",","")),0)</f>
        <v>0</v>
      </c>
      <c r="P199" s="10" t="n">
        <f aca="false">IFERROR(VALUE(SUBSTITUTE(SUBSTITUTE(Raw_Donors!O199,"$",""),",","")),0)</f>
        <v>0</v>
      </c>
      <c r="Q199" s="10" t="n">
        <f aca="false">IFERROR(VALUE(SUBSTITUTE(SUBSTITUTE(Raw_Donors!P199,"$",""),",","")),0)</f>
        <v>0</v>
      </c>
      <c r="R199" s="10" t="n">
        <f aca="false">Raw_Donors!Q199</f>
        <v>265</v>
      </c>
      <c r="S199" s="9" t="str">
        <f aca="false">Raw_Donors!R199</f>
        <v>Y</v>
      </c>
      <c r="T199" s="9" t="str">
        <f aca="false">IF(Raw_Donors!S199="","",Raw_Donors!S199)</f>
        <v/>
      </c>
      <c r="U199" s="9" t="str">
        <f aca="false">IF(AND((O199+P199)&gt;0,Q199=0),"Lapsed - Follow Up","")</f>
        <v/>
      </c>
      <c r="V199" s="9" t="n">
        <f aca="false">RANK(R199,$R$2:$R$759)+COUNTIF($R$2:R199,R199)-1</f>
        <v>156</v>
      </c>
      <c r="W199" s="9" t="str">
        <f aca="false">IF(U199="Lapsed - Follow Up",COUNTIF($U$2:U199,"Lapsed - Follow Up"),"")</f>
        <v/>
      </c>
    </row>
    <row r="200" customFormat="false" ht="15" hidden="false" customHeight="true" outlineLevel="0" collapsed="false">
      <c r="A200" s="9" t="str">
        <f aca="false">Raw_Donors!A200</f>
        <v>D1198</v>
      </c>
      <c r="B200" s="9" t="str">
        <f aca="false">IF(ISNUMBER(SEARCH("-DUP",A200)),"Duplicate ID","")</f>
        <v/>
      </c>
      <c r="C200" s="9" t="n">
        <f aca="false">Raw_Donors!B200</f>
        <v>1569</v>
      </c>
      <c r="D200" s="9" t="n">
        <f aca="false">Raw_Donors!C200</f>
        <v>0</v>
      </c>
      <c r="E200" s="9" t="str">
        <f aca="false">IFERROR(IF(Raw_Donors!D200="","Unknown",Raw_Donors!D200),"Unknown")</f>
        <v>Unknown</v>
      </c>
      <c r="F200" s="9" t="str">
        <f aca="false">IFERROR(IF(Raw_Donors!E200="","Unknown",Raw_Donors!E200),"Unknown")</f>
        <v>Female</v>
      </c>
      <c r="G200" s="9" t="str">
        <f aca="false">PROPER(TRIM(Raw_Donors!F200))</f>
        <v>Individual Donor</v>
      </c>
      <c r="H200" s="9" t="str">
        <f aca="false">IFERROR(IF(Raw_Donors!G200="","N",Raw_Donors!G200),"N")</f>
        <v>N</v>
      </c>
      <c r="I200" s="9" t="str">
        <f aca="false">IF(Raw_Donors!H200="","Not Rated",Raw_Donors!H200)</f>
        <v>Not Rated</v>
      </c>
      <c r="J200" s="9" t="str">
        <f aca="false">IF(TRIM(Raw_Donors!I200)="","Unknown",TRIM(Raw_Donors!I200))</f>
        <v>HOME</v>
      </c>
      <c r="K200" s="9" t="str">
        <f aca="false">Raw_Donors!J200</f>
        <v>N</v>
      </c>
      <c r="L200" s="9" t="n">
        <f aca="false">Raw_Donors!K200</f>
        <v>1</v>
      </c>
      <c r="M200" s="10" t="n">
        <f aca="false">IFERROR(VALUE(SUBSTITUTE(SUBSTITUTE(Raw_Donors!L200,"$",""),",","")),0)</f>
        <v>0</v>
      </c>
      <c r="N200" s="10" t="n">
        <f aca="false">IFERROR(VALUE(SUBSTITUTE(SUBSTITUTE(Raw_Donors!M200,"$",""),",","")),0)</f>
        <v>0</v>
      </c>
      <c r="O200" s="10" t="n">
        <f aca="false">IFERROR(VALUE(SUBSTITUTE(SUBSTITUTE(Raw_Donors!N200,"$",""),",","")),0)</f>
        <v>0</v>
      </c>
      <c r="P200" s="10" t="n">
        <f aca="false">IFERROR(VALUE(SUBSTITUTE(SUBSTITUTE(Raw_Donors!O200,"$",""),",","")),0)</f>
        <v>0</v>
      </c>
      <c r="Q200" s="10" t="n">
        <f aca="false">IFERROR(VALUE(SUBSTITUTE(SUBSTITUTE(Raw_Donors!P200,"$",""),",","")),0)</f>
        <v>0</v>
      </c>
      <c r="R200" s="10" t="n">
        <f aca="false">Raw_Donors!Q200</f>
        <v>251</v>
      </c>
      <c r="S200" s="9" t="str">
        <f aca="false">Raw_Donors!R200</f>
        <v>Y</v>
      </c>
      <c r="T200" s="9" t="str">
        <f aca="false">IF(Raw_Donors!S200="","",Raw_Donors!S200)</f>
        <v/>
      </c>
      <c r="U200" s="9" t="str">
        <f aca="false">IF(AND((O200+P200)&gt;0,Q200=0),"Lapsed - Follow Up","")</f>
        <v/>
      </c>
      <c r="V200" s="9" t="n">
        <f aca="false">RANK(R200,$R$2:$R$759)+COUNTIF($R$2:R200,R200)-1</f>
        <v>163</v>
      </c>
      <c r="W200" s="9" t="str">
        <f aca="false">IF(U200="Lapsed - Follow Up",COUNTIF($U$2:U200,"Lapsed - Follow Up"),"")</f>
        <v/>
      </c>
    </row>
    <row r="201" customFormat="false" ht="15" hidden="false" customHeight="true" outlineLevel="0" collapsed="false">
      <c r="A201" s="9" t="str">
        <f aca="false">Raw_Donors!A201</f>
        <v>D1199</v>
      </c>
      <c r="B201" s="9" t="str">
        <f aca="false">IF(ISNUMBER(SEARCH("-DUP",A201)),"Duplicate ID","")</f>
        <v/>
      </c>
      <c r="C201" s="9" t="n">
        <f aca="false">Raw_Donors!B201</f>
        <v>17767</v>
      </c>
      <c r="D201" s="9" t="n">
        <f aca="false">Raw_Donors!C201</f>
        <v>75</v>
      </c>
      <c r="E201" s="9" t="str">
        <f aca="false">IFERROR(IF(Raw_Donors!D201="","Unknown",Raw_Donors!D201),"Unknown")</f>
        <v>Unknown</v>
      </c>
      <c r="F201" s="9" t="str">
        <f aca="false">IFERROR(IF(Raw_Donors!E201="","Unknown",Raw_Donors!E201),"Unknown")</f>
        <v>Male</v>
      </c>
      <c r="G201" s="9" t="str">
        <f aca="false">PROPER(TRIM(Raw_Donors!F201))</f>
        <v>Individual Donor</v>
      </c>
      <c r="H201" s="9" t="str">
        <f aca="false">IFERROR(IF(Raw_Donors!G201="","N",Raw_Donors!G201),"N")</f>
        <v>N</v>
      </c>
      <c r="I201" s="9" t="str">
        <f aca="false">IF(Raw_Donors!H201="","Not Rated",Raw_Donors!H201)</f>
        <v>Not Rated</v>
      </c>
      <c r="J201" s="9" t="str">
        <f aca="false">IF(TRIM(Raw_Donors!I201)="","Unknown",TRIM(Raw_Donors!I201))</f>
        <v>HOME</v>
      </c>
      <c r="K201" s="9" t="str">
        <f aca="false">Raw_Donors!J201</f>
        <v>N</v>
      </c>
      <c r="L201" s="9" t="n">
        <f aca="false">Raw_Donors!K201</f>
        <v>0</v>
      </c>
      <c r="M201" s="10" t="n">
        <f aca="false">IFERROR(VALUE(SUBSTITUTE(SUBSTITUTE(Raw_Donors!L201,"$",""),",","")),0)</f>
        <v>0</v>
      </c>
      <c r="N201" s="10" t="n">
        <f aca="false">IFERROR(VALUE(SUBSTITUTE(SUBSTITUTE(Raw_Donors!M201,"$",""),",","")),0)</f>
        <v>0</v>
      </c>
      <c r="O201" s="10" t="n">
        <f aca="false">IFERROR(VALUE(SUBSTITUTE(SUBSTITUTE(Raw_Donors!N201,"$",""),",","")),0)</f>
        <v>0</v>
      </c>
      <c r="P201" s="10" t="n">
        <f aca="false">IFERROR(VALUE(SUBSTITUTE(SUBSTITUTE(Raw_Donors!O201,"$",""),",","")),0)</f>
        <v>0</v>
      </c>
      <c r="Q201" s="10" t="n">
        <f aca="false">IFERROR(VALUE(SUBSTITUTE(SUBSTITUTE(Raw_Donors!P201,"$",""),",","")),0)</f>
        <v>0</v>
      </c>
      <c r="R201" s="10" t="n">
        <f aca="false">Raw_Donors!Q201</f>
        <v>25</v>
      </c>
      <c r="S201" s="9" t="str">
        <f aca="false">Raw_Donors!R201</f>
        <v>Y</v>
      </c>
      <c r="T201" s="9" t="str">
        <f aca="false">IF(Raw_Donors!S201="","",Raw_Donors!S201)</f>
        <v>1942-03-03</v>
      </c>
      <c r="U201" s="9" t="str">
        <f aca="false">IF(AND((O201+P201)&gt;0,Q201=0),"Lapsed - Follow Up","")</f>
        <v/>
      </c>
      <c r="V201" s="9" t="n">
        <f aca="false">RANK(R201,$R$2:$R$759)+COUNTIF($R$2:R201,R201)-1</f>
        <v>436</v>
      </c>
      <c r="W201" s="9" t="str">
        <f aca="false">IF(U201="Lapsed - Follow Up",COUNTIF($U$2:U201,"Lapsed - Follow Up"),"")</f>
        <v/>
      </c>
    </row>
    <row r="202" customFormat="false" ht="15" hidden="false" customHeight="true" outlineLevel="0" collapsed="false">
      <c r="A202" s="9" t="str">
        <f aca="false">Raw_Donors!A202</f>
        <v>D1200</v>
      </c>
      <c r="B202" s="9" t="str">
        <f aca="false">IF(ISNUMBER(SEARCH("-DUP",A202)),"Duplicate ID","")</f>
        <v/>
      </c>
      <c r="C202" s="9" t="n">
        <f aca="false">Raw_Donors!B202</f>
        <v>49961</v>
      </c>
      <c r="D202" s="9" t="n">
        <f aca="false">Raw_Donors!C202</f>
        <v>0</v>
      </c>
      <c r="E202" s="9" t="str">
        <f aca="false">IFERROR(IF(Raw_Donors!D202="","Unknown",Raw_Donors!D202),"Unknown")</f>
        <v>Unknown</v>
      </c>
      <c r="F202" s="9" t="str">
        <f aca="false">IFERROR(IF(Raw_Donors!E202="","Unknown",Raw_Donors!E202),"Unknown")</f>
        <v>Female</v>
      </c>
      <c r="G202" s="9" t="str">
        <f aca="false">PROPER(TRIM(Raw_Donors!F202))</f>
        <v>Individual Donor</v>
      </c>
      <c r="H202" s="9" t="str">
        <f aca="false">IFERROR(IF(Raw_Donors!G202="","N",Raw_Donors!G202),"N")</f>
        <v>Y</v>
      </c>
      <c r="I202" s="9" t="str">
        <f aca="false">IF(Raw_Donors!H202="","Not Rated",Raw_Donors!H202)</f>
        <v>Not Rated</v>
      </c>
      <c r="J202" s="9" t="str">
        <f aca="false">IF(TRIM(Raw_Donors!I202)="","Unknown",TRIM(Raw_Donors!I202))</f>
        <v>Unknown</v>
      </c>
      <c r="K202" s="9" t="str">
        <f aca="false">Raw_Donors!J202</f>
        <v>N</v>
      </c>
      <c r="L202" s="9" t="n">
        <f aca="false">Raw_Donors!K202</f>
        <v>2</v>
      </c>
      <c r="M202" s="10" t="n">
        <f aca="false">IFERROR(VALUE(SUBSTITUTE(SUBSTITUTE(Raw_Donors!L202,"$",""),",","")),0)</f>
        <v>0</v>
      </c>
      <c r="N202" s="10" t="n">
        <f aca="false">IFERROR(VALUE(SUBSTITUTE(SUBSTITUTE(Raw_Donors!M202,"$",""),",","")),0)</f>
        <v>0</v>
      </c>
      <c r="O202" s="10" t="n">
        <f aca="false">IFERROR(VALUE(SUBSTITUTE(SUBSTITUTE(Raw_Donors!N202,"$",""),",","")),0)</f>
        <v>0</v>
      </c>
      <c r="P202" s="10" t="n">
        <f aca="false">IFERROR(VALUE(SUBSTITUTE(SUBSTITUTE(Raw_Donors!O202,"$",""),",","")),0)</f>
        <v>0</v>
      </c>
      <c r="Q202" s="10" t="n">
        <f aca="false">IFERROR(VALUE(SUBSTITUTE(SUBSTITUTE(Raw_Donors!P202,"$",""),",","")),0)</f>
        <v>0</v>
      </c>
      <c r="R202" s="10" t="n">
        <f aca="false">Raw_Donors!Q202</f>
        <v>120</v>
      </c>
      <c r="S202" s="9" t="str">
        <f aca="false">Raw_Donors!R202</f>
        <v>Y</v>
      </c>
      <c r="T202" s="9" t="str">
        <f aca="false">IF(Raw_Donors!S202="","",Raw_Donors!S202)</f>
        <v/>
      </c>
      <c r="U202" s="9" t="str">
        <f aca="false">IF(AND((O202+P202)&gt;0,Q202=0),"Lapsed - Follow Up","")</f>
        <v/>
      </c>
      <c r="V202" s="9" t="n">
        <f aca="false">RANK(R202,$R$2:$R$759)+COUNTIF($R$2:R202,R202)-1</f>
        <v>252</v>
      </c>
      <c r="W202" s="9" t="str">
        <f aca="false">IF(U202="Lapsed - Follow Up",COUNTIF($U$2:U202,"Lapsed - Follow Up"),"")</f>
        <v/>
      </c>
    </row>
    <row r="203" customFormat="false" ht="15" hidden="false" customHeight="true" outlineLevel="0" collapsed="false">
      <c r="A203" s="9" t="str">
        <f aca="false">Raw_Donors!A203</f>
        <v>D1201</v>
      </c>
      <c r="B203" s="9" t="str">
        <f aca="false">IF(ISNUMBER(SEARCH("-DUP",A203)),"Duplicate ID","")</f>
        <v/>
      </c>
      <c r="C203" s="9" t="n">
        <f aca="false">Raw_Donors!B203</f>
        <v>35135</v>
      </c>
      <c r="D203" s="9" t="n">
        <f aca="false">Raw_Donors!C203</f>
        <v>69</v>
      </c>
      <c r="E203" s="9" t="str">
        <f aca="false">IFERROR(IF(Raw_Donors!D203="","Unknown",Raw_Donors!D203),"Unknown")</f>
        <v>Unknown</v>
      </c>
      <c r="F203" s="9" t="str">
        <f aca="false">IFERROR(IF(Raw_Donors!E203="","Unknown",Raw_Donors!E203),"Unknown")</f>
        <v>Male</v>
      </c>
      <c r="G203" s="9" t="str">
        <f aca="false">PROPER(TRIM(Raw_Donors!F203))</f>
        <v>Individual Donor</v>
      </c>
      <c r="H203" s="9" t="str">
        <f aca="false">IFERROR(IF(Raw_Donors!G203="","N",Raw_Donors!G203),"N")</f>
        <v>N</v>
      </c>
      <c r="I203" s="9" t="str">
        <f aca="false">IF(Raw_Donors!H203="","Not Rated",Raw_Donors!H203)</f>
        <v>Not Rated</v>
      </c>
      <c r="J203" s="9" t="str">
        <f aca="false">IF(TRIM(Raw_Donors!I203)="","Unknown",TRIM(Raw_Donors!I203))</f>
        <v>HOME</v>
      </c>
      <c r="K203" s="9" t="str">
        <f aca="false">Raw_Donors!J203</f>
        <v>N</v>
      </c>
      <c r="L203" s="9" t="n">
        <f aca="false">Raw_Donors!K203</f>
        <v>0</v>
      </c>
      <c r="M203" s="10" t="n">
        <f aca="false">IFERROR(VALUE(SUBSTITUTE(SUBSTITUTE(Raw_Donors!L203,"$",""),",","")),0)</f>
        <v>0</v>
      </c>
      <c r="N203" s="10" t="n">
        <f aca="false">IFERROR(VALUE(SUBSTITUTE(SUBSTITUTE(Raw_Donors!M203,"$",""),",","")),0)</f>
        <v>0</v>
      </c>
      <c r="O203" s="10" t="n">
        <f aca="false">IFERROR(VALUE(SUBSTITUTE(SUBSTITUTE(Raw_Donors!N203,"$",""),",","")),0)</f>
        <v>0</v>
      </c>
      <c r="P203" s="10" t="n">
        <f aca="false">IFERROR(VALUE(SUBSTITUTE(SUBSTITUTE(Raw_Donors!O203,"$",""),",","")),0)</f>
        <v>0</v>
      </c>
      <c r="Q203" s="10" t="n">
        <f aca="false">IFERROR(VALUE(SUBSTITUTE(SUBSTITUTE(Raw_Donors!P203,"$",""),",","")),0)</f>
        <v>0</v>
      </c>
      <c r="R203" s="10" t="n">
        <f aca="false">Raw_Donors!Q203</f>
        <v>80</v>
      </c>
      <c r="S203" s="9" t="str">
        <f aca="false">Raw_Donors!R203</f>
        <v>Y</v>
      </c>
      <c r="T203" s="9" t="str">
        <f aca="false">IF(Raw_Donors!S203="","",Raw_Donors!S203)</f>
        <v>1948-05-14</v>
      </c>
      <c r="U203" s="9" t="str">
        <f aca="false">IF(AND((O203+P203)&gt;0,Q203=0),"Lapsed - Follow Up","")</f>
        <v/>
      </c>
      <c r="V203" s="9" t="n">
        <f aca="false">RANK(R203,$R$2:$R$759)+COUNTIF($R$2:R203,R203)-1</f>
        <v>325</v>
      </c>
      <c r="W203" s="9" t="str">
        <f aca="false">IF(U203="Lapsed - Follow Up",COUNTIF($U$2:U203,"Lapsed - Follow Up"),"")</f>
        <v/>
      </c>
    </row>
    <row r="204" customFormat="false" ht="15" hidden="false" customHeight="true" outlineLevel="0" collapsed="false">
      <c r="A204" s="9" t="str">
        <f aca="false">Raw_Donors!A204</f>
        <v>D1202</v>
      </c>
      <c r="B204" s="9" t="str">
        <f aca="false">IF(ISNUMBER(SEARCH("-DUP",A204)),"Duplicate ID","")</f>
        <v/>
      </c>
      <c r="C204" s="9" t="n">
        <f aca="false">Raw_Donors!B204</f>
        <v>78703</v>
      </c>
      <c r="D204" s="9" t="n">
        <f aca="false">Raw_Donors!C204</f>
        <v>0</v>
      </c>
      <c r="E204" s="9" t="str">
        <f aca="false">IFERROR(IF(Raw_Donors!D204="","Unknown",Raw_Donors!D204),"Unknown")</f>
        <v>Unknown</v>
      </c>
      <c r="F204" s="9" t="str">
        <f aca="false">IFERROR(IF(Raw_Donors!E204="","Unknown",Raw_Donors!E204),"Unknown")</f>
        <v>Male</v>
      </c>
      <c r="G204" s="9" t="str">
        <f aca="false">PROPER(TRIM(Raw_Donors!F204))</f>
        <v>Community Partner</v>
      </c>
      <c r="H204" s="9" t="str">
        <f aca="false">IFERROR(IF(Raw_Donors!G204="","N",Raw_Donors!G204),"N")</f>
        <v>Y</v>
      </c>
      <c r="I204" s="9" t="str">
        <f aca="false">IF(Raw_Donors!H204="","Not Rated",Raw_Donors!H204)</f>
        <v>Not Rated</v>
      </c>
      <c r="J204" s="9" t="str">
        <f aca="false">IF(TRIM(Raw_Donors!I204)="","Unknown",TRIM(Raw_Donors!I204))</f>
        <v>HOME</v>
      </c>
      <c r="K204" s="9" t="str">
        <f aca="false">Raw_Donors!J204</f>
        <v>N</v>
      </c>
      <c r="L204" s="9" t="n">
        <f aca="false">Raw_Donors!K204</f>
        <v>2</v>
      </c>
      <c r="M204" s="10" t="n">
        <f aca="false">IFERROR(VALUE(SUBSTITUTE(SUBSTITUTE(Raw_Donors!L204,"$",""),",","")),0)</f>
        <v>0</v>
      </c>
      <c r="N204" s="10" t="n">
        <f aca="false">IFERROR(VALUE(SUBSTITUTE(SUBSTITUTE(Raw_Donors!M204,"$",""),",","")),0)</f>
        <v>0</v>
      </c>
      <c r="O204" s="10" t="n">
        <f aca="false">IFERROR(VALUE(SUBSTITUTE(SUBSTITUTE(Raw_Donors!N204,"$",""),",","")),0)</f>
        <v>51</v>
      </c>
      <c r="P204" s="10" t="n">
        <f aca="false">IFERROR(VALUE(SUBSTITUTE(SUBSTITUTE(Raw_Donors!O204,"$",""),",","")),0)</f>
        <v>0</v>
      </c>
      <c r="Q204" s="10" t="n">
        <f aca="false">IFERROR(VALUE(SUBSTITUTE(SUBSTITUTE(Raw_Donors!P204,"$",""),",","")),0)</f>
        <v>0</v>
      </c>
      <c r="R204" s="10" t="n">
        <f aca="false">Raw_Donors!Q204</f>
        <v>2803</v>
      </c>
      <c r="S204" s="9" t="str">
        <f aca="false">Raw_Donors!R204</f>
        <v>Y</v>
      </c>
      <c r="T204" s="9" t="str">
        <f aca="false">IF(Raw_Donors!S204="","",Raw_Donors!S204)</f>
        <v/>
      </c>
      <c r="U204" s="9" t="str">
        <f aca="false">IF(AND((O204+P204)&gt;0,Q204=0),"Lapsed - Follow Up","")</f>
        <v>Lapsed - Follow Up</v>
      </c>
      <c r="V204" s="9" t="n">
        <f aca="false">RANK(R204,$R$2:$R$759)+COUNTIF($R$2:R204,R204)-1</f>
        <v>21</v>
      </c>
      <c r="W204" s="9" t="n">
        <f aca="false">IF(U204="Lapsed - Follow Up",COUNTIF($U$2:U204,"Lapsed - Follow Up"),"")</f>
        <v>34</v>
      </c>
    </row>
    <row r="205" customFormat="false" ht="15" hidden="false" customHeight="true" outlineLevel="0" collapsed="false">
      <c r="A205" s="9" t="str">
        <f aca="false">Raw_Donors!A205</f>
        <v>D1203</v>
      </c>
      <c r="B205" s="9" t="str">
        <f aca="false">IF(ISNUMBER(SEARCH("-DUP",A205)),"Duplicate ID","")</f>
        <v/>
      </c>
      <c r="C205" s="9" t="n">
        <f aca="false">Raw_Donors!B205</f>
        <v>8510</v>
      </c>
      <c r="D205" s="9" t="n">
        <f aca="false">Raw_Donors!C205</f>
        <v>66</v>
      </c>
      <c r="E205" s="9" t="str">
        <f aca="false">IFERROR(IF(Raw_Donors!D205="","Unknown",Raw_Donors!D205),"Unknown")</f>
        <v>Unknown</v>
      </c>
      <c r="F205" s="9" t="str">
        <f aca="false">IFERROR(IF(Raw_Donors!E205="","Unknown",Raw_Donors!E205),"Unknown")</f>
        <v>Male</v>
      </c>
      <c r="G205" s="9" t="str">
        <f aca="false">PROPER(TRIM(Raw_Donors!F205))</f>
        <v>Individual Donor</v>
      </c>
      <c r="H205" s="9" t="str">
        <f aca="false">IFERROR(IF(Raw_Donors!G205="","N",Raw_Donors!G205),"N")</f>
        <v>N</v>
      </c>
      <c r="I205" s="9" t="str">
        <f aca="false">IF(Raw_Donors!H205="","Not Rated",Raw_Donors!H205)</f>
        <v>Not Rated</v>
      </c>
      <c r="J205" s="9" t="str">
        <f aca="false">IF(TRIM(Raw_Donors!I205)="","Unknown",TRIM(Raw_Donors!I205))</f>
        <v>HOME</v>
      </c>
      <c r="K205" s="9" t="str">
        <f aca="false">Raw_Donors!J205</f>
        <v>N</v>
      </c>
      <c r="L205" s="9" t="n">
        <f aca="false">Raw_Donors!K205</f>
        <v>0</v>
      </c>
      <c r="M205" s="10" t="n">
        <f aca="false">IFERROR(VALUE(SUBSTITUTE(SUBSTITUTE(Raw_Donors!L205,"$",""),",","")),0)</f>
        <v>0</v>
      </c>
      <c r="N205" s="10" t="n">
        <f aca="false">IFERROR(VALUE(SUBSTITUTE(SUBSTITUTE(Raw_Donors!M205,"$",""),",","")),0)</f>
        <v>0</v>
      </c>
      <c r="O205" s="10" t="n">
        <f aca="false">IFERROR(VALUE(SUBSTITUTE(SUBSTITUTE(Raw_Donors!N205,"$",""),",","")),0)</f>
        <v>0</v>
      </c>
      <c r="P205" s="10" t="n">
        <f aca="false">IFERROR(VALUE(SUBSTITUTE(SUBSTITUTE(Raw_Donors!O205,"$",""),",","")),0)</f>
        <v>0</v>
      </c>
      <c r="Q205" s="10" t="n">
        <f aca="false">IFERROR(VALUE(SUBSTITUTE(SUBSTITUTE(Raw_Donors!P205,"$",""),",","")),0)</f>
        <v>0</v>
      </c>
      <c r="R205" s="10" t="n">
        <f aca="false">Raw_Donors!Q205</f>
        <v>0</v>
      </c>
      <c r="S205" s="9" t="str">
        <f aca="false">Raw_Donors!R205</f>
        <v>N</v>
      </c>
      <c r="T205" s="9" t="str">
        <f aca="false">IF(Raw_Donors!S205="","",Raw_Donors!S205)</f>
        <v>1951-01-21</v>
      </c>
      <c r="U205" s="9" t="str">
        <f aca="false">IF(AND((O205+P205)&gt;0,Q205=0),"Lapsed - Follow Up","")</f>
        <v/>
      </c>
      <c r="V205" s="9" t="n">
        <f aca="false">RANK(R205,$R$2:$R$759)+COUNTIF($R$2:R205,R205)-1</f>
        <v>608</v>
      </c>
      <c r="W205" s="9" t="str">
        <f aca="false">IF(U205="Lapsed - Follow Up",COUNTIF($U$2:U205,"Lapsed - Follow Up"),"")</f>
        <v/>
      </c>
    </row>
    <row r="206" customFormat="false" ht="15" hidden="false" customHeight="true" outlineLevel="0" collapsed="false">
      <c r="A206" s="9" t="str">
        <f aca="false">Raw_Donors!A206</f>
        <v>D1204</v>
      </c>
      <c r="B206" s="9" t="str">
        <f aca="false">IF(ISNUMBER(SEARCH("-DUP",A206)),"Duplicate ID","")</f>
        <v/>
      </c>
      <c r="C206" s="9" t="n">
        <f aca="false">Raw_Donors!B206</f>
        <v>90265</v>
      </c>
      <c r="D206" s="9" t="n">
        <f aca="false">Raw_Donors!C206</f>
        <v>0</v>
      </c>
      <c r="E206" s="9" t="str">
        <f aca="false">IFERROR(IF(Raw_Donors!D206="","Unknown",Raw_Donors!D206),"Unknown")</f>
        <v>Married</v>
      </c>
      <c r="F206" s="9" t="str">
        <f aca="false">IFERROR(IF(Raw_Donors!E206="","Unknown",Raw_Donors!E206),"Unknown")</f>
        <v>Male</v>
      </c>
      <c r="G206" s="9" t="str">
        <f aca="false">PROPER(TRIM(Raw_Donors!F206))</f>
        <v>Community Partner</v>
      </c>
      <c r="H206" s="9" t="str">
        <f aca="false">IFERROR(IF(Raw_Donors!G206="","N",Raw_Donors!G206),"N")</f>
        <v>N</v>
      </c>
      <c r="I206" s="9" t="str">
        <f aca="false">IF(Raw_Donors!H206="","Not Rated",Raw_Donors!H206)</f>
        <v>Not Rated</v>
      </c>
      <c r="J206" s="9" t="str">
        <f aca="false">IF(TRIM(Raw_Donors!I206)="","Unknown",TRIM(Raw_Donors!I206))</f>
        <v>HOME</v>
      </c>
      <c r="K206" s="9" t="str">
        <f aca="false">Raw_Donors!J206</f>
        <v>N</v>
      </c>
      <c r="L206" s="9" t="n">
        <f aca="false">Raw_Donors!K206</f>
        <v>1</v>
      </c>
      <c r="M206" s="10" t="n">
        <f aca="false">IFERROR(VALUE(SUBSTITUTE(SUBSTITUTE(Raw_Donors!L206,"$",""),",","")),0)</f>
        <v>0</v>
      </c>
      <c r="N206" s="10" t="n">
        <f aca="false">IFERROR(VALUE(SUBSTITUTE(SUBSTITUTE(Raw_Donors!M206,"$",""),",","")),0)</f>
        <v>0</v>
      </c>
      <c r="O206" s="10" t="n">
        <f aca="false">IFERROR(VALUE(SUBSTITUTE(SUBSTITUTE(Raw_Donors!N206,"$",""),",","")),0)</f>
        <v>0</v>
      </c>
      <c r="P206" s="10" t="n">
        <f aca="false">IFERROR(VALUE(SUBSTITUTE(SUBSTITUTE(Raw_Donors!O206,"$",""),",","")),0)</f>
        <v>0</v>
      </c>
      <c r="Q206" s="10" t="n">
        <f aca="false">IFERROR(VALUE(SUBSTITUTE(SUBSTITUTE(Raw_Donors!P206,"$",""),",","")),0)</f>
        <v>0</v>
      </c>
      <c r="R206" s="10" t="n">
        <f aca="false">Raw_Donors!Q206</f>
        <v>40</v>
      </c>
      <c r="S206" s="9" t="str">
        <f aca="false">Raw_Donors!R206</f>
        <v>Y</v>
      </c>
      <c r="T206" s="9" t="str">
        <f aca="false">IF(Raw_Donors!S206="","",Raw_Donors!S206)</f>
        <v/>
      </c>
      <c r="U206" s="9" t="str">
        <f aca="false">IF(AND((O206+P206)&gt;0,Q206=0),"Lapsed - Follow Up","")</f>
        <v/>
      </c>
      <c r="V206" s="9" t="n">
        <f aca="false">RANK(R206,$R$2:$R$759)+COUNTIF($R$2:R206,R206)-1</f>
        <v>393</v>
      </c>
      <c r="W206" s="9" t="str">
        <f aca="false">IF(U206="Lapsed - Follow Up",COUNTIF($U$2:U206,"Lapsed - Follow Up"),"")</f>
        <v/>
      </c>
    </row>
    <row r="207" customFormat="false" ht="15" hidden="false" customHeight="true" outlineLevel="0" collapsed="false">
      <c r="A207" s="9" t="str">
        <f aca="false">Raw_Donors!A207</f>
        <v>D1205</v>
      </c>
      <c r="B207" s="9" t="str">
        <f aca="false">IF(ISNUMBER(SEARCH("-DUP",A207)),"Duplicate ID","")</f>
        <v/>
      </c>
      <c r="C207" s="9" t="n">
        <f aca="false">Raw_Donors!B207</f>
        <v>1012</v>
      </c>
      <c r="D207" s="9" t="n">
        <f aca="false">Raw_Donors!C207</f>
        <v>42</v>
      </c>
      <c r="E207" s="9" t="str">
        <f aca="false">IFERROR(IF(Raw_Donors!D207="","Unknown",Raw_Donors!D207),"Unknown")</f>
        <v>Unknown</v>
      </c>
      <c r="F207" s="9" t="str">
        <f aca="false">IFERROR(IF(Raw_Donors!E207="","Unknown",Raw_Donors!E207),"Unknown")</f>
        <v>Female</v>
      </c>
      <c r="G207" s="9" t="str">
        <f aca="false">PROPER(TRIM(Raw_Donors!F207))</f>
        <v>Community Partner</v>
      </c>
      <c r="H207" s="9" t="str">
        <f aca="false">IFERROR(IF(Raw_Donors!G207="","N",Raw_Donors!G207),"N")</f>
        <v>Y</v>
      </c>
      <c r="I207" s="9" t="str">
        <f aca="false">IF(Raw_Donors!H207="","Not Rated",Raw_Donors!H207)</f>
        <v>Not Rated</v>
      </c>
      <c r="J207" s="9" t="str">
        <f aca="false">IF(TRIM(Raw_Donors!I207)="","Unknown",TRIM(Raw_Donors!I207))</f>
        <v>BUSN</v>
      </c>
      <c r="K207" s="9" t="str">
        <f aca="false">Raw_Donors!J207</f>
        <v>Y</v>
      </c>
      <c r="L207" s="9" t="n">
        <f aca="false">Raw_Donors!K207</f>
        <v>0</v>
      </c>
      <c r="M207" s="10" t="n">
        <f aca="false">IFERROR(VALUE(SUBSTITUTE(SUBSTITUTE(Raw_Donors!L207,"$",""),",","")),0)</f>
        <v>0</v>
      </c>
      <c r="N207" s="10" t="n">
        <f aca="false">IFERROR(VALUE(SUBSTITUTE(SUBSTITUTE(Raw_Donors!M207,"$",""),",","")),0)</f>
        <v>0</v>
      </c>
      <c r="O207" s="10" t="n">
        <f aca="false">IFERROR(VALUE(SUBSTITUTE(SUBSTITUTE(Raw_Donors!N207,"$",""),",","")),0)</f>
        <v>0</v>
      </c>
      <c r="P207" s="10" t="n">
        <f aca="false">IFERROR(VALUE(SUBSTITUTE(SUBSTITUTE(Raw_Donors!O207,"$",""),",","")),0)</f>
        <v>0</v>
      </c>
      <c r="Q207" s="10" t="n">
        <f aca="false">IFERROR(VALUE(SUBSTITUTE(SUBSTITUTE(Raw_Donors!P207,"$",""),",","")),0)</f>
        <v>0</v>
      </c>
      <c r="R207" s="10" t="n">
        <f aca="false">Raw_Donors!Q207</f>
        <v>0</v>
      </c>
      <c r="S207" s="9" t="str">
        <f aca="false">Raw_Donors!R207</f>
        <v>N</v>
      </c>
      <c r="T207" s="9" t="str">
        <f aca="false">IF(Raw_Donors!S207="","",Raw_Donors!S207)</f>
        <v>1975-03-03</v>
      </c>
      <c r="U207" s="9" t="str">
        <f aca="false">IF(AND((O207+P207)&gt;0,Q207=0),"Lapsed - Follow Up","")</f>
        <v/>
      </c>
      <c r="V207" s="9" t="n">
        <f aca="false">RANK(R207,$R$2:$R$759)+COUNTIF($R$2:R207,R207)-1</f>
        <v>609</v>
      </c>
      <c r="W207" s="9" t="str">
        <f aca="false">IF(U207="Lapsed - Follow Up",COUNTIF($U$2:U207,"Lapsed - Follow Up"),"")</f>
        <v/>
      </c>
    </row>
    <row r="208" customFormat="false" ht="15" hidden="false" customHeight="true" outlineLevel="0" collapsed="false">
      <c r="A208" s="9" t="str">
        <f aca="false">Raw_Donors!A208</f>
        <v>D1206</v>
      </c>
      <c r="B208" s="9" t="str">
        <f aca="false">IF(ISNUMBER(SEARCH("-DUP",A208)),"Duplicate ID","")</f>
        <v/>
      </c>
      <c r="C208" s="9" t="n">
        <f aca="false">Raw_Donors!B208</f>
        <v>20112</v>
      </c>
      <c r="D208" s="9" t="n">
        <f aca="false">Raw_Donors!C208</f>
        <v>0</v>
      </c>
      <c r="E208" s="9" t="str">
        <f aca="false">IFERROR(IF(Raw_Donors!D208="","Unknown",Raw_Donors!D208),"Unknown")</f>
        <v>Married</v>
      </c>
      <c r="F208" s="9" t="str">
        <f aca="false">IFERROR(IF(Raw_Donors!E208="","Unknown",Raw_Donors!E208),"Unknown")</f>
        <v>Male</v>
      </c>
      <c r="G208" s="9" t="str">
        <f aca="false">PROPER(TRIM(Raw_Donors!F208))</f>
        <v>Individual Donor</v>
      </c>
      <c r="H208" s="9" t="str">
        <f aca="false">IFERROR(IF(Raw_Donors!G208="","N",Raw_Donors!G208),"N")</f>
        <v>N</v>
      </c>
      <c r="I208" s="9" t="str">
        <f aca="false">IF(Raw_Donors!H208="","Not Rated",Raw_Donors!H208)</f>
        <v>Not Rated</v>
      </c>
      <c r="J208" s="9" t="str">
        <f aca="false">IF(TRIM(Raw_Donors!I208)="","Unknown",TRIM(Raw_Donors!I208))</f>
        <v>HOME</v>
      </c>
      <c r="K208" s="9" t="str">
        <f aca="false">Raw_Donors!J208</f>
        <v>N</v>
      </c>
      <c r="L208" s="9" t="n">
        <f aca="false">Raw_Donors!K208</f>
        <v>0</v>
      </c>
      <c r="M208" s="10" t="n">
        <f aca="false">IFERROR(VALUE(SUBSTITUTE(SUBSTITUTE(Raw_Donors!L208,"$",""),",","")),0)</f>
        <v>0</v>
      </c>
      <c r="N208" s="10" t="n">
        <f aca="false">IFERROR(VALUE(SUBSTITUTE(SUBSTITUTE(Raw_Donors!M208,"$",""),",","")),0)</f>
        <v>0</v>
      </c>
      <c r="O208" s="10" t="n">
        <f aca="false">IFERROR(VALUE(SUBSTITUTE(SUBSTITUTE(Raw_Donors!N208,"$",""),",","")),0)</f>
        <v>0</v>
      </c>
      <c r="P208" s="10" t="n">
        <f aca="false">IFERROR(VALUE(SUBSTITUTE(SUBSTITUTE(Raw_Donors!O208,"$",""),",","")),0)</f>
        <v>0</v>
      </c>
      <c r="Q208" s="10" t="n">
        <f aca="false">IFERROR(VALUE(SUBSTITUTE(SUBSTITUTE(Raw_Donors!P208,"$",""),",","")),0)</f>
        <v>0</v>
      </c>
      <c r="R208" s="10" t="n">
        <f aca="false">Raw_Donors!Q208</f>
        <v>84</v>
      </c>
      <c r="S208" s="9" t="str">
        <f aca="false">Raw_Donors!R208</f>
        <v>Y</v>
      </c>
      <c r="T208" s="9" t="str">
        <f aca="false">IF(Raw_Donors!S208="","",Raw_Donors!S208)</f>
        <v/>
      </c>
      <c r="U208" s="9" t="str">
        <f aca="false">IF(AND((O208+P208)&gt;0,Q208=0),"Lapsed - Follow Up","")</f>
        <v/>
      </c>
      <c r="V208" s="9" t="n">
        <f aca="false">RANK(R208,$R$2:$R$759)+COUNTIF($R$2:R208,R208)-1</f>
        <v>319</v>
      </c>
      <c r="W208" s="9" t="str">
        <f aca="false">IF(U208="Lapsed - Follow Up",COUNTIF($U$2:U208,"Lapsed - Follow Up"),"")</f>
        <v/>
      </c>
    </row>
    <row r="209" customFormat="false" ht="15" hidden="false" customHeight="true" outlineLevel="0" collapsed="false">
      <c r="A209" s="9" t="str">
        <f aca="false">Raw_Donors!A209</f>
        <v>D1207</v>
      </c>
      <c r="B209" s="9" t="str">
        <f aca="false">IF(ISNUMBER(SEARCH("-DUP",A209)),"Duplicate ID","")</f>
        <v/>
      </c>
      <c r="C209" s="9" t="n">
        <f aca="false">Raw_Donors!B209</f>
        <v>53794</v>
      </c>
      <c r="D209" s="9" t="n">
        <f aca="false">Raw_Donors!C209</f>
        <v>0</v>
      </c>
      <c r="E209" s="9" t="str">
        <f aca="false">IFERROR(IF(Raw_Donors!D209="","Unknown",Raw_Donors!D209),"Unknown")</f>
        <v>Married</v>
      </c>
      <c r="F209" s="9" t="str">
        <f aca="false">IFERROR(IF(Raw_Donors!E209="","Unknown",Raw_Donors!E209),"Unknown")</f>
        <v>Male</v>
      </c>
      <c r="G209" s="9" t="str">
        <f aca="false">PROPER(TRIM(Raw_Donors!F209))</f>
        <v>Family Donor</v>
      </c>
      <c r="H209" s="9" t="str">
        <f aca="false">IFERROR(IF(Raw_Donors!G209="","N",Raw_Donors!G209),"N")</f>
        <v>N</v>
      </c>
      <c r="I209" s="9" t="str">
        <f aca="false">IF(Raw_Donors!H209="","Not Rated",Raw_Donors!H209)</f>
        <v>Not Rated</v>
      </c>
      <c r="J209" s="9" t="str">
        <f aca="false">IF(TRIM(Raw_Donors!I209)="","Unknown",TRIM(Raw_Donors!I209))</f>
        <v>HOME</v>
      </c>
      <c r="K209" s="9" t="str">
        <f aca="false">Raw_Donors!J209</f>
        <v>Y</v>
      </c>
      <c r="L209" s="9" t="n">
        <f aca="false">Raw_Donors!K209</f>
        <v>0</v>
      </c>
      <c r="M209" s="10" t="n">
        <f aca="false">IFERROR(VALUE(SUBSTITUTE(SUBSTITUTE(Raw_Donors!L209,"$",""),",","")),0)</f>
        <v>0</v>
      </c>
      <c r="N209" s="10" t="n">
        <f aca="false">IFERROR(VALUE(SUBSTITUTE(SUBSTITUTE(Raw_Donors!M209,"$",""),",","")),0)</f>
        <v>0</v>
      </c>
      <c r="O209" s="10" t="n">
        <f aca="false">IFERROR(VALUE(SUBSTITUTE(SUBSTITUTE(Raw_Donors!N209,"$",""),",","")),0)</f>
        <v>0</v>
      </c>
      <c r="P209" s="10" t="n">
        <f aca="false">IFERROR(VALUE(SUBSTITUTE(SUBSTITUTE(Raw_Donors!O209,"$",""),",","")),0)</f>
        <v>0</v>
      </c>
      <c r="Q209" s="10" t="n">
        <f aca="false">IFERROR(VALUE(SUBSTITUTE(SUBSTITUTE(Raw_Donors!P209,"$",""),",","")),0)</f>
        <v>0</v>
      </c>
      <c r="R209" s="10" t="n">
        <f aca="false">Raw_Donors!Q209</f>
        <v>479</v>
      </c>
      <c r="S209" s="9" t="str">
        <f aca="false">Raw_Donors!R209</f>
        <v>Y</v>
      </c>
      <c r="T209" s="9" t="str">
        <f aca="false">IF(Raw_Donors!S209="","",Raw_Donors!S209)</f>
        <v/>
      </c>
      <c r="U209" s="9" t="str">
        <f aca="false">IF(AND((O209+P209)&gt;0,Q209=0),"Lapsed - Follow Up","")</f>
        <v/>
      </c>
      <c r="V209" s="9" t="n">
        <f aca="false">RANK(R209,$R$2:$R$759)+COUNTIF($R$2:R209,R209)-1</f>
        <v>101</v>
      </c>
      <c r="W209" s="9" t="str">
        <f aca="false">IF(U209="Lapsed - Follow Up",COUNTIF($U$2:U209,"Lapsed - Follow Up"),"")</f>
        <v/>
      </c>
    </row>
    <row r="210" customFormat="false" ht="15" hidden="false" customHeight="true" outlineLevel="0" collapsed="false">
      <c r="A210" s="9" t="str">
        <f aca="false">Raw_Donors!A210</f>
        <v>D1208</v>
      </c>
      <c r="B210" s="9" t="str">
        <f aca="false">IF(ISNUMBER(SEARCH("-DUP",A210)),"Duplicate ID","")</f>
        <v/>
      </c>
      <c r="C210" s="9" t="n">
        <f aca="false">Raw_Donors!B210</f>
        <v>16151</v>
      </c>
      <c r="D210" s="9" t="n">
        <f aca="false">Raw_Donors!C210</f>
        <v>0</v>
      </c>
      <c r="E210" s="9" t="str">
        <f aca="false">IFERROR(IF(Raw_Donors!D210="","Unknown",Raw_Donors!D210),"Unknown")</f>
        <v>Married</v>
      </c>
      <c r="F210" s="9" t="str">
        <f aca="false">IFERROR(IF(Raw_Donors!E210="","Unknown",Raw_Donors!E210),"Unknown")</f>
        <v>Female</v>
      </c>
      <c r="G210" s="9" t="str">
        <f aca="false">PROPER(TRIM(Raw_Donors!F210))</f>
        <v>Individual Donor</v>
      </c>
      <c r="H210" s="9" t="str">
        <f aca="false">IFERROR(IF(Raw_Donors!G210="","N",Raw_Donors!G210),"N")</f>
        <v>Y</v>
      </c>
      <c r="I210" s="9" t="str">
        <f aca="false">IF(Raw_Donors!H210="","Not Rated",Raw_Donors!H210)</f>
        <v>Not Rated</v>
      </c>
      <c r="J210" s="9" t="str">
        <f aca="false">IF(TRIM(Raw_Donors!I210)="","Unknown",TRIM(Raw_Donors!I210))</f>
        <v>HOME</v>
      </c>
      <c r="K210" s="9" t="str">
        <f aca="false">Raw_Donors!J210</f>
        <v>N</v>
      </c>
      <c r="L210" s="9" t="n">
        <f aca="false">Raw_Donors!K210</f>
        <v>1</v>
      </c>
      <c r="M210" s="10" t="n">
        <f aca="false">IFERROR(VALUE(SUBSTITUTE(SUBSTITUTE(Raw_Donors!L210,"$",""),",","")),0)</f>
        <v>0</v>
      </c>
      <c r="N210" s="10" t="n">
        <f aca="false">IFERROR(VALUE(SUBSTITUTE(SUBSTITUTE(Raw_Donors!M210,"$",""),",","")),0)</f>
        <v>0</v>
      </c>
      <c r="O210" s="10" t="n">
        <f aca="false">IFERROR(VALUE(SUBSTITUTE(SUBSTITUTE(Raw_Donors!N210,"$",""),",","")),0)</f>
        <v>0</v>
      </c>
      <c r="P210" s="10" t="n">
        <f aca="false">IFERROR(VALUE(SUBSTITUTE(SUBSTITUTE(Raw_Donors!O210,"$",""),",","")),0)</f>
        <v>0</v>
      </c>
      <c r="Q210" s="10" t="n">
        <f aca="false">IFERROR(VALUE(SUBSTITUTE(SUBSTITUTE(Raw_Donors!P210,"$",""),",","")),0)</f>
        <v>5000</v>
      </c>
      <c r="R210" s="10" t="n">
        <f aca="false">Raw_Donors!Q210</f>
        <v>5000</v>
      </c>
      <c r="S210" s="9" t="str">
        <f aca="false">Raw_Donors!R210</f>
        <v>Y</v>
      </c>
      <c r="T210" s="9" t="str">
        <f aca="false">IF(Raw_Donors!S210="","",Raw_Donors!S210)</f>
        <v/>
      </c>
      <c r="U210" s="9" t="str">
        <f aca="false">IF(AND((O210+P210)&gt;0,Q210=0),"Lapsed - Follow Up","")</f>
        <v/>
      </c>
      <c r="V210" s="9" t="n">
        <f aca="false">RANK(R210,$R$2:$R$759)+COUNTIF($R$2:R210,R210)-1</f>
        <v>13</v>
      </c>
      <c r="W210" s="9" t="str">
        <f aca="false">IF(U210="Lapsed - Follow Up",COUNTIF($U$2:U210,"Lapsed - Follow Up"),"")</f>
        <v/>
      </c>
    </row>
    <row r="211" customFormat="false" ht="15" hidden="false" customHeight="true" outlineLevel="0" collapsed="false">
      <c r="A211" s="9" t="str">
        <f aca="false">Raw_Donors!A211</f>
        <v>D1209</v>
      </c>
      <c r="B211" s="9" t="str">
        <f aca="false">IF(ISNUMBER(SEARCH("-DUP",A211)),"Duplicate ID","")</f>
        <v/>
      </c>
      <c r="C211" s="9" t="n">
        <f aca="false">Raw_Donors!B211</f>
        <v>24823</v>
      </c>
      <c r="D211" s="9" t="n">
        <f aca="false">Raw_Donors!C211</f>
        <v>0</v>
      </c>
      <c r="E211" s="9" t="str">
        <f aca="false">IFERROR(IF(Raw_Donors!D211="","Unknown",Raw_Donors!D211),"Unknown")</f>
        <v>Married</v>
      </c>
      <c r="F211" s="9" t="str">
        <f aca="false">IFERROR(IF(Raw_Donors!E211="","Unknown",Raw_Donors!E211),"Unknown")</f>
        <v>Female</v>
      </c>
      <c r="G211" s="9" t="str">
        <f aca="false">PROPER(TRIM(Raw_Donors!F211))</f>
        <v>Family Donor</v>
      </c>
      <c r="H211" s="9" t="str">
        <f aca="false">IFERROR(IF(Raw_Donors!G211="","N",Raw_Donors!G211),"N")</f>
        <v>Y</v>
      </c>
      <c r="I211" s="9" t="str">
        <f aca="false">IF(Raw_Donors!H211="","Not Rated",Raw_Donors!H211)</f>
        <v>Not Rated</v>
      </c>
      <c r="J211" s="9" t="str">
        <f aca="false">IF(TRIM(Raw_Donors!I211)="","Unknown",TRIM(Raw_Donors!I211))</f>
        <v>Unknown</v>
      </c>
      <c r="K211" s="9" t="str">
        <f aca="false">Raw_Donors!J211</f>
        <v>N</v>
      </c>
      <c r="L211" s="9" t="n">
        <f aca="false">Raw_Donors!K211</f>
        <v>0</v>
      </c>
      <c r="M211" s="10" t="n">
        <f aca="false">IFERROR(VALUE(SUBSTITUTE(SUBSTITUTE(Raw_Donors!L211,"$",""),",","")),0)</f>
        <v>0</v>
      </c>
      <c r="N211" s="10" t="n">
        <f aca="false">IFERROR(VALUE(SUBSTITUTE(SUBSTITUTE(Raw_Donors!M211,"$",""),",","")),0)</f>
        <v>300</v>
      </c>
      <c r="O211" s="10" t="n">
        <f aca="false">IFERROR(VALUE(SUBSTITUTE(SUBSTITUTE(Raw_Donors!N211,"$",""),",","")),0)</f>
        <v>384</v>
      </c>
      <c r="P211" s="10" t="n">
        <f aca="false">IFERROR(VALUE(SUBSTITUTE(SUBSTITUTE(Raw_Donors!O211,"$",""),",","")),0)</f>
        <v>100</v>
      </c>
      <c r="Q211" s="10" t="n">
        <f aca="false">IFERROR(VALUE(SUBSTITUTE(SUBSTITUTE(Raw_Donors!P211,"$",""),",","")),0)</f>
        <v>0</v>
      </c>
      <c r="R211" s="10" t="n">
        <f aca="false">Raw_Donors!Q211</f>
        <v>784</v>
      </c>
      <c r="S211" s="9" t="str">
        <f aca="false">Raw_Donors!R211</f>
        <v>Y</v>
      </c>
      <c r="T211" s="9" t="str">
        <f aca="false">IF(Raw_Donors!S211="","",Raw_Donors!S211)</f>
        <v/>
      </c>
      <c r="U211" s="9" t="str">
        <f aca="false">IF(AND((O211+P211)&gt;0,Q211=0),"Lapsed - Follow Up","")</f>
        <v>Lapsed - Follow Up</v>
      </c>
      <c r="V211" s="9" t="n">
        <f aca="false">RANK(R211,$R$2:$R$759)+COUNTIF($R$2:R211,R211)-1</f>
        <v>67</v>
      </c>
      <c r="W211" s="9" t="n">
        <f aca="false">IF(U211="Lapsed - Follow Up",COUNTIF($U$2:U211,"Lapsed - Follow Up"),"")</f>
        <v>35</v>
      </c>
    </row>
    <row r="212" customFormat="false" ht="15" hidden="false" customHeight="true" outlineLevel="0" collapsed="false">
      <c r="A212" s="9" t="str">
        <f aca="false">Raw_Donors!A212</f>
        <v>D1210</v>
      </c>
      <c r="B212" s="9" t="str">
        <f aca="false">IF(ISNUMBER(SEARCH("-DUP",A212)),"Duplicate ID","")</f>
        <v/>
      </c>
      <c r="C212" s="9" t="n">
        <f aca="false">Raw_Donors!B212</f>
        <v>55084</v>
      </c>
      <c r="D212" s="9" t="n">
        <f aca="false">Raw_Donors!C212</f>
        <v>0</v>
      </c>
      <c r="E212" s="9" t="str">
        <f aca="false">IFERROR(IF(Raw_Donors!D212="","Unknown",Raw_Donors!D212),"Unknown")</f>
        <v>Married</v>
      </c>
      <c r="F212" s="9" t="str">
        <f aca="false">IFERROR(IF(Raw_Donors!E212="","Unknown",Raw_Donors!E212),"Unknown")</f>
        <v>Female</v>
      </c>
      <c r="G212" s="9" t="str">
        <f aca="false">PROPER(TRIM(Raw_Donors!F212))</f>
        <v>Family Donor</v>
      </c>
      <c r="H212" s="9" t="str">
        <f aca="false">IFERROR(IF(Raw_Donors!G212="","N",Raw_Donors!G212),"N")</f>
        <v>N</v>
      </c>
      <c r="I212" s="9" t="str">
        <f aca="false">IF(Raw_Donors!H212="","Not Rated",Raw_Donors!H212)</f>
        <v>Not Rated</v>
      </c>
      <c r="J212" s="9" t="str">
        <f aca="false">IF(TRIM(Raw_Donors!I212)="","Unknown",TRIM(Raw_Donors!I212))</f>
        <v>BUSN</v>
      </c>
      <c r="K212" s="9" t="str">
        <f aca="false">Raw_Donors!J212</f>
        <v>N</v>
      </c>
      <c r="L212" s="9" t="n">
        <f aca="false">Raw_Donors!K212</f>
        <v>0</v>
      </c>
      <c r="M212" s="10" t="n">
        <f aca="false">IFERROR(VALUE(SUBSTITUTE(SUBSTITUTE(Raw_Donors!L212,"$",""),",","")),0)</f>
        <v>0</v>
      </c>
      <c r="N212" s="10" t="n">
        <f aca="false">IFERROR(VALUE(SUBSTITUTE(SUBSTITUTE(Raw_Donors!M212,"$",""),",","")),0)</f>
        <v>60</v>
      </c>
      <c r="O212" s="10" t="n">
        <f aca="false">IFERROR(VALUE(SUBSTITUTE(SUBSTITUTE(Raw_Donors!N212,"$",""),",","")),0)</f>
        <v>0</v>
      </c>
      <c r="P212" s="10" t="n">
        <f aca="false">IFERROR(VALUE(SUBSTITUTE(SUBSTITUTE(Raw_Donors!O212,"$",""),",","")),0)</f>
        <v>0</v>
      </c>
      <c r="Q212" s="10" t="n">
        <f aca="false">IFERROR(VALUE(SUBSTITUTE(SUBSTITUTE(Raw_Donors!P212,"$",""),",","")),0)</f>
        <v>0</v>
      </c>
      <c r="R212" s="10" t="n">
        <f aca="false">Raw_Donors!Q212</f>
        <v>60</v>
      </c>
      <c r="S212" s="9" t="str">
        <f aca="false">Raw_Donors!R212</f>
        <v>Y</v>
      </c>
      <c r="T212" s="9" t="str">
        <f aca="false">IF(Raw_Donors!S212="","",Raw_Donors!S212)</f>
        <v/>
      </c>
      <c r="U212" s="9" t="str">
        <f aca="false">IF(AND((O212+P212)&gt;0,Q212=0),"Lapsed - Follow Up","")</f>
        <v/>
      </c>
      <c r="V212" s="9" t="n">
        <f aca="false">RANK(R212,$R$2:$R$759)+COUNTIF($R$2:R212,R212)-1</f>
        <v>351</v>
      </c>
      <c r="W212" s="9" t="str">
        <f aca="false">IF(U212="Lapsed - Follow Up",COUNTIF($U$2:U212,"Lapsed - Follow Up"),"")</f>
        <v/>
      </c>
    </row>
    <row r="213" customFormat="false" ht="15" hidden="false" customHeight="true" outlineLevel="0" collapsed="false">
      <c r="A213" s="9" t="str">
        <f aca="false">Raw_Donors!A213</f>
        <v>D1211</v>
      </c>
      <c r="B213" s="9" t="str">
        <f aca="false">IF(ISNUMBER(SEARCH("-DUP",A213)),"Duplicate ID","")</f>
        <v/>
      </c>
      <c r="C213" s="9" t="n">
        <f aca="false">Raw_Donors!B213</f>
        <v>99321</v>
      </c>
      <c r="D213" s="9" t="n">
        <f aca="false">Raw_Donors!C213</f>
        <v>0</v>
      </c>
      <c r="E213" s="9" t="str">
        <f aca="false">IFERROR(IF(Raw_Donors!D213="","Unknown",Raw_Donors!D213),"Unknown")</f>
        <v>Single</v>
      </c>
      <c r="F213" s="9" t="str">
        <f aca="false">IFERROR(IF(Raw_Donors!E213="","Unknown",Raw_Donors!E213),"Unknown")</f>
        <v>Female</v>
      </c>
      <c r="G213" s="9" t="str">
        <f aca="false">PROPER(TRIM(Raw_Donors!F213))</f>
        <v>Family Donor</v>
      </c>
      <c r="H213" s="9" t="str">
        <f aca="false">IFERROR(IF(Raw_Donors!G213="","N",Raw_Donors!G213),"N")</f>
        <v>Y</v>
      </c>
      <c r="I213" s="9" t="str">
        <f aca="false">IF(Raw_Donors!H213="","Not Rated",Raw_Donors!H213)</f>
        <v>Not Rated</v>
      </c>
      <c r="J213" s="9" t="str">
        <f aca="false">IF(TRIM(Raw_Donors!I213)="","Unknown",TRIM(Raw_Donors!I213))</f>
        <v>HOME</v>
      </c>
      <c r="K213" s="9" t="str">
        <f aca="false">Raw_Donors!J213</f>
        <v>Y</v>
      </c>
      <c r="L213" s="9" t="n">
        <f aca="false">Raw_Donors!K213</f>
        <v>1</v>
      </c>
      <c r="M213" s="10" t="n">
        <f aca="false">IFERROR(VALUE(SUBSTITUTE(SUBSTITUTE(Raw_Donors!L213,"$",""),",","")),0)</f>
        <v>0</v>
      </c>
      <c r="N213" s="10" t="n">
        <f aca="false">IFERROR(VALUE(SUBSTITUTE(SUBSTITUTE(Raw_Donors!M213,"$",""),",","")),0)</f>
        <v>0</v>
      </c>
      <c r="O213" s="10" t="n">
        <f aca="false">IFERROR(VALUE(SUBSTITUTE(SUBSTITUTE(Raw_Donors!N213,"$",""),",","")),0)</f>
        <v>0</v>
      </c>
      <c r="P213" s="10" t="n">
        <f aca="false">IFERROR(VALUE(SUBSTITUTE(SUBSTITUTE(Raw_Donors!O213,"$",""),",","")),0)</f>
        <v>0</v>
      </c>
      <c r="Q213" s="10" t="n">
        <f aca="false">IFERROR(VALUE(SUBSTITUTE(SUBSTITUTE(Raw_Donors!P213,"$",""),",","")),0)</f>
        <v>0</v>
      </c>
      <c r="R213" s="10" t="n">
        <f aca="false">Raw_Donors!Q213</f>
        <v>460</v>
      </c>
      <c r="S213" s="9" t="str">
        <f aca="false">Raw_Donors!R213</f>
        <v>Y</v>
      </c>
      <c r="T213" s="9" t="str">
        <f aca="false">IF(Raw_Donors!S213="","",Raw_Donors!S213)</f>
        <v/>
      </c>
      <c r="U213" s="9" t="str">
        <f aca="false">IF(AND((O213+P213)&gt;0,Q213=0),"Lapsed - Follow Up","")</f>
        <v/>
      </c>
      <c r="V213" s="9" t="n">
        <f aca="false">RANK(R213,$R$2:$R$759)+COUNTIF($R$2:R213,R213)-1</f>
        <v>104</v>
      </c>
      <c r="W213" s="9" t="str">
        <f aca="false">IF(U213="Lapsed - Follow Up",COUNTIF($U$2:U213,"Lapsed - Follow Up"),"")</f>
        <v/>
      </c>
    </row>
    <row r="214" customFormat="false" ht="15" hidden="false" customHeight="true" outlineLevel="0" collapsed="false">
      <c r="A214" s="9" t="str">
        <f aca="false">Raw_Donors!A214</f>
        <v>D1212</v>
      </c>
      <c r="B214" s="9" t="str">
        <f aca="false">IF(ISNUMBER(SEARCH("-DUP",A214)),"Duplicate ID","")</f>
        <v/>
      </c>
      <c r="C214" s="9" t="n">
        <f aca="false">Raw_Donors!B214</f>
        <v>69128</v>
      </c>
      <c r="D214" s="9" t="n">
        <f aca="false">Raw_Donors!C214</f>
        <v>23</v>
      </c>
      <c r="E214" s="9" t="str">
        <f aca="false">IFERROR(IF(Raw_Donors!D214="","Unknown",Raw_Donors!D214),"Unknown")</f>
        <v>Unknown</v>
      </c>
      <c r="F214" s="9" t="str">
        <f aca="false">IFERROR(IF(Raw_Donors!E214="","Unknown",Raw_Donors!E214),"Unknown")</f>
        <v>Female</v>
      </c>
      <c r="G214" s="9" t="str">
        <f aca="false">PROPER(TRIM(Raw_Donors!F214))</f>
        <v>Individual Donor</v>
      </c>
      <c r="H214" s="9" t="str">
        <f aca="false">IFERROR(IF(Raw_Donors!G214="","N",Raw_Donors!G214),"N")</f>
        <v>N</v>
      </c>
      <c r="I214" s="9" t="str">
        <f aca="false">IF(Raw_Donors!H214="","Not Rated",Raw_Donors!H214)</f>
        <v>Not Rated</v>
      </c>
      <c r="J214" s="9" t="str">
        <f aca="false">IF(TRIM(Raw_Donors!I214)="","Unknown",TRIM(Raw_Donors!I214))</f>
        <v>CAMP</v>
      </c>
      <c r="K214" s="9" t="str">
        <f aca="false">Raw_Donors!J214</f>
        <v>Y</v>
      </c>
      <c r="L214" s="9" t="n">
        <f aca="false">Raw_Donors!K214</f>
        <v>0</v>
      </c>
      <c r="M214" s="10" t="n">
        <f aca="false">IFERROR(VALUE(SUBSTITUTE(SUBSTITUTE(Raw_Donors!L214,"$",""),",","")),0)</f>
        <v>0</v>
      </c>
      <c r="N214" s="10" t="n">
        <f aca="false">IFERROR(VALUE(SUBSTITUTE(SUBSTITUTE(Raw_Donors!M214,"$",""),",","")),0)</f>
        <v>0</v>
      </c>
      <c r="O214" s="10" t="n">
        <f aca="false">IFERROR(VALUE(SUBSTITUTE(SUBSTITUTE(Raw_Donors!N214,"$",""),",","")),0)</f>
        <v>0</v>
      </c>
      <c r="P214" s="10" t="n">
        <f aca="false">IFERROR(VALUE(SUBSTITUTE(SUBSTITUTE(Raw_Donors!O214,"$",""),",","")),0)</f>
        <v>0</v>
      </c>
      <c r="Q214" s="10" t="n">
        <f aca="false">IFERROR(VALUE(SUBSTITUTE(SUBSTITUTE(Raw_Donors!P214,"$",""),",","")),0)</f>
        <v>0</v>
      </c>
      <c r="R214" s="10" t="n">
        <f aca="false">Raw_Donors!Q214</f>
        <v>540</v>
      </c>
      <c r="S214" s="9" t="str">
        <f aca="false">Raw_Donors!R214</f>
        <v>Y</v>
      </c>
      <c r="T214" s="9" t="str">
        <f aca="false">IF(Raw_Donors!S214="","",Raw_Donors!S214)</f>
        <v>1994-09-10</v>
      </c>
      <c r="U214" s="9" t="str">
        <f aca="false">IF(AND((O214+P214)&gt;0,Q214=0),"Lapsed - Follow Up","")</f>
        <v/>
      </c>
      <c r="V214" s="9" t="n">
        <f aca="false">RANK(R214,$R$2:$R$759)+COUNTIF($R$2:R214,R214)-1</f>
        <v>85</v>
      </c>
      <c r="W214" s="9" t="str">
        <f aca="false">IF(U214="Lapsed - Follow Up",COUNTIF($U$2:U214,"Lapsed - Follow Up"),"")</f>
        <v/>
      </c>
    </row>
    <row r="215" customFormat="false" ht="15" hidden="false" customHeight="true" outlineLevel="0" collapsed="false">
      <c r="A215" s="9" t="str">
        <f aca="false">Raw_Donors!A215</f>
        <v>D1213</v>
      </c>
      <c r="B215" s="9" t="str">
        <f aca="false">IF(ISNUMBER(SEARCH("-DUP",A215)),"Duplicate ID","")</f>
        <v/>
      </c>
      <c r="C215" s="9" t="n">
        <f aca="false">Raw_Donors!B215</f>
        <v>48333</v>
      </c>
      <c r="D215" s="9" t="n">
        <f aca="false">Raw_Donors!C215</f>
        <v>42</v>
      </c>
      <c r="E215" s="9" t="str">
        <f aca="false">IFERROR(IF(Raw_Donors!D215="","Unknown",Raw_Donors!D215),"Unknown")</f>
        <v>Unknown</v>
      </c>
      <c r="F215" s="9" t="str">
        <f aca="false">IFERROR(IF(Raw_Donors!E215="","Unknown",Raw_Donors!E215),"Unknown")</f>
        <v>Female</v>
      </c>
      <c r="G215" s="9" t="str">
        <f aca="false">PROPER(TRIM(Raw_Donors!F215))</f>
        <v>Community Partner</v>
      </c>
      <c r="H215" s="9" t="str">
        <f aca="false">IFERROR(IF(Raw_Donors!G215="","N",Raw_Donors!G215),"N")</f>
        <v>Y</v>
      </c>
      <c r="I215" s="9" t="str">
        <f aca="false">IF(Raw_Donors!H215="","Not Rated",Raw_Donors!H215)</f>
        <v>$250,000-$499,999</v>
      </c>
      <c r="J215" s="9" t="str">
        <f aca="false">IF(TRIM(Raw_Donors!I215)="","Unknown",TRIM(Raw_Donors!I215))</f>
        <v>HOME</v>
      </c>
      <c r="K215" s="9" t="str">
        <f aca="false">Raw_Donors!J215</f>
        <v>Y</v>
      </c>
      <c r="L215" s="9" t="n">
        <f aca="false">Raw_Donors!K215</f>
        <v>13</v>
      </c>
      <c r="M215" s="10" t="n">
        <f aca="false">IFERROR(VALUE(SUBSTITUTE(SUBSTITUTE(Raw_Donors!L215,"$",""),",","")),0)</f>
        <v>0</v>
      </c>
      <c r="N215" s="10" t="n">
        <f aca="false">IFERROR(VALUE(SUBSTITUTE(SUBSTITUTE(Raw_Donors!M215,"$",""),",","")),0)</f>
        <v>0</v>
      </c>
      <c r="O215" s="10" t="n">
        <f aca="false">IFERROR(VALUE(SUBSTITUTE(SUBSTITUTE(Raw_Donors!N215,"$",""),",","")),0)</f>
        <v>5</v>
      </c>
      <c r="P215" s="10" t="n">
        <f aca="false">IFERROR(VALUE(SUBSTITUTE(SUBSTITUTE(Raw_Donors!O215,"$",""),",","")),0)</f>
        <v>0</v>
      </c>
      <c r="Q215" s="10" t="n">
        <f aca="false">IFERROR(VALUE(SUBSTITUTE(SUBSTITUTE(Raw_Donors!P215,"$",""),",","")),0)</f>
        <v>0</v>
      </c>
      <c r="R215" s="10" t="n">
        <f aca="false">Raw_Donors!Q215</f>
        <v>391</v>
      </c>
      <c r="S215" s="9" t="str">
        <f aca="false">Raw_Donors!R215</f>
        <v>Y</v>
      </c>
      <c r="T215" s="9" t="str">
        <f aca="false">IF(Raw_Donors!S215="","",Raw_Donors!S215)</f>
        <v>1975-09-11</v>
      </c>
      <c r="U215" s="9" t="str">
        <f aca="false">IF(AND((O215+P215)&gt;0,Q215=0),"Lapsed - Follow Up","")</f>
        <v>Lapsed - Follow Up</v>
      </c>
      <c r="V215" s="9" t="n">
        <f aca="false">RANK(R215,$R$2:$R$759)+COUNTIF($R$2:R215,R215)-1</f>
        <v>115</v>
      </c>
      <c r="W215" s="9" t="n">
        <f aca="false">IF(U215="Lapsed - Follow Up",COUNTIF($U$2:U215,"Lapsed - Follow Up"),"")</f>
        <v>36</v>
      </c>
    </row>
    <row r="216" customFormat="false" ht="15" hidden="false" customHeight="true" outlineLevel="0" collapsed="false">
      <c r="A216" s="9" t="str">
        <f aca="false">Raw_Donors!A216</f>
        <v>D1214</v>
      </c>
      <c r="B216" s="9" t="str">
        <f aca="false">IF(ISNUMBER(SEARCH("-DUP",A216)),"Duplicate ID","")</f>
        <v/>
      </c>
      <c r="C216" s="9" t="n">
        <f aca="false">Raw_Donors!B216</f>
        <v>97848</v>
      </c>
      <c r="D216" s="9" t="n">
        <f aca="false">Raw_Donors!C216</f>
        <v>0</v>
      </c>
      <c r="E216" s="9" t="str">
        <f aca="false">IFERROR(IF(Raw_Donors!D216="","Unknown",Raw_Donors!D216),"Unknown")</f>
        <v>Married</v>
      </c>
      <c r="F216" s="9" t="str">
        <f aca="false">IFERROR(IF(Raw_Donors!E216="","Unknown",Raw_Donors!E216),"Unknown")</f>
        <v>Female</v>
      </c>
      <c r="G216" s="9" t="str">
        <f aca="false">PROPER(TRIM(Raw_Donors!F216))</f>
        <v>Family Donor</v>
      </c>
      <c r="H216" s="9" t="str">
        <f aca="false">IFERROR(IF(Raw_Donors!G216="","N",Raw_Donors!G216),"N")</f>
        <v>Y</v>
      </c>
      <c r="I216" s="9" t="str">
        <f aca="false">IF(Raw_Donors!H216="","Not Rated",Raw_Donors!H216)</f>
        <v>$25,000-$49,999</v>
      </c>
      <c r="J216" s="9" t="str">
        <f aca="false">IF(TRIM(Raw_Donors!I216)="","Unknown",TRIM(Raw_Donors!I216))</f>
        <v>HOME</v>
      </c>
      <c r="K216" s="9" t="str">
        <f aca="false">Raw_Donors!J216</f>
        <v>Y</v>
      </c>
      <c r="L216" s="9" t="n">
        <f aca="false">Raw_Donors!K216</f>
        <v>0</v>
      </c>
      <c r="M216" s="10" t="n">
        <f aca="false">IFERROR(VALUE(SUBSTITUTE(SUBSTITUTE(Raw_Donors!L216,"$",""),",","")),0)</f>
        <v>0</v>
      </c>
      <c r="N216" s="10" t="n">
        <f aca="false">IFERROR(VALUE(SUBSTITUTE(SUBSTITUTE(Raw_Donors!M216,"$",""),",","")),0)</f>
        <v>0</v>
      </c>
      <c r="O216" s="10" t="n">
        <f aca="false">IFERROR(VALUE(SUBSTITUTE(SUBSTITUTE(Raw_Donors!N216,"$",""),",","")),0)</f>
        <v>0</v>
      </c>
      <c r="P216" s="10" t="n">
        <f aca="false">IFERROR(VALUE(SUBSTITUTE(SUBSTITUTE(Raw_Donors!O216,"$",""),",","")),0)</f>
        <v>0</v>
      </c>
      <c r="Q216" s="10" t="n">
        <f aca="false">IFERROR(VALUE(SUBSTITUTE(SUBSTITUTE(Raw_Donors!P216,"$",""),",","")),0)</f>
        <v>0</v>
      </c>
      <c r="R216" s="10" t="n">
        <f aca="false">Raw_Donors!Q216</f>
        <v>80</v>
      </c>
      <c r="S216" s="9" t="str">
        <f aca="false">Raw_Donors!R216</f>
        <v>Y</v>
      </c>
      <c r="T216" s="9" t="str">
        <f aca="false">IF(Raw_Donors!S216="","",Raw_Donors!S216)</f>
        <v/>
      </c>
      <c r="U216" s="9" t="str">
        <f aca="false">IF(AND((O216+P216)&gt;0,Q216=0),"Lapsed - Follow Up","")</f>
        <v/>
      </c>
      <c r="V216" s="9" t="n">
        <f aca="false">RANK(R216,$R$2:$R$759)+COUNTIF($R$2:R216,R216)-1</f>
        <v>326</v>
      </c>
      <c r="W216" s="9" t="str">
        <f aca="false">IF(U216="Lapsed - Follow Up",COUNTIF($U$2:U216,"Lapsed - Follow Up"),"")</f>
        <v/>
      </c>
    </row>
    <row r="217" customFormat="false" ht="15" hidden="false" customHeight="true" outlineLevel="0" collapsed="false">
      <c r="A217" s="9" t="str">
        <f aca="false">Raw_Donors!A217</f>
        <v>D1215</v>
      </c>
      <c r="B217" s="9" t="str">
        <f aca="false">IF(ISNUMBER(SEARCH("-DUP",A217)),"Duplicate ID","")</f>
        <v/>
      </c>
      <c r="C217" s="9" t="n">
        <f aca="false">Raw_Donors!B217</f>
        <v>53226</v>
      </c>
      <c r="D217" s="9" t="n">
        <f aca="false">Raw_Donors!C217</f>
        <v>31</v>
      </c>
      <c r="E217" s="9" t="str">
        <f aca="false">IFERROR(IF(Raw_Donors!D217="","Unknown",Raw_Donors!D217),"Unknown")</f>
        <v>Unknown</v>
      </c>
      <c r="F217" s="9" t="str">
        <f aca="false">IFERROR(IF(Raw_Donors!E217="","Unknown",Raw_Donors!E217),"Unknown")</f>
        <v>Female</v>
      </c>
      <c r="G217" s="9" t="str">
        <f aca="false">PROPER(TRIM(Raw_Donors!F217))</f>
        <v>Family Donor</v>
      </c>
      <c r="H217" s="9" t="str">
        <f aca="false">IFERROR(IF(Raw_Donors!G217="","N",Raw_Donors!G217),"N")</f>
        <v>N</v>
      </c>
      <c r="I217" s="9" t="str">
        <f aca="false">IF(Raw_Donors!H217="","Not Rated",Raw_Donors!H217)</f>
        <v>Not Rated</v>
      </c>
      <c r="J217" s="9" t="str">
        <f aca="false">IF(TRIM(Raw_Donors!I217)="","Unknown",TRIM(Raw_Donors!I217))</f>
        <v>HOME</v>
      </c>
      <c r="K217" s="9" t="str">
        <f aca="false">Raw_Donors!J217</f>
        <v>Y</v>
      </c>
      <c r="L217" s="9" t="n">
        <f aca="false">Raw_Donors!K217</f>
        <v>0</v>
      </c>
      <c r="M217" s="10" t="n">
        <f aca="false">IFERROR(VALUE(SUBSTITUTE(SUBSTITUTE(Raw_Donors!L217,"$",""),",","")),0)</f>
        <v>0</v>
      </c>
      <c r="N217" s="10" t="n">
        <f aca="false">IFERROR(VALUE(SUBSTITUTE(SUBSTITUTE(Raw_Donors!M217,"$",""),",","")),0)</f>
        <v>0</v>
      </c>
      <c r="O217" s="10" t="n">
        <f aca="false">IFERROR(VALUE(SUBSTITUTE(SUBSTITUTE(Raw_Donors!N217,"$",""),",","")),0)</f>
        <v>0</v>
      </c>
      <c r="P217" s="10" t="n">
        <f aca="false">IFERROR(VALUE(SUBSTITUTE(SUBSTITUTE(Raw_Donors!O217,"$",""),",","")),0)</f>
        <v>0</v>
      </c>
      <c r="Q217" s="10" t="n">
        <f aca="false">IFERROR(VALUE(SUBSTITUTE(SUBSTITUTE(Raw_Donors!P217,"$",""),",","")),0)</f>
        <v>0</v>
      </c>
      <c r="R217" s="10" t="n">
        <f aca="false">Raw_Donors!Q217</f>
        <v>0</v>
      </c>
      <c r="S217" s="9" t="str">
        <f aca="false">Raw_Donors!R217</f>
        <v>N</v>
      </c>
      <c r="T217" s="9" t="str">
        <f aca="false">IF(Raw_Donors!S217="","",Raw_Donors!S217)</f>
        <v>1986-12-19</v>
      </c>
      <c r="U217" s="9" t="str">
        <f aca="false">IF(AND((O217+P217)&gt;0,Q217=0),"Lapsed - Follow Up","")</f>
        <v/>
      </c>
      <c r="V217" s="9" t="n">
        <f aca="false">RANK(R217,$R$2:$R$759)+COUNTIF($R$2:R217,R217)-1</f>
        <v>610</v>
      </c>
      <c r="W217" s="9" t="str">
        <f aca="false">IF(U217="Lapsed - Follow Up",COUNTIF($U$2:U217,"Lapsed - Follow Up"),"")</f>
        <v/>
      </c>
    </row>
    <row r="218" customFormat="false" ht="15" hidden="false" customHeight="true" outlineLevel="0" collapsed="false">
      <c r="A218" s="9" t="str">
        <f aca="false">Raw_Donors!A218</f>
        <v>D1216</v>
      </c>
      <c r="B218" s="9" t="str">
        <f aca="false">IF(ISNUMBER(SEARCH("-DUP",A218)),"Duplicate ID","")</f>
        <v/>
      </c>
      <c r="C218" s="9" t="n">
        <f aca="false">Raw_Donors!B218</f>
        <v>90265</v>
      </c>
      <c r="D218" s="9" t="n">
        <f aca="false">Raw_Donors!C218</f>
        <v>0</v>
      </c>
      <c r="E218" s="9" t="str">
        <f aca="false">IFERROR(IF(Raw_Donors!D218="","Unknown",Raw_Donors!D218),"Unknown")</f>
        <v>Married</v>
      </c>
      <c r="F218" s="9" t="str">
        <f aca="false">IFERROR(IF(Raw_Donors!E218="","Unknown",Raw_Donors!E218),"Unknown")</f>
        <v>Male</v>
      </c>
      <c r="G218" s="9" t="str">
        <f aca="false">PROPER(TRIM(Raw_Donors!F218))</f>
        <v>Individual Donor</v>
      </c>
      <c r="H218" s="9" t="str">
        <f aca="false">IFERROR(IF(Raw_Donors!G218="","N",Raw_Donors!G218),"N")</f>
        <v>Y</v>
      </c>
      <c r="I218" s="9" t="str">
        <f aca="false">IF(Raw_Donors!H218="","Not Rated",Raw_Donors!H218)</f>
        <v>Not Rated</v>
      </c>
      <c r="J218" s="9" t="str">
        <f aca="false">IF(TRIM(Raw_Donors!I218)="","Unknown",TRIM(Raw_Donors!I218))</f>
        <v>HOME</v>
      </c>
      <c r="K218" s="9" t="str">
        <f aca="false">Raw_Donors!J218</f>
        <v>N</v>
      </c>
      <c r="L218" s="9" t="n">
        <f aca="false">Raw_Donors!K218</f>
        <v>3</v>
      </c>
      <c r="M218" s="10" t="n">
        <f aca="false">IFERROR(VALUE(SUBSTITUTE(SUBSTITUTE(Raw_Donors!L218,"$",""),",","")),0)</f>
        <v>0</v>
      </c>
      <c r="N218" s="10" t="n">
        <f aca="false">IFERROR(VALUE(SUBSTITUTE(SUBSTITUTE(Raw_Donors!M218,"$",""),",","")),0)</f>
        <v>0</v>
      </c>
      <c r="O218" s="10" t="n">
        <f aca="false">IFERROR(VALUE(SUBSTITUTE(SUBSTITUTE(Raw_Donors!N218,"$",""),",","")),0)</f>
        <v>0</v>
      </c>
      <c r="P218" s="10" t="n">
        <f aca="false">IFERROR(VALUE(SUBSTITUTE(SUBSTITUTE(Raw_Donors!O218,"$",""),",","")),0)</f>
        <v>0</v>
      </c>
      <c r="Q218" s="10" t="n">
        <f aca="false">IFERROR(VALUE(SUBSTITUTE(SUBSTITUTE(Raw_Donors!P218,"$",""),",","")),0)</f>
        <v>0</v>
      </c>
      <c r="R218" s="10" t="n">
        <f aca="false">Raw_Donors!Q218</f>
        <v>0</v>
      </c>
      <c r="S218" s="9" t="str">
        <f aca="false">Raw_Donors!R218</f>
        <v>N</v>
      </c>
      <c r="T218" s="9" t="str">
        <f aca="false">IF(Raw_Donors!S218="","",Raw_Donors!S218)</f>
        <v/>
      </c>
      <c r="U218" s="9" t="str">
        <f aca="false">IF(AND((O218+P218)&gt;0,Q218=0),"Lapsed - Follow Up","")</f>
        <v/>
      </c>
      <c r="V218" s="9" t="n">
        <f aca="false">RANK(R218,$R$2:$R$759)+COUNTIF($R$2:R218,R218)-1</f>
        <v>611</v>
      </c>
      <c r="W218" s="9" t="str">
        <f aca="false">IF(U218="Lapsed - Follow Up",COUNTIF($U$2:U218,"Lapsed - Follow Up"),"")</f>
        <v/>
      </c>
    </row>
    <row r="219" customFormat="false" ht="15" hidden="false" customHeight="true" outlineLevel="0" collapsed="false">
      <c r="A219" s="9" t="str">
        <f aca="false">Raw_Donors!A219</f>
        <v>D1217</v>
      </c>
      <c r="B219" s="9" t="str">
        <f aca="false">IF(ISNUMBER(SEARCH("-DUP",A219)),"Duplicate ID","")</f>
        <v/>
      </c>
      <c r="C219" s="9" t="n">
        <f aca="false">Raw_Donors!B219</f>
        <v>44845</v>
      </c>
      <c r="D219" s="9" t="n">
        <f aca="false">Raw_Donors!C219</f>
        <v>39</v>
      </c>
      <c r="E219" s="9" t="str">
        <f aca="false">IFERROR(IF(Raw_Donors!D219="","Unknown",Raw_Donors!D219),"Unknown")</f>
        <v>Unknown</v>
      </c>
      <c r="F219" s="9" t="str">
        <f aca="false">IFERROR(IF(Raw_Donors!E219="","Unknown",Raw_Donors!E219),"Unknown")</f>
        <v>Male</v>
      </c>
      <c r="G219" s="9" t="str">
        <f aca="false">PROPER(TRIM(Raw_Donors!F219))</f>
        <v>Community Partner</v>
      </c>
      <c r="H219" s="9" t="str">
        <f aca="false">IFERROR(IF(Raw_Donors!G219="","N",Raw_Donors!G219),"N")</f>
        <v>Y</v>
      </c>
      <c r="I219" s="9" t="str">
        <f aca="false">IF(Raw_Donors!H219="","Not Rated",Raw_Donors!H219)</f>
        <v>Not Rated</v>
      </c>
      <c r="J219" s="9" t="str">
        <f aca="false">IF(TRIM(Raw_Donors!I219)="","Unknown",TRIM(Raw_Donors!I219))</f>
        <v>HOME</v>
      </c>
      <c r="K219" s="9" t="str">
        <f aca="false">Raw_Donors!J219</f>
        <v>Y</v>
      </c>
      <c r="L219" s="9" t="n">
        <f aca="false">Raw_Donors!K219</f>
        <v>0</v>
      </c>
      <c r="M219" s="10" t="n">
        <f aca="false">IFERROR(VALUE(SUBSTITUTE(SUBSTITUTE(Raw_Donors!L219,"$",""),",","")),0)</f>
        <v>0</v>
      </c>
      <c r="N219" s="10" t="n">
        <f aca="false">IFERROR(VALUE(SUBSTITUTE(SUBSTITUTE(Raw_Donors!M219,"$",""),",","")),0)</f>
        <v>0</v>
      </c>
      <c r="O219" s="10" t="n">
        <f aca="false">IFERROR(VALUE(SUBSTITUTE(SUBSTITUTE(Raw_Donors!N219,"$",""),",","")),0)</f>
        <v>0</v>
      </c>
      <c r="P219" s="10" t="n">
        <f aca="false">IFERROR(VALUE(SUBSTITUTE(SUBSTITUTE(Raw_Donors!O219,"$",""),",","")),0)</f>
        <v>0</v>
      </c>
      <c r="Q219" s="10" t="n">
        <f aca="false">IFERROR(VALUE(SUBSTITUTE(SUBSTITUTE(Raw_Donors!P219,"$",""),",","")),0)</f>
        <v>0</v>
      </c>
      <c r="R219" s="10" t="n">
        <f aca="false">Raw_Donors!Q219</f>
        <v>0</v>
      </c>
      <c r="S219" s="9" t="str">
        <f aca="false">Raw_Donors!R219</f>
        <v>N</v>
      </c>
      <c r="T219" s="9" t="str">
        <f aca="false">IF(Raw_Donors!S219="","",Raw_Donors!S219)</f>
        <v>1978-06-19</v>
      </c>
      <c r="U219" s="9" t="str">
        <f aca="false">IF(AND((O219+P219)&gt;0,Q219=0),"Lapsed - Follow Up","")</f>
        <v/>
      </c>
      <c r="V219" s="9" t="n">
        <f aca="false">RANK(R219,$R$2:$R$759)+COUNTIF($R$2:R219,R219)-1</f>
        <v>612</v>
      </c>
      <c r="W219" s="9" t="str">
        <f aca="false">IF(U219="Lapsed - Follow Up",COUNTIF($U$2:U219,"Lapsed - Follow Up"),"")</f>
        <v/>
      </c>
    </row>
    <row r="220" customFormat="false" ht="15" hidden="false" customHeight="true" outlineLevel="0" collapsed="false">
      <c r="A220" s="9" t="str">
        <f aca="false">Raw_Donors!A220</f>
        <v>D1218</v>
      </c>
      <c r="B220" s="9" t="str">
        <f aca="false">IF(ISNUMBER(SEARCH("-DUP",A220)),"Duplicate ID","")</f>
        <v/>
      </c>
      <c r="C220" s="9" t="n">
        <f aca="false">Raw_Donors!B220</f>
        <v>27871</v>
      </c>
      <c r="D220" s="9" t="n">
        <f aca="false">Raw_Donors!C220</f>
        <v>0</v>
      </c>
      <c r="E220" s="9" t="str">
        <f aca="false">IFERROR(IF(Raw_Donors!D220="","Unknown",Raw_Donors!D220),"Unknown")</f>
        <v>Married</v>
      </c>
      <c r="F220" s="9" t="str">
        <f aca="false">IFERROR(IF(Raw_Donors!E220="","Unknown",Raw_Donors!E220),"Unknown")</f>
        <v>Female</v>
      </c>
      <c r="G220" s="9" t="str">
        <f aca="false">PROPER(TRIM(Raw_Donors!F220))</f>
        <v>Family Donor</v>
      </c>
      <c r="H220" s="9" t="str">
        <f aca="false">IFERROR(IF(Raw_Donors!G220="","N",Raw_Donors!G220),"N")</f>
        <v>N</v>
      </c>
      <c r="I220" s="9" t="str">
        <f aca="false">IF(Raw_Donors!H220="","Not Rated",Raw_Donors!H220)</f>
        <v>Not Rated</v>
      </c>
      <c r="J220" s="9" t="str">
        <f aca="false">IF(TRIM(Raw_Donors!I220)="","Unknown",TRIM(Raw_Donors!I220))</f>
        <v>HOME</v>
      </c>
      <c r="K220" s="9" t="str">
        <f aca="false">Raw_Donors!J220</f>
        <v>N</v>
      </c>
      <c r="L220" s="9" t="n">
        <f aca="false">Raw_Donors!K220</f>
        <v>0</v>
      </c>
      <c r="M220" s="10" t="n">
        <f aca="false">IFERROR(VALUE(SUBSTITUTE(SUBSTITUTE(Raw_Donors!L220,"$",""),",","")),0)</f>
        <v>0</v>
      </c>
      <c r="N220" s="10" t="n">
        <f aca="false">IFERROR(VALUE(SUBSTITUTE(SUBSTITUTE(Raw_Donors!M220,"$",""),",","")),0)</f>
        <v>0</v>
      </c>
      <c r="O220" s="10" t="n">
        <f aca="false">IFERROR(VALUE(SUBSTITUTE(SUBSTITUTE(Raw_Donors!N220,"$",""),",","")),0)</f>
        <v>0</v>
      </c>
      <c r="P220" s="10" t="n">
        <f aca="false">IFERROR(VALUE(SUBSTITUTE(SUBSTITUTE(Raw_Donors!O220,"$",""),",","")),0)</f>
        <v>0</v>
      </c>
      <c r="Q220" s="10" t="n">
        <f aca="false">IFERROR(VALUE(SUBSTITUTE(SUBSTITUTE(Raw_Donors!P220,"$",""),",","")),0)</f>
        <v>0</v>
      </c>
      <c r="R220" s="10" t="n">
        <f aca="false">Raw_Donors!Q220</f>
        <v>85</v>
      </c>
      <c r="S220" s="9" t="str">
        <f aca="false">Raw_Donors!R220</f>
        <v>Y</v>
      </c>
      <c r="T220" s="9" t="str">
        <f aca="false">IF(Raw_Donors!S220="","",Raw_Donors!S220)</f>
        <v/>
      </c>
      <c r="U220" s="9" t="str">
        <f aca="false">IF(AND((O220+P220)&gt;0,Q220=0),"Lapsed - Follow Up","")</f>
        <v/>
      </c>
      <c r="V220" s="9" t="n">
        <f aca="false">RANK(R220,$R$2:$R$759)+COUNTIF($R$2:R220,R220)-1</f>
        <v>316</v>
      </c>
      <c r="W220" s="9" t="str">
        <f aca="false">IF(U220="Lapsed - Follow Up",COUNTIF($U$2:U220,"Lapsed - Follow Up"),"")</f>
        <v/>
      </c>
    </row>
    <row r="221" customFormat="false" ht="15" hidden="false" customHeight="true" outlineLevel="0" collapsed="false">
      <c r="A221" s="9" t="str">
        <f aca="false">Raw_Donors!A221</f>
        <v>D1219</v>
      </c>
      <c r="B221" s="9" t="str">
        <f aca="false">IF(ISNUMBER(SEARCH("-DUP",A221)),"Duplicate ID","")</f>
        <v/>
      </c>
      <c r="C221" s="9" t="n">
        <f aca="false">Raw_Donors!B221</f>
        <v>69142</v>
      </c>
      <c r="D221" s="9" t="n">
        <f aca="false">Raw_Donors!C221</f>
        <v>0</v>
      </c>
      <c r="E221" s="9" t="str">
        <f aca="false">IFERROR(IF(Raw_Donors!D221="","Unknown",Raw_Donors!D221),"Unknown")</f>
        <v>Unknown</v>
      </c>
      <c r="F221" s="9" t="str">
        <f aca="false">IFERROR(IF(Raw_Donors!E221="","Unknown",Raw_Donors!E221),"Unknown")</f>
        <v>Male</v>
      </c>
      <c r="G221" s="9" t="str">
        <f aca="false">PROPER(TRIM(Raw_Donors!F221))</f>
        <v>Individual Donor</v>
      </c>
      <c r="H221" s="9" t="str">
        <f aca="false">IFERROR(IF(Raw_Donors!G221="","N",Raw_Donors!G221),"N")</f>
        <v>N</v>
      </c>
      <c r="I221" s="9" t="str">
        <f aca="false">IF(Raw_Donors!H221="","Not Rated",Raw_Donors!H221)</f>
        <v>Not Rated</v>
      </c>
      <c r="J221" s="9" t="str">
        <f aca="false">IF(TRIM(Raw_Donors!I221)="","Unknown",TRIM(Raw_Donors!I221))</f>
        <v>HOME</v>
      </c>
      <c r="K221" s="9" t="str">
        <f aca="false">Raw_Donors!J221</f>
        <v>N</v>
      </c>
      <c r="L221" s="9" t="n">
        <f aca="false">Raw_Donors!K221</f>
        <v>1</v>
      </c>
      <c r="M221" s="10" t="n">
        <f aca="false">IFERROR(VALUE(SUBSTITUTE(SUBSTITUTE(Raw_Donors!L221,"$",""),",","")),0)</f>
        <v>0</v>
      </c>
      <c r="N221" s="10" t="n">
        <f aca="false">IFERROR(VALUE(SUBSTITUTE(SUBSTITUTE(Raw_Donors!M221,"$",""),",","")),0)</f>
        <v>0</v>
      </c>
      <c r="O221" s="10" t="n">
        <f aca="false">IFERROR(VALUE(SUBSTITUTE(SUBSTITUTE(Raw_Donors!N221,"$",""),",","")),0)</f>
        <v>0</v>
      </c>
      <c r="P221" s="10" t="n">
        <f aca="false">IFERROR(VALUE(SUBSTITUTE(SUBSTITUTE(Raw_Donors!O221,"$",""),",","")),0)</f>
        <v>0</v>
      </c>
      <c r="Q221" s="10" t="n">
        <f aca="false">IFERROR(VALUE(SUBSTITUTE(SUBSTITUTE(Raw_Donors!P221,"$",""),",","")),0)</f>
        <v>500</v>
      </c>
      <c r="R221" s="10" t="n">
        <f aca="false">Raw_Donors!Q221</f>
        <v>500</v>
      </c>
      <c r="S221" s="9" t="str">
        <f aca="false">Raw_Donors!R221</f>
        <v>Y</v>
      </c>
      <c r="T221" s="9" t="str">
        <f aca="false">IF(Raw_Donors!S221="","",Raw_Donors!S221)</f>
        <v/>
      </c>
      <c r="U221" s="9" t="str">
        <f aca="false">IF(AND((O221+P221)&gt;0,Q221=0),"Lapsed - Follow Up","")</f>
        <v/>
      </c>
      <c r="V221" s="9" t="n">
        <f aca="false">RANK(R221,$R$2:$R$759)+COUNTIF($R$2:R221,R221)-1</f>
        <v>90</v>
      </c>
      <c r="W221" s="9" t="str">
        <f aca="false">IF(U221="Lapsed - Follow Up",COUNTIF($U$2:U221,"Lapsed - Follow Up"),"")</f>
        <v/>
      </c>
    </row>
    <row r="222" customFormat="false" ht="15" hidden="false" customHeight="true" outlineLevel="0" collapsed="false">
      <c r="A222" s="9" t="str">
        <f aca="false">Raw_Donors!A222</f>
        <v>D1220</v>
      </c>
      <c r="B222" s="9" t="str">
        <f aca="false">IF(ISNUMBER(SEARCH("-DUP",A222)),"Duplicate ID","")</f>
        <v/>
      </c>
      <c r="C222" s="9" t="n">
        <f aca="false">Raw_Donors!B222</f>
        <v>6784</v>
      </c>
      <c r="D222" s="9" t="n">
        <f aca="false">Raw_Donors!C222</f>
        <v>0</v>
      </c>
      <c r="E222" s="9" t="str">
        <f aca="false">IFERROR(IF(Raw_Donors!D222="","Unknown",Raw_Donors!D222),"Unknown")</f>
        <v>Unknown</v>
      </c>
      <c r="F222" s="9" t="str">
        <f aca="false">IFERROR(IF(Raw_Donors!E222="","Unknown",Raw_Donors!E222),"Unknown")</f>
        <v>Female</v>
      </c>
      <c r="G222" s="9" t="str">
        <f aca="false">PROPER(TRIM(Raw_Donors!F222))</f>
        <v>Community Partner</v>
      </c>
      <c r="H222" s="9" t="str">
        <f aca="false">IFERROR(IF(Raw_Donors!G222="","N",Raw_Donors!G222),"N")</f>
        <v>N</v>
      </c>
      <c r="I222" s="9" t="str">
        <f aca="false">IF(Raw_Donors!H222="","Not Rated",Raw_Donors!H222)</f>
        <v>Not Rated</v>
      </c>
      <c r="J222" s="9" t="str">
        <f aca="false">IF(TRIM(Raw_Donors!I222)="","Unknown",TRIM(Raw_Donors!I222))</f>
        <v>Unknown</v>
      </c>
      <c r="K222" s="9" t="str">
        <f aca="false">Raw_Donors!J222</f>
        <v>N</v>
      </c>
      <c r="L222" s="9" t="n">
        <f aca="false">Raw_Donors!K222</f>
        <v>0</v>
      </c>
      <c r="M222" s="10" t="n">
        <f aca="false">IFERROR(VALUE(SUBSTITUTE(SUBSTITUTE(Raw_Donors!L222,"$",""),",","")),0)</f>
        <v>0</v>
      </c>
      <c r="N222" s="10" t="n">
        <f aca="false">IFERROR(VALUE(SUBSTITUTE(SUBSTITUTE(Raw_Donors!M222,"$",""),",","")),0)</f>
        <v>0</v>
      </c>
      <c r="O222" s="10" t="n">
        <f aca="false">IFERROR(VALUE(SUBSTITUTE(SUBSTITUTE(Raw_Donors!N222,"$",""),",","")),0)</f>
        <v>0</v>
      </c>
      <c r="P222" s="10" t="n">
        <f aca="false">IFERROR(VALUE(SUBSTITUTE(SUBSTITUTE(Raw_Donors!O222,"$",""),",","")),0)</f>
        <v>0</v>
      </c>
      <c r="Q222" s="10" t="n">
        <f aca="false">IFERROR(VALUE(SUBSTITUTE(SUBSTITUTE(Raw_Donors!P222,"$",""),",","")),0)</f>
        <v>0</v>
      </c>
      <c r="R222" s="10" t="n">
        <f aca="false">Raw_Donors!Q222</f>
        <v>25</v>
      </c>
      <c r="S222" s="9" t="str">
        <f aca="false">Raw_Donors!R222</f>
        <v>Y</v>
      </c>
      <c r="T222" s="9" t="str">
        <f aca="false">IF(Raw_Donors!S222="","",Raw_Donors!S222)</f>
        <v/>
      </c>
      <c r="U222" s="9" t="str">
        <f aca="false">IF(AND((O222+P222)&gt;0,Q222=0),"Lapsed - Follow Up","")</f>
        <v/>
      </c>
      <c r="V222" s="9" t="n">
        <f aca="false">RANK(R222,$R$2:$R$759)+COUNTIF($R$2:R222,R222)-1</f>
        <v>437</v>
      </c>
      <c r="W222" s="9" t="str">
        <f aca="false">IF(U222="Lapsed - Follow Up",COUNTIF($U$2:U222,"Lapsed - Follow Up"),"")</f>
        <v/>
      </c>
    </row>
    <row r="223" customFormat="false" ht="15" hidden="false" customHeight="true" outlineLevel="0" collapsed="false">
      <c r="A223" s="9" t="str">
        <f aca="false">Raw_Donors!A223</f>
        <v>D1221</v>
      </c>
      <c r="B223" s="9" t="str">
        <f aca="false">IF(ISNUMBER(SEARCH("-DUP",A223)),"Duplicate ID","")</f>
        <v/>
      </c>
      <c r="C223" s="9" t="n">
        <f aca="false">Raw_Donors!B223</f>
        <v>65608</v>
      </c>
      <c r="D223" s="9" t="n">
        <f aca="false">Raw_Donors!C223</f>
        <v>0</v>
      </c>
      <c r="E223" s="9" t="str">
        <f aca="false">IFERROR(IF(Raw_Donors!D223="","Unknown",Raw_Donors!D223),"Unknown")</f>
        <v>Unknown</v>
      </c>
      <c r="F223" s="9" t="str">
        <f aca="false">IFERROR(IF(Raw_Donors!E223="","Unknown",Raw_Donors!E223),"Unknown")</f>
        <v>Female</v>
      </c>
      <c r="G223" s="9" t="str">
        <f aca="false">PROPER(TRIM(Raw_Donors!F223))</f>
        <v>Individual Donor</v>
      </c>
      <c r="H223" s="9" t="str">
        <f aca="false">IFERROR(IF(Raw_Donors!G223="","N",Raw_Donors!G223),"N")</f>
        <v>N</v>
      </c>
      <c r="I223" s="9" t="str">
        <f aca="false">IF(Raw_Donors!H223="","Not Rated",Raw_Donors!H223)</f>
        <v>Not Rated</v>
      </c>
      <c r="J223" s="9" t="str">
        <f aca="false">IF(TRIM(Raw_Donors!I223)="","Unknown",TRIM(Raw_Donors!I223))</f>
        <v>HOME</v>
      </c>
      <c r="K223" s="9" t="str">
        <f aca="false">Raw_Donors!J223</f>
        <v>N</v>
      </c>
      <c r="L223" s="9" t="n">
        <f aca="false">Raw_Donors!K223</f>
        <v>7</v>
      </c>
      <c r="M223" s="10" t="n">
        <f aca="false">IFERROR(VALUE(SUBSTITUTE(SUBSTITUTE(Raw_Donors!L223,"$",""),",","")),0)</f>
        <v>0</v>
      </c>
      <c r="N223" s="10" t="n">
        <f aca="false">IFERROR(VALUE(SUBSTITUTE(SUBSTITUTE(Raw_Donors!M223,"$",""),",","")),0)</f>
        <v>150</v>
      </c>
      <c r="O223" s="10" t="n">
        <f aca="false">IFERROR(VALUE(SUBSTITUTE(SUBSTITUTE(Raw_Donors!N223,"$",""),",","")),0)</f>
        <v>0</v>
      </c>
      <c r="P223" s="10" t="n">
        <f aca="false">IFERROR(VALUE(SUBSTITUTE(SUBSTITUTE(Raw_Donors!O223,"$",""),",","")),0)</f>
        <v>0</v>
      </c>
      <c r="Q223" s="10" t="n">
        <f aca="false">IFERROR(VALUE(SUBSTITUTE(SUBSTITUTE(Raw_Donors!P223,"$",""),",","")),0)</f>
        <v>0</v>
      </c>
      <c r="R223" s="10" t="n">
        <f aca="false">Raw_Donors!Q223</f>
        <v>150</v>
      </c>
      <c r="S223" s="9" t="str">
        <f aca="false">Raw_Donors!R223</f>
        <v>Y</v>
      </c>
      <c r="T223" s="9" t="str">
        <f aca="false">IF(Raw_Donors!S223="","",Raw_Donors!S223)</f>
        <v/>
      </c>
      <c r="U223" s="9" t="str">
        <f aca="false">IF(AND((O223+P223)&gt;0,Q223=0),"Lapsed - Follow Up","")</f>
        <v/>
      </c>
      <c r="V223" s="9" t="n">
        <f aca="false">RANK(R223,$R$2:$R$759)+COUNTIF($R$2:R223,R223)-1</f>
        <v>230</v>
      </c>
      <c r="W223" s="9" t="str">
        <f aca="false">IF(U223="Lapsed - Follow Up",COUNTIF($U$2:U223,"Lapsed - Follow Up"),"")</f>
        <v/>
      </c>
    </row>
    <row r="224" customFormat="false" ht="15" hidden="false" customHeight="true" outlineLevel="0" collapsed="false">
      <c r="A224" s="9" t="str">
        <f aca="false">Raw_Donors!A224</f>
        <v>D1222</v>
      </c>
      <c r="B224" s="9" t="str">
        <f aca="false">IF(ISNUMBER(SEARCH("-DUP",A224)),"Duplicate ID","")</f>
        <v/>
      </c>
      <c r="C224" s="9" t="n">
        <f aca="false">Raw_Donors!B224</f>
        <v>81247</v>
      </c>
      <c r="D224" s="9" t="n">
        <f aca="false">Raw_Donors!C224</f>
        <v>30</v>
      </c>
      <c r="E224" s="9" t="str">
        <f aca="false">IFERROR(IF(Raw_Donors!D224="","Unknown",Raw_Donors!D224),"Unknown")</f>
        <v>Unknown</v>
      </c>
      <c r="F224" s="9" t="str">
        <f aca="false">IFERROR(IF(Raw_Donors!E224="","Unknown",Raw_Donors!E224),"Unknown")</f>
        <v>Male</v>
      </c>
      <c r="G224" s="9" t="str">
        <f aca="false">PROPER(TRIM(Raw_Donors!F224))</f>
        <v>Community Partner</v>
      </c>
      <c r="H224" s="9" t="str">
        <f aca="false">IFERROR(IF(Raw_Donors!G224="","N",Raw_Donors!G224),"N")</f>
        <v>N</v>
      </c>
      <c r="I224" s="9" t="str">
        <f aca="false">IF(Raw_Donors!H224="","Not Rated",Raw_Donors!H224)</f>
        <v>Not Rated</v>
      </c>
      <c r="J224" s="9" t="str">
        <f aca="false">IF(TRIM(Raw_Donors!I224)="","Unknown",TRIM(Raw_Donors!I224))</f>
        <v>HOME</v>
      </c>
      <c r="K224" s="9" t="str">
        <f aca="false">Raw_Donors!J224</f>
        <v>Y</v>
      </c>
      <c r="L224" s="9" t="n">
        <f aca="false">Raw_Donors!K224</f>
        <v>0</v>
      </c>
      <c r="M224" s="10" t="n">
        <f aca="false">IFERROR(VALUE(SUBSTITUTE(SUBSTITUTE(Raw_Donors!L224,"$",""),",","")),0)</f>
        <v>0</v>
      </c>
      <c r="N224" s="10" t="n">
        <f aca="false">IFERROR(VALUE(SUBSTITUTE(SUBSTITUTE(Raw_Donors!M224,"$",""),",","")),0)</f>
        <v>0</v>
      </c>
      <c r="O224" s="10" t="n">
        <f aca="false">IFERROR(VALUE(SUBSTITUTE(SUBSTITUTE(Raw_Donors!N224,"$",""),",","")),0)</f>
        <v>0</v>
      </c>
      <c r="P224" s="10" t="n">
        <f aca="false">IFERROR(VALUE(SUBSTITUTE(SUBSTITUTE(Raw_Donors!O224,"$",""),",","")),0)</f>
        <v>0</v>
      </c>
      <c r="Q224" s="10" t="n">
        <f aca="false">IFERROR(VALUE(SUBSTITUTE(SUBSTITUTE(Raw_Donors!P224,"$",""),",","")),0)</f>
        <v>0</v>
      </c>
      <c r="R224" s="10" t="n">
        <f aca="false">Raw_Donors!Q224</f>
        <v>30</v>
      </c>
      <c r="S224" s="9" t="str">
        <f aca="false">Raw_Donors!R224</f>
        <v>Y</v>
      </c>
      <c r="T224" s="9" t="str">
        <f aca="false">IF(Raw_Donors!S224="","",Raw_Donors!S224)</f>
        <v>1987-05-23</v>
      </c>
      <c r="U224" s="9" t="str">
        <f aca="false">IF(AND((O224+P224)&gt;0,Q224=0),"Lapsed - Follow Up","")</f>
        <v/>
      </c>
      <c r="V224" s="9" t="n">
        <f aca="false">RANK(R224,$R$2:$R$759)+COUNTIF($R$2:R224,R224)-1</f>
        <v>416</v>
      </c>
      <c r="W224" s="9" t="str">
        <f aca="false">IF(U224="Lapsed - Follow Up",COUNTIF($U$2:U224,"Lapsed - Follow Up"),"")</f>
        <v/>
      </c>
    </row>
    <row r="225" customFormat="false" ht="15" hidden="false" customHeight="true" outlineLevel="0" collapsed="false">
      <c r="A225" s="9" t="str">
        <f aca="false">Raw_Donors!A225</f>
        <v>D1223</v>
      </c>
      <c r="B225" s="9" t="str">
        <f aca="false">IF(ISNUMBER(SEARCH("-DUP",A225)),"Duplicate ID","")</f>
        <v/>
      </c>
      <c r="C225" s="9" t="n">
        <f aca="false">Raw_Donors!B225</f>
        <v>93727</v>
      </c>
      <c r="D225" s="9" t="n">
        <f aca="false">Raw_Donors!C225</f>
        <v>85</v>
      </c>
      <c r="E225" s="9" t="str">
        <f aca="false">IFERROR(IF(Raw_Donors!D225="","Unknown",Raw_Donors!D225),"Unknown")</f>
        <v>Unknown</v>
      </c>
      <c r="F225" s="9" t="str">
        <f aca="false">IFERROR(IF(Raw_Donors!E225="","Unknown",Raw_Donors!E225),"Unknown")</f>
        <v>Female</v>
      </c>
      <c r="G225" s="9" t="str">
        <f aca="false">PROPER(TRIM(Raw_Donors!F225))</f>
        <v>Individual Donor</v>
      </c>
      <c r="H225" s="9" t="str">
        <f aca="false">IFERROR(IF(Raw_Donors!G225="","N",Raw_Donors!G225),"N")</f>
        <v>N</v>
      </c>
      <c r="I225" s="9" t="str">
        <f aca="false">IF(Raw_Donors!H225="","Not Rated",Raw_Donors!H225)</f>
        <v>Not Rated</v>
      </c>
      <c r="J225" s="9" t="str">
        <f aca="false">IF(TRIM(Raw_Donors!I225)="","Unknown",TRIM(Raw_Donors!I225))</f>
        <v>HOME</v>
      </c>
      <c r="K225" s="9" t="str">
        <f aca="false">Raw_Donors!J225</f>
        <v>N</v>
      </c>
      <c r="L225" s="9" t="n">
        <f aca="false">Raw_Donors!K225</f>
        <v>0</v>
      </c>
      <c r="M225" s="10" t="n">
        <f aca="false">IFERROR(VALUE(SUBSTITUTE(SUBSTITUTE(Raw_Donors!L225,"$",""),",","")),0)</f>
        <v>0</v>
      </c>
      <c r="N225" s="10" t="n">
        <f aca="false">IFERROR(VALUE(SUBSTITUTE(SUBSTITUTE(Raw_Donors!M225,"$",""),",","")),0)</f>
        <v>0</v>
      </c>
      <c r="O225" s="10" t="n">
        <f aca="false">IFERROR(VALUE(SUBSTITUTE(SUBSTITUTE(Raw_Donors!N225,"$",""),",","")),0)</f>
        <v>0</v>
      </c>
      <c r="P225" s="10" t="n">
        <f aca="false">IFERROR(VALUE(SUBSTITUTE(SUBSTITUTE(Raw_Donors!O225,"$",""),",","")),0)</f>
        <v>0</v>
      </c>
      <c r="Q225" s="10" t="n">
        <f aca="false">IFERROR(VALUE(SUBSTITUTE(SUBSTITUTE(Raw_Donors!P225,"$",""),",","")),0)</f>
        <v>0</v>
      </c>
      <c r="R225" s="10" t="n">
        <f aca="false">Raw_Donors!Q225</f>
        <v>0</v>
      </c>
      <c r="S225" s="9" t="str">
        <f aca="false">Raw_Donors!R225</f>
        <v>N</v>
      </c>
      <c r="T225" s="9" t="str">
        <f aca="false">IF(Raw_Donors!S225="","",Raw_Donors!S225)</f>
        <v>1932-06-15</v>
      </c>
      <c r="U225" s="9" t="str">
        <f aca="false">IF(AND((O225+P225)&gt;0,Q225=0),"Lapsed - Follow Up","")</f>
        <v/>
      </c>
      <c r="V225" s="9" t="n">
        <f aca="false">RANK(R225,$R$2:$R$759)+COUNTIF($R$2:R225,R225)-1</f>
        <v>613</v>
      </c>
      <c r="W225" s="9" t="str">
        <f aca="false">IF(U225="Lapsed - Follow Up",COUNTIF($U$2:U225,"Lapsed - Follow Up"),"")</f>
        <v/>
      </c>
    </row>
    <row r="226" customFormat="false" ht="15" hidden="false" customHeight="true" outlineLevel="0" collapsed="false">
      <c r="A226" s="9" t="str">
        <f aca="false">Raw_Donors!A226</f>
        <v>D1224</v>
      </c>
      <c r="B226" s="9" t="str">
        <f aca="false">IF(ISNUMBER(SEARCH("-DUP",A226)),"Duplicate ID","")</f>
        <v/>
      </c>
      <c r="C226" s="9" t="n">
        <f aca="false">Raw_Donors!B226</f>
        <v>90265</v>
      </c>
      <c r="D226" s="9" t="n">
        <f aca="false">Raw_Donors!C226</f>
        <v>0</v>
      </c>
      <c r="E226" s="9" t="str">
        <f aca="false">IFERROR(IF(Raw_Donors!D226="","Unknown",Raw_Donors!D226),"Unknown")</f>
        <v>Married</v>
      </c>
      <c r="F226" s="9" t="str">
        <f aca="false">IFERROR(IF(Raw_Donors!E226="","Unknown",Raw_Donors!E226),"Unknown")</f>
        <v>Male</v>
      </c>
      <c r="G226" s="9" t="str">
        <f aca="false">PROPER(TRIM(Raw_Donors!F226))</f>
        <v>Family Donor</v>
      </c>
      <c r="H226" s="9" t="str">
        <f aca="false">IFERROR(IF(Raw_Donors!G226="","N",Raw_Donors!G226),"N")</f>
        <v>Y</v>
      </c>
      <c r="I226" s="9" t="str">
        <f aca="false">IF(Raw_Donors!H226="","Not Rated",Raw_Donors!H226)</f>
        <v>Not Rated</v>
      </c>
      <c r="J226" s="9" t="str">
        <f aca="false">IF(TRIM(Raw_Donors!I226)="","Unknown",TRIM(Raw_Donors!I226))</f>
        <v>HOME</v>
      </c>
      <c r="K226" s="9" t="str">
        <f aca="false">Raw_Donors!J226</f>
        <v>N</v>
      </c>
      <c r="L226" s="9" t="n">
        <f aca="false">Raw_Donors!K226</f>
        <v>0</v>
      </c>
      <c r="M226" s="10" t="n">
        <f aca="false">IFERROR(VALUE(SUBSTITUTE(SUBSTITUTE(Raw_Donors!L226,"$",""),",","")),0)</f>
        <v>0</v>
      </c>
      <c r="N226" s="10" t="n">
        <f aca="false">IFERROR(VALUE(SUBSTITUTE(SUBSTITUTE(Raw_Donors!M226,"$",""),",","")),0)</f>
        <v>0</v>
      </c>
      <c r="O226" s="10" t="n">
        <f aca="false">IFERROR(VALUE(SUBSTITUTE(SUBSTITUTE(Raw_Donors!N226,"$",""),",","")),0)</f>
        <v>0</v>
      </c>
      <c r="P226" s="10" t="n">
        <f aca="false">IFERROR(VALUE(SUBSTITUTE(SUBSTITUTE(Raw_Donors!O226,"$",""),",","")),0)</f>
        <v>50</v>
      </c>
      <c r="Q226" s="10" t="n">
        <f aca="false">IFERROR(VALUE(SUBSTITUTE(SUBSTITUTE(Raw_Donors!P226,"$",""),",","")),0)</f>
        <v>0</v>
      </c>
      <c r="R226" s="10" t="n">
        <f aca="false">Raw_Donors!Q226</f>
        <v>50</v>
      </c>
      <c r="S226" s="9" t="str">
        <f aca="false">Raw_Donors!R226</f>
        <v>Y</v>
      </c>
      <c r="T226" s="9" t="str">
        <f aca="false">IF(Raw_Donors!S226="","",Raw_Donors!S226)</f>
        <v/>
      </c>
      <c r="U226" s="9" t="str">
        <f aca="false">IF(AND((O226+P226)&gt;0,Q226=0),"Lapsed - Follow Up","")</f>
        <v>Lapsed - Follow Up</v>
      </c>
      <c r="V226" s="9" t="n">
        <f aca="false">RANK(R226,$R$2:$R$759)+COUNTIF($R$2:R226,R226)-1</f>
        <v>368</v>
      </c>
      <c r="W226" s="9" t="n">
        <f aca="false">IF(U226="Lapsed - Follow Up",COUNTIF($U$2:U226,"Lapsed - Follow Up"),"")</f>
        <v>37</v>
      </c>
    </row>
    <row r="227" customFormat="false" ht="15" hidden="false" customHeight="true" outlineLevel="0" collapsed="false">
      <c r="A227" s="9" t="str">
        <f aca="false">Raw_Donors!A227</f>
        <v>D1225</v>
      </c>
      <c r="B227" s="9" t="str">
        <f aca="false">IF(ISNUMBER(SEARCH("-DUP",A227)),"Duplicate ID","")</f>
        <v/>
      </c>
      <c r="C227" s="9" t="n">
        <f aca="false">Raw_Donors!B227</f>
        <v>52223</v>
      </c>
      <c r="D227" s="9" t="n">
        <f aca="false">Raw_Donors!C227</f>
        <v>63</v>
      </c>
      <c r="E227" s="9" t="str">
        <f aca="false">IFERROR(IF(Raw_Donors!D227="","Unknown",Raw_Donors!D227),"Unknown")</f>
        <v>Unknown</v>
      </c>
      <c r="F227" s="9" t="str">
        <f aca="false">IFERROR(IF(Raw_Donors!E227="","Unknown",Raw_Donors!E227),"Unknown")</f>
        <v>Male</v>
      </c>
      <c r="G227" s="9" t="str">
        <f aca="false">PROPER(TRIM(Raw_Donors!F227))</f>
        <v>Individual Donor</v>
      </c>
      <c r="H227" s="9" t="str">
        <f aca="false">IFERROR(IF(Raw_Donors!G227="","N",Raw_Donors!G227),"N")</f>
        <v>N</v>
      </c>
      <c r="I227" s="9" t="str">
        <f aca="false">IF(Raw_Donors!H227="","Not Rated",Raw_Donors!H227)</f>
        <v>Not Rated</v>
      </c>
      <c r="J227" s="9" t="str">
        <f aca="false">IF(TRIM(Raw_Donors!I227)="","Unknown",TRIM(Raw_Donors!I227))</f>
        <v>HOME</v>
      </c>
      <c r="K227" s="9" t="str">
        <f aca="false">Raw_Donors!J227</f>
        <v>N</v>
      </c>
      <c r="L227" s="9" t="n">
        <f aca="false">Raw_Donors!K227</f>
        <v>0</v>
      </c>
      <c r="M227" s="10" t="n">
        <f aca="false">IFERROR(VALUE(SUBSTITUTE(SUBSTITUTE(Raw_Donors!L227,"$",""),",","")),0)</f>
        <v>5000</v>
      </c>
      <c r="N227" s="10" t="n">
        <f aca="false">IFERROR(VALUE(SUBSTITUTE(SUBSTITUTE(Raw_Donors!M227,"$",""),",","")),0)</f>
        <v>0</v>
      </c>
      <c r="O227" s="10" t="n">
        <f aca="false">IFERROR(VALUE(SUBSTITUTE(SUBSTITUTE(Raw_Donors!N227,"$",""),",","")),0)</f>
        <v>0</v>
      </c>
      <c r="P227" s="10" t="n">
        <f aca="false">IFERROR(VALUE(SUBSTITUTE(SUBSTITUTE(Raw_Donors!O227,"$",""),",","")),0)</f>
        <v>0</v>
      </c>
      <c r="Q227" s="10" t="n">
        <f aca="false">IFERROR(VALUE(SUBSTITUTE(SUBSTITUTE(Raw_Donors!P227,"$",""),",","")),0)</f>
        <v>0</v>
      </c>
      <c r="R227" s="10" t="n">
        <f aca="false">Raw_Donors!Q227</f>
        <v>5000</v>
      </c>
      <c r="S227" s="9" t="str">
        <f aca="false">Raw_Donors!R227</f>
        <v>Y</v>
      </c>
      <c r="T227" s="9" t="str">
        <f aca="false">IF(Raw_Donors!S227="","",Raw_Donors!S227)</f>
        <v>1954-05-11</v>
      </c>
      <c r="U227" s="9" t="str">
        <f aca="false">IF(AND((O227+P227)&gt;0,Q227=0),"Lapsed - Follow Up","")</f>
        <v/>
      </c>
      <c r="V227" s="9" t="n">
        <f aca="false">RANK(R227,$R$2:$R$759)+COUNTIF($R$2:R227,R227)-1</f>
        <v>14</v>
      </c>
      <c r="W227" s="9" t="str">
        <f aca="false">IF(U227="Lapsed - Follow Up",COUNTIF($U$2:U227,"Lapsed - Follow Up"),"")</f>
        <v/>
      </c>
    </row>
    <row r="228" customFormat="false" ht="15" hidden="false" customHeight="true" outlineLevel="0" collapsed="false">
      <c r="A228" s="9" t="str">
        <f aca="false">Raw_Donors!A228</f>
        <v>D1226</v>
      </c>
      <c r="B228" s="9" t="str">
        <f aca="false">IF(ISNUMBER(SEARCH("-DUP",A228)),"Duplicate ID","")</f>
        <v/>
      </c>
      <c r="C228" s="9" t="n">
        <f aca="false">Raw_Donors!B228</f>
        <v>43450</v>
      </c>
      <c r="D228" s="9" t="n">
        <f aca="false">Raw_Donors!C228</f>
        <v>0</v>
      </c>
      <c r="E228" s="9" t="str">
        <f aca="false">IFERROR(IF(Raw_Donors!D228="","Unknown",Raw_Donors!D228),"Unknown")</f>
        <v>Unknown</v>
      </c>
      <c r="F228" s="9" t="str">
        <f aca="false">IFERROR(IF(Raw_Donors!E228="","Unknown",Raw_Donors!E228),"Unknown")</f>
        <v>Male</v>
      </c>
      <c r="G228" s="9" t="str">
        <f aca="false">PROPER(TRIM(Raw_Donors!F228))</f>
        <v>Individual Donor</v>
      </c>
      <c r="H228" s="9" t="str">
        <f aca="false">IFERROR(IF(Raw_Donors!G228="","N",Raw_Donors!G228),"N")</f>
        <v>N</v>
      </c>
      <c r="I228" s="9" t="str">
        <f aca="false">IF(Raw_Donors!H228="","Not Rated",Raw_Donors!H228)</f>
        <v>Not Rated</v>
      </c>
      <c r="J228" s="9" t="str">
        <f aca="false">IF(TRIM(Raw_Donors!I228)="","Unknown",TRIM(Raw_Donors!I228))</f>
        <v>HOME</v>
      </c>
      <c r="K228" s="9" t="str">
        <f aca="false">Raw_Donors!J228</f>
        <v>N</v>
      </c>
      <c r="L228" s="9" t="n">
        <f aca="false">Raw_Donors!K228</f>
        <v>1</v>
      </c>
      <c r="M228" s="10" t="n">
        <f aca="false">IFERROR(VALUE(SUBSTITUTE(SUBSTITUTE(Raw_Donors!L228,"$",""),",","")),0)</f>
        <v>0</v>
      </c>
      <c r="N228" s="10" t="n">
        <f aca="false">IFERROR(VALUE(SUBSTITUTE(SUBSTITUTE(Raw_Donors!M228,"$",""),",","")),0)</f>
        <v>0</v>
      </c>
      <c r="O228" s="10" t="n">
        <f aca="false">IFERROR(VALUE(SUBSTITUTE(SUBSTITUTE(Raw_Donors!N228,"$",""),",","")),0)</f>
        <v>0</v>
      </c>
      <c r="P228" s="10" t="n">
        <f aca="false">IFERROR(VALUE(SUBSTITUTE(SUBSTITUTE(Raw_Donors!O228,"$",""),",","")),0)</f>
        <v>0</v>
      </c>
      <c r="Q228" s="10" t="n">
        <f aca="false">IFERROR(VALUE(SUBSTITUTE(SUBSTITUTE(Raw_Donors!P228,"$",""),",","")),0)</f>
        <v>0</v>
      </c>
      <c r="R228" s="10" t="n">
        <f aca="false">Raw_Donors!Q228</f>
        <v>1055</v>
      </c>
      <c r="S228" s="9" t="str">
        <f aca="false">Raw_Donors!R228</f>
        <v>Y</v>
      </c>
      <c r="T228" s="9" t="str">
        <f aca="false">IF(Raw_Donors!S228="","",Raw_Donors!S228)</f>
        <v/>
      </c>
      <c r="U228" s="9" t="str">
        <f aca="false">IF(AND((O228+P228)&gt;0,Q228=0),"Lapsed - Follow Up","")</f>
        <v/>
      </c>
      <c r="V228" s="9" t="n">
        <f aca="false">RANK(R228,$R$2:$R$759)+COUNTIF($R$2:R228,R228)-1</f>
        <v>55</v>
      </c>
      <c r="W228" s="9" t="str">
        <f aca="false">IF(U228="Lapsed - Follow Up",COUNTIF($U$2:U228,"Lapsed - Follow Up"),"")</f>
        <v/>
      </c>
    </row>
    <row r="229" customFormat="false" ht="15" hidden="false" customHeight="true" outlineLevel="0" collapsed="false">
      <c r="A229" s="9" t="str">
        <f aca="false">Raw_Donors!A229</f>
        <v>D1227</v>
      </c>
      <c r="B229" s="9" t="str">
        <f aca="false">IF(ISNUMBER(SEARCH("-DUP",A229)),"Duplicate ID","")</f>
        <v/>
      </c>
      <c r="C229" s="9" t="n">
        <f aca="false">Raw_Donors!B229</f>
        <v>23501</v>
      </c>
      <c r="D229" s="9" t="n">
        <f aca="false">Raw_Donors!C229</f>
        <v>0</v>
      </c>
      <c r="E229" s="9" t="str">
        <f aca="false">IFERROR(IF(Raw_Donors!D229="","Unknown",Raw_Donors!D229),"Unknown")</f>
        <v>Unknown</v>
      </c>
      <c r="F229" s="9" t="str">
        <f aca="false">IFERROR(IF(Raw_Donors!E229="","Unknown",Raw_Donors!E229),"Unknown")</f>
        <v>Female</v>
      </c>
      <c r="G229" s="9" t="str">
        <f aca="false">PROPER(TRIM(Raw_Donors!F229))</f>
        <v>Individual Donor</v>
      </c>
      <c r="H229" s="9" t="str">
        <f aca="false">IFERROR(IF(Raw_Donors!G229="","N",Raw_Donors!G229),"N")</f>
        <v>N</v>
      </c>
      <c r="I229" s="9" t="str">
        <f aca="false">IF(Raw_Donors!H229="","Not Rated",Raw_Donors!H229)</f>
        <v>Not Rated</v>
      </c>
      <c r="J229" s="9" t="str">
        <f aca="false">IF(TRIM(Raw_Donors!I229)="","Unknown",TRIM(Raw_Donors!I229))</f>
        <v>HOME</v>
      </c>
      <c r="K229" s="9" t="str">
        <f aca="false">Raw_Donors!J229</f>
        <v>N</v>
      </c>
      <c r="L229" s="9" t="n">
        <f aca="false">Raw_Donors!K229</f>
        <v>1</v>
      </c>
      <c r="M229" s="10" t="n">
        <f aca="false">IFERROR(VALUE(SUBSTITUTE(SUBSTITUTE(Raw_Donors!L229,"$",""),",","")),0)</f>
        <v>0</v>
      </c>
      <c r="N229" s="10" t="n">
        <f aca="false">IFERROR(VALUE(SUBSTITUTE(SUBSTITUTE(Raw_Donors!M229,"$",""),",","")),0)</f>
        <v>0</v>
      </c>
      <c r="O229" s="10" t="n">
        <f aca="false">IFERROR(VALUE(SUBSTITUTE(SUBSTITUTE(Raw_Donors!N229,"$",""),",","")),0)</f>
        <v>0</v>
      </c>
      <c r="P229" s="10" t="n">
        <f aca="false">IFERROR(VALUE(SUBSTITUTE(SUBSTITUTE(Raw_Donors!O229,"$",""),",","")),0)</f>
        <v>270</v>
      </c>
      <c r="Q229" s="10" t="n">
        <f aca="false">IFERROR(VALUE(SUBSTITUTE(SUBSTITUTE(Raw_Donors!P229,"$",""),",","")),0)</f>
        <v>0</v>
      </c>
      <c r="R229" s="10" t="n">
        <f aca="false">Raw_Donors!Q229</f>
        <v>270</v>
      </c>
      <c r="S229" s="9" t="str">
        <f aca="false">Raw_Donors!R229</f>
        <v>Y</v>
      </c>
      <c r="T229" s="9" t="str">
        <f aca="false">IF(Raw_Donors!S229="","",Raw_Donors!S229)</f>
        <v/>
      </c>
      <c r="U229" s="9" t="str">
        <f aca="false">IF(AND((O229+P229)&gt;0,Q229=0),"Lapsed - Follow Up","")</f>
        <v>Lapsed - Follow Up</v>
      </c>
      <c r="V229" s="9" t="n">
        <f aca="false">RANK(R229,$R$2:$R$759)+COUNTIF($R$2:R229,R229)-1</f>
        <v>151</v>
      </c>
      <c r="W229" s="9" t="n">
        <f aca="false">IF(U229="Lapsed - Follow Up",COUNTIF($U$2:U229,"Lapsed - Follow Up"),"")</f>
        <v>38</v>
      </c>
    </row>
    <row r="230" customFormat="false" ht="15" hidden="false" customHeight="true" outlineLevel="0" collapsed="false">
      <c r="A230" s="9" t="str">
        <f aca="false">Raw_Donors!A230</f>
        <v>D1228</v>
      </c>
      <c r="B230" s="9" t="str">
        <f aca="false">IF(ISNUMBER(SEARCH("-DUP",A230)),"Duplicate ID","")</f>
        <v/>
      </c>
      <c r="C230" s="9" t="n">
        <f aca="false">Raw_Donors!B230</f>
        <v>29046</v>
      </c>
      <c r="D230" s="9" t="n">
        <f aca="false">Raw_Donors!C230</f>
        <v>32</v>
      </c>
      <c r="E230" s="9" t="str">
        <f aca="false">IFERROR(IF(Raw_Donors!D230="","Unknown",Raw_Donors!D230),"Unknown")</f>
        <v>Unknown</v>
      </c>
      <c r="F230" s="9" t="str">
        <f aca="false">IFERROR(IF(Raw_Donors!E230="","Unknown",Raw_Donors!E230),"Unknown")</f>
        <v>Female</v>
      </c>
      <c r="G230" s="9" t="str">
        <f aca="false">PROPER(TRIM(Raw_Donors!F230))</f>
        <v>Individual Donor</v>
      </c>
      <c r="H230" s="9" t="str">
        <f aca="false">IFERROR(IF(Raw_Donors!G230="","N",Raw_Donors!G230),"N")</f>
        <v>N</v>
      </c>
      <c r="I230" s="9" t="str">
        <f aca="false">IF(Raw_Donors!H230="","Not Rated",Raw_Donors!H230)</f>
        <v>Not Rated</v>
      </c>
      <c r="J230" s="9" t="str">
        <f aca="false">IF(TRIM(Raw_Donors!I230)="","Unknown",TRIM(Raw_Donors!I230))</f>
        <v>HOME</v>
      </c>
      <c r="K230" s="9" t="str">
        <f aca="false">Raw_Donors!J230</f>
        <v>Y</v>
      </c>
      <c r="L230" s="9" t="n">
        <f aca="false">Raw_Donors!K230</f>
        <v>0</v>
      </c>
      <c r="M230" s="10" t="n">
        <f aca="false">IFERROR(VALUE(SUBSTITUTE(SUBSTITUTE(Raw_Donors!L230,"$",""),",","")),0)</f>
        <v>0</v>
      </c>
      <c r="N230" s="10" t="n">
        <f aca="false">IFERROR(VALUE(SUBSTITUTE(SUBSTITUTE(Raw_Donors!M230,"$",""),",","")),0)</f>
        <v>0</v>
      </c>
      <c r="O230" s="10" t="n">
        <f aca="false">IFERROR(VALUE(SUBSTITUTE(SUBSTITUTE(Raw_Donors!N230,"$",""),",","")),0)</f>
        <v>0</v>
      </c>
      <c r="P230" s="10" t="n">
        <f aca="false">IFERROR(VALUE(SUBSTITUTE(SUBSTITUTE(Raw_Donors!O230,"$",""),",","")),0)</f>
        <v>0</v>
      </c>
      <c r="Q230" s="10" t="n">
        <f aca="false">IFERROR(VALUE(SUBSTITUTE(SUBSTITUTE(Raw_Donors!P230,"$",""),",","")),0)</f>
        <v>0</v>
      </c>
      <c r="R230" s="10" t="n">
        <f aca="false">Raw_Donors!Q230</f>
        <v>1</v>
      </c>
      <c r="S230" s="9" t="str">
        <f aca="false">Raw_Donors!R230</f>
        <v>Y</v>
      </c>
      <c r="T230" s="9" t="str">
        <f aca="false">IF(Raw_Donors!S230="","",Raw_Donors!S230)</f>
        <v>1985-03-19</v>
      </c>
      <c r="U230" s="9" t="str">
        <f aca="false">IF(AND((O230+P230)&gt;0,Q230=0),"Lapsed - Follow Up","")</f>
        <v/>
      </c>
      <c r="V230" s="9" t="n">
        <f aca="false">RANK(R230,$R$2:$R$759)+COUNTIF($R$2:R230,R230)-1</f>
        <v>535</v>
      </c>
      <c r="W230" s="9" t="str">
        <f aca="false">IF(U230="Lapsed - Follow Up",COUNTIF($U$2:U230,"Lapsed - Follow Up"),"")</f>
        <v/>
      </c>
    </row>
    <row r="231" customFormat="false" ht="15" hidden="false" customHeight="true" outlineLevel="0" collapsed="false">
      <c r="A231" s="9" t="str">
        <f aca="false">Raw_Donors!A231</f>
        <v>D1229</v>
      </c>
      <c r="B231" s="9" t="str">
        <f aca="false">IF(ISNUMBER(SEARCH("-DUP",A231)),"Duplicate ID","")</f>
        <v/>
      </c>
      <c r="C231" s="9" t="n">
        <f aca="false">Raw_Donors!B231</f>
        <v>68321</v>
      </c>
      <c r="D231" s="9" t="n">
        <f aca="false">Raw_Donors!C231</f>
        <v>0</v>
      </c>
      <c r="E231" s="9" t="str">
        <f aca="false">IFERROR(IF(Raw_Donors!D231="","Unknown",Raw_Donors!D231),"Unknown")</f>
        <v>Unknown</v>
      </c>
      <c r="F231" s="9" t="str">
        <f aca="false">IFERROR(IF(Raw_Donors!E231="","Unknown",Raw_Donors!E231),"Unknown")</f>
        <v>Unknown</v>
      </c>
      <c r="G231" s="9" t="str">
        <f aca="false">PROPER(TRIM(Raw_Donors!F231))</f>
        <v>Individual Donor</v>
      </c>
      <c r="H231" s="9" t="str">
        <f aca="false">IFERROR(IF(Raw_Donors!G231="","N",Raw_Donors!G231),"N")</f>
        <v>N</v>
      </c>
      <c r="I231" s="9" t="str">
        <f aca="false">IF(Raw_Donors!H231="","Not Rated",Raw_Donors!H231)</f>
        <v>Not Rated</v>
      </c>
      <c r="J231" s="9" t="str">
        <f aca="false">IF(TRIM(Raw_Donors!I231)="","Unknown",TRIM(Raw_Donors!I231))</f>
        <v>HOME</v>
      </c>
      <c r="K231" s="9" t="str">
        <f aca="false">Raw_Donors!J231</f>
        <v>N</v>
      </c>
      <c r="L231" s="9" t="n">
        <f aca="false">Raw_Donors!K231</f>
        <v>1</v>
      </c>
      <c r="M231" s="10" t="n">
        <f aca="false">IFERROR(VALUE(SUBSTITUTE(SUBSTITUTE(Raw_Donors!L231,"$",""),",","")),0)</f>
        <v>0</v>
      </c>
      <c r="N231" s="10" t="n">
        <f aca="false">IFERROR(VALUE(SUBSTITUTE(SUBSTITUTE(Raw_Donors!M231,"$",""),",","")),0)</f>
        <v>0</v>
      </c>
      <c r="O231" s="10" t="n">
        <f aca="false">IFERROR(VALUE(SUBSTITUTE(SUBSTITUTE(Raw_Donors!N231,"$",""),",","")),0)</f>
        <v>0</v>
      </c>
      <c r="P231" s="10" t="n">
        <f aca="false">IFERROR(VALUE(SUBSTITUTE(SUBSTITUTE(Raw_Donors!O231,"$",""),",","")),0)</f>
        <v>0</v>
      </c>
      <c r="Q231" s="10" t="n">
        <f aca="false">IFERROR(VALUE(SUBSTITUTE(SUBSTITUTE(Raw_Donors!P231,"$",""),",","")),0)</f>
        <v>0</v>
      </c>
      <c r="R231" s="10" t="n">
        <f aca="false">Raw_Donors!Q231</f>
        <v>0</v>
      </c>
      <c r="S231" s="9" t="str">
        <f aca="false">Raw_Donors!R231</f>
        <v>N</v>
      </c>
      <c r="T231" s="9" t="str">
        <f aca="false">IF(Raw_Donors!S231="","",Raw_Donors!S231)</f>
        <v/>
      </c>
      <c r="U231" s="9" t="str">
        <f aca="false">IF(AND((O231+P231)&gt;0,Q231=0),"Lapsed - Follow Up","")</f>
        <v/>
      </c>
      <c r="V231" s="9" t="n">
        <f aca="false">RANK(R231,$R$2:$R$759)+COUNTIF($R$2:R231,R231)-1</f>
        <v>614</v>
      </c>
      <c r="W231" s="9" t="str">
        <f aca="false">IF(U231="Lapsed - Follow Up",COUNTIF($U$2:U231,"Lapsed - Follow Up"),"")</f>
        <v/>
      </c>
    </row>
    <row r="232" customFormat="false" ht="15" hidden="false" customHeight="true" outlineLevel="0" collapsed="false">
      <c r="A232" s="9" t="str">
        <f aca="false">Raw_Donors!A232</f>
        <v>D1230</v>
      </c>
      <c r="B232" s="9" t="str">
        <f aca="false">IF(ISNUMBER(SEARCH("-DUP",A232)),"Duplicate ID","")</f>
        <v/>
      </c>
      <c r="C232" s="9" t="n">
        <f aca="false">Raw_Donors!B232</f>
        <v>24613</v>
      </c>
      <c r="D232" s="9" t="n">
        <f aca="false">Raw_Donors!C232</f>
        <v>0</v>
      </c>
      <c r="E232" s="9" t="str">
        <f aca="false">IFERROR(IF(Raw_Donors!D232="","Unknown",Raw_Donors!D232),"Unknown")</f>
        <v>Unknown</v>
      </c>
      <c r="F232" s="9" t="str">
        <f aca="false">IFERROR(IF(Raw_Donors!E232="","Unknown",Raw_Donors!E232),"Unknown")</f>
        <v>Female</v>
      </c>
      <c r="G232" s="9" t="str">
        <f aca="false">PROPER(TRIM(Raw_Donors!F232))</f>
        <v>Family Donor</v>
      </c>
      <c r="H232" s="9" t="str">
        <f aca="false">IFERROR(IF(Raw_Donors!G232="","N",Raw_Donors!G232),"N")</f>
        <v>N</v>
      </c>
      <c r="I232" s="9" t="str">
        <f aca="false">IF(Raw_Donors!H232="","Not Rated",Raw_Donors!H232)</f>
        <v>Not Rated</v>
      </c>
      <c r="J232" s="9" t="str">
        <f aca="false">IF(TRIM(Raw_Donors!I232)="","Unknown",TRIM(Raw_Donors!I232))</f>
        <v>HOME</v>
      </c>
      <c r="K232" s="9" t="str">
        <f aca="false">Raw_Donors!J232</f>
        <v>Y</v>
      </c>
      <c r="L232" s="9" t="n">
        <f aca="false">Raw_Donors!K232</f>
        <v>0</v>
      </c>
      <c r="M232" s="10" t="n">
        <f aca="false">IFERROR(VALUE(SUBSTITUTE(SUBSTITUTE(Raw_Donors!L232,"$",""),",","")),0)</f>
        <v>0</v>
      </c>
      <c r="N232" s="10" t="n">
        <f aca="false">IFERROR(VALUE(SUBSTITUTE(SUBSTITUTE(Raw_Donors!M232,"$",""),",","")),0)</f>
        <v>0</v>
      </c>
      <c r="O232" s="10" t="n">
        <f aca="false">IFERROR(VALUE(SUBSTITUTE(SUBSTITUTE(Raw_Donors!N232,"$",""),",","")),0)</f>
        <v>0</v>
      </c>
      <c r="P232" s="10" t="n">
        <f aca="false">IFERROR(VALUE(SUBSTITUTE(SUBSTITUTE(Raw_Donors!O232,"$",""),",","")),0)</f>
        <v>0</v>
      </c>
      <c r="Q232" s="10" t="n">
        <f aca="false">IFERROR(VALUE(SUBSTITUTE(SUBSTITUTE(Raw_Donors!P232,"$",""),",","")),0)</f>
        <v>0</v>
      </c>
      <c r="R232" s="10" t="n">
        <f aca="false">Raw_Donors!Q232</f>
        <v>0</v>
      </c>
      <c r="S232" s="9" t="str">
        <f aca="false">Raw_Donors!R232</f>
        <v>N</v>
      </c>
      <c r="T232" s="9" t="str">
        <f aca="false">IF(Raw_Donors!S232="","",Raw_Donors!S232)</f>
        <v/>
      </c>
      <c r="U232" s="9" t="str">
        <f aca="false">IF(AND((O232+P232)&gt;0,Q232=0),"Lapsed - Follow Up","")</f>
        <v/>
      </c>
      <c r="V232" s="9" t="n">
        <f aca="false">RANK(R232,$R$2:$R$759)+COUNTIF($R$2:R232,R232)-1</f>
        <v>615</v>
      </c>
      <c r="W232" s="9" t="str">
        <f aca="false">IF(U232="Lapsed - Follow Up",COUNTIF($U$2:U232,"Lapsed - Follow Up"),"")</f>
        <v/>
      </c>
    </row>
    <row r="233" customFormat="false" ht="15" hidden="false" customHeight="true" outlineLevel="0" collapsed="false">
      <c r="A233" s="9" t="str">
        <f aca="false">Raw_Donors!A233</f>
        <v>D1231</v>
      </c>
      <c r="B233" s="9" t="str">
        <f aca="false">IF(ISNUMBER(SEARCH("-DUP",A233)),"Duplicate ID","")</f>
        <v/>
      </c>
      <c r="C233" s="9" t="n">
        <f aca="false">Raw_Donors!B233</f>
        <v>96728</v>
      </c>
      <c r="D233" s="9" t="n">
        <f aca="false">Raw_Donors!C233</f>
        <v>20</v>
      </c>
      <c r="E233" s="9" t="str">
        <f aca="false">IFERROR(IF(Raw_Donors!D233="","Unknown",Raw_Donors!D233),"Unknown")</f>
        <v>Unknown</v>
      </c>
      <c r="F233" s="9" t="str">
        <f aca="false">IFERROR(IF(Raw_Donors!E233="","Unknown",Raw_Donors!E233),"Unknown")</f>
        <v>Female</v>
      </c>
      <c r="G233" s="9" t="str">
        <f aca="false">PROPER(TRIM(Raw_Donors!F233))</f>
        <v>Community Partner</v>
      </c>
      <c r="H233" s="9" t="str">
        <f aca="false">IFERROR(IF(Raw_Donors!G233="","N",Raw_Donors!G233),"N")</f>
        <v>N</v>
      </c>
      <c r="I233" s="9" t="str">
        <f aca="false">IF(Raw_Donors!H233="","Not Rated",Raw_Donors!H233)</f>
        <v>$25,000-$49,999</v>
      </c>
      <c r="J233" s="9" t="str">
        <f aca="false">IF(TRIM(Raw_Donors!I233)="","Unknown",TRIM(Raw_Donors!I233))</f>
        <v>HOME</v>
      </c>
      <c r="K233" s="9" t="str">
        <f aca="false">Raw_Donors!J233</f>
        <v>N</v>
      </c>
      <c r="L233" s="9" t="n">
        <f aca="false">Raw_Donors!K233</f>
        <v>1</v>
      </c>
      <c r="M233" s="10" t="n">
        <f aca="false">IFERROR(VALUE(SUBSTITUTE(SUBSTITUTE(Raw_Donors!L233,"$",""),",","")),0)</f>
        <v>0</v>
      </c>
      <c r="N233" s="10" t="n">
        <f aca="false">IFERROR(VALUE(SUBSTITUTE(SUBSTITUTE(Raw_Donors!M233,"$",""),",","")),0)</f>
        <v>0</v>
      </c>
      <c r="O233" s="10" t="n">
        <f aca="false">IFERROR(VALUE(SUBSTITUTE(SUBSTITUTE(Raw_Donors!N233,"$",""),",","")),0)</f>
        <v>0</v>
      </c>
      <c r="P233" s="10" t="n">
        <f aca="false">IFERROR(VALUE(SUBSTITUTE(SUBSTITUTE(Raw_Donors!O233,"$",""),",","")),0)</f>
        <v>0</v>
      </c>
      <c r="Q233" s="10" t="n">
        <f aca="false">IFERROR(VALUE(SUBSTITUTE(SUBSTITUTE(Raw_Donors!P233,"$",""),",","")),0)</f>
        <v>0</v>
      </c>
      <c r="R233" s="10" t="n">
        <f aca="false">Raw_Donors!Q233</f>
        <v>0</v>
      </c>
      <c r="S233" s="9" t="str">
        <f aca="false">Raw_Donors!R233</f>
        <v>N</v>
      </c>
      <c r="T233" s="9" t="str">
        <f aca="false">IF(Raw_Donors!S233="","",Raw_Donors!S233)</f>
        <v>1997-03-08</v>
      </c>
      <c r="U233" s="9" t="str">
        <f aca="false">IF(AND((O233+P233)&gt;0,Q233=0),"Lapsed - Follow Up","")</f>
        <v/>
      </c>
      <c r="V233" s="9" t="n">
        <f aca="false">RANK(R233,$R$2:$R$759)+COUNTIF($R$2:R233,R233)-1</f>
        <v>616</v>
      </c>
      <c r="W233" s="9" t="str">
        <f aca="false">IF(U233="Lapsed - Follow Up",COUNTIF($U$2:U233,"Lapsed - Follow Up"),"")</f>
        <v/>
      </c>
    </row>
    <row r="234" customFormat="false" ht="15" hidden="false" customHeight="true" outlineLevel="0" collapsed="false">
      <c r="A234" s="9" t="str">
        <f aca="false">Raw_Donors!A234</f>
        <v>D1232</v>
      </c>
      <c r="B234" s="9" t="str">
        <f aca="false">IF(ISNUMBER(SEARCH("-DUP",A234)),"Duplicate ID","")</f>
        <v/>
      </c>
      <c r="C234" s="9" t="n">
        <f aca="false">Raw_Donors!B234</f>
        <v>70537</v>
      </c>
      <c r="D234" s="9" t="n">
        <f aca="false">Raw_Donors!C234</f>
        <v>76</v>
      </c>
      <c r="E234" s="9" t="str">
        <f aca="false">IFERROR(IF(Raw_Donors!D234="","Unknown",Raw_Donors!D234),"Unknown")</f>
        <v>Married</v>
      </c>
      <c r="F234" s="9" t="str">
        <f aca="false">IFERROR(IF(Raw_Donors!E234="","Unknown",Raw_Donors!E234),"Unknown")</f>
        <v>Male</v>
      </c>
      <c r="G234" s="9" t="str">
        <f aca="false">PROPER(TRIM(Raw_Donors!F234))</f>
        <v>Individual Donor</v>
      </c>
      <c r="H234" s="9" t="str">
        <f aca="false">IFERROR(IF(Raw_Donors!G234="","N",Raw_Donors!G234),"N")</f>
        <v>Y</v>
      </c>
      <c r="I234" s="9" t="str">
        <f aca="false">IF(Raw_Donors!H234="","Not Rated",Raw_Donors!H234)</f>
        <v>$250,000-$499,999</v>
      </c>
      <c r="J234" s="9" t="str">
        <f aca="false">IF(TRIM(Raw_Donors!I234)="","Unknown",TRIM(Raw_Donors!I234))</f>
        <v>HOME</v>
      </c>
      <c r="K234" s="9" t="str">
        <f aca="false">Raw_Donors!J234</f>
        <v>N</v>
      </c>
      <c r="L234" s="9" t="n">
        <f aca="false">Raw_Donors!K234</f>
        <v>4</v>
      </c>
      <c r="M234" s="10" t="n">
        <f aca="false">IFERROR(VALUE(SUBSTITUTE(SUBSTITUTE(Raw_Donors!L234,"$",""),",","")),0)</f>
        <v>0</v>
      </c>
      <c r="N234" s="10" t="n">
        <f aca="false">IFERROR(VALUE(SUBSTITUTE(SUBSTITUTE(Raw_Donors!M234,"$",""),",","")),0)</f>
        <v>0</v>
      </c>
      <c r="O234" s="10" t="n">
        <f aca="false">IFERROR(VALUE(SUBSTITUTE(SUBSTITUTE(Raw_Donors!N234,"$",""),",","")),0)</f>
        <v>0</v>
      </c>
      <c r="P234" s="10" t="n">
        <f aca="false">IFERROR(VALUE(SUBSTITUTE(SUBSTITUTE(Raw_Donors!O234,"$",""),",","")),0)</f>
        <v>0</v>
      </c>
      <c r="Q234" s="10" t="n">
        <f aca="false">IFERROR(VALUE(SUBSTITUTE(SUBSTITUTE(Raw_Donors!P234,"$",""),",","")),0)</f>
        <v>0</v>
      </c>
      <c r="R234" s="10" t="n">
        <f aca="false">Raw_Donors!Q234</f>
        <v>40</v>
      </c>
      <c r="S234" s="9" t="str">
        <f aca="false">Raw_Donors!R234</f>
        <v>Y</v>
      </c>
      <c r="T234" s="9" t="str">
        <f aca="false">IF(Raw_Donors!S234="","",Raw_Donors!S234)</f>
        <v>1941-09-10</v>
      </c>
      <c r="U234" s="9" t="str">
        <f aca="false">IF(AND((O234+P234)&gt;0,Q234=0),"Lapsed - Follow Up","")</f>
        <v/>
      </c>
      <c r="V234" s="9" t="n">
        <f aca="false">RANK(R234,$R$2:$R$759)+COUNTIF($R$2:R234,R234)-1</f>
        <v>394</v>
      </c>
      <c r="W234" s="9" t="str">
        <f aca="false">IF(U234="Lapsed - Follow Up",COUNTIF($U$2:U234,"Lapsed - Follow Up"),"")</f>
        <v/>
      </c>
    </row>
    <row r="235" customFormat="false" ht="15" hidden="false" customHeight="true" outlineLevel="0" collapsed="false">
      <c r="A235" s="9" t="str">
        <f aca="false">Raw_Donors!A235</f>
        <v>D1233</v>
      </c>
      <c r="B235" s="9" t="str">
        <f aca="false">IF(ISNUMBER(SEARCH("-DUP",A235)),"Duplicate ID","")</f>
        <v/>
      </c>
      <c r="C235" s="9" t="n">
        <f aca="false">Raw_Donors!B235</f>
        <v>90265</v>
      </c>
      <c r="D235" s="9" t="n">
        <f aca="false">Raw_Donors!C235</f>
        <v>0</v>
      </c>
      <c r="E235" s="9" t="str">
        <f aca="false">IFERROR(IF(Raw_Donors!D235="","Unknown",Raw_Donors!D235),"Unknown")</f>
        <v>Unknown</v>
      </c>
      <c r="F235" s="9" t="str">
        <f aca="false">IFERROR(IF(Raw_Donors!E235="","Unknown",Raw_Donors!E235),"Unknown")</f>
        <v>Male</v>
      </c>
      <c r="G235" s="9" t="str">
        <f aca="false">PROPER(TRIM(Raw_Donors!F235))</f>
        <v>Individual Donor</v>
      </c>
      <c r="H235" s="9" t="str">
        <f aca="false">IFERROR(IF(Raw_Donors!G235="","N",Raw_Donors!G235),"N")</f>
        <v>N</v>
      </c>
      <c r="I235" s="9" t="str">
        <f aca="false">IF(Raw_Donors!H235="","Not Rated",Raw_Donors!H235)</f>
        <v>Not Rated</v>
      </c>
      <c r="J235" s="9" t="str">
        <f aca="false">IF(TRIM(Raw_Donors!I235)="","Unknown",TRIM(Raw_Donors!I235))</f>
        <v>HOME</v>
      </c>
      <c r="K235" s="9" t="str">
        <f aca="false">Raw_Donors!J235</f>
        <v>Y</v>
      </c>
      <c r="L235" s="9" t="n">
        <f aca="false">Raw_Donors!K235</f>
        <v>1</v>
      </c>
      <c r="M235" s="10" t="n">
        <f aca="false">IFERROR(VALUE(SUBSTITUTE(SUBSTITUTE(Raw_Donors!L235,"$",""),",","")),0)</f>
        <v>0</v>
      </c>
      <c r="N235" s="10" t="n">
        <f aca="false">IFERROR(VALUE(SUBSTITUTE(SUBSTITUTE(Raw_Donors!M235,"$",""),",","")),0)</f>
        <v>0</v>
      </c>
      <c r="O235" s="10" t="n">
        <f aca="false">IFERROR(VALUE(SUBSTITUTE(SUBSTITUTE(Raw_Donors!N235,"$",""),",","")),0)</f>
        <v>0</v>
      </c>
      <c r="P235" s="10" t="n">
        <f aca="false">IFERROR(VALUE(SUBSTITUTE(SUBSTITUTE(Raw_Donors!O235,"$",""),",","")),0)</f>
        <v>0</v>
      </c>
      <c r="Q235" s="10" t="n">
        <f aca="false">IFERROR(VALUE(SUBSTITUTE(SUBSTITUTE(Raw_Donors!P235,"$",""),",","")),0)</f>
        <v>0</v>
      </c>
      <c r="R235" s="10" t="n">
        <f aca="false">Raw_Donors!Q235</f>
        <v>0</v>
      </c>
      <c r="S235" s="9" t="str">
        <f aca="false">Raw_Donors!R235</f>
        <v>N</v>
      </c>
      <c r="T235" s="9" t="str">
        <f aca="false">IF(Raw_Donors!S235="","",Raw_Donors!S235)</f>
        <v/>
      </c>
      <c r="U235" s="9" t="str">
        <f aca="false">IF(AND((O235+P235)&gt;0,Q235=0),"Lapsed - Follow Up","")</f>
        <v/>
      </c>
      <c r="V235" s="9" t="n">
        <f aca="false">RANK(R235,$R$2:$R$759)+COUNTIF($R$2:R235,R235)-1</f>
        <v>617</v>
      </c>
      <c r="W235" s="9" t="str">
        <f aca="false">IF(U235="Lapsed - Follow Up",COUNTIF($U$2:U235,"Lapsed - Follow Up"),"")</f>
        <v/>
      </c>
    </row>
    <row r="236" customFormat="false" ht="15" hidden="false" customHeight="true" outlineLevel="0" collapsed="false">
      <c r="A236" s="9" t="str">
        <f aca="false">Raw_Donors!A236</f>
        <v>D1234</v>
      </c>
      <c r="B236" s="9" t="str">
        <f aca="false">IF(ISNUMBER(SEARCH("-DUP",A236)),"Duplicate ID","")</f>
        <v/>
      </c>
      <c r="C236" s="9" t="n">
        <f aca="false">Raw_Donors!B236</f>
        <v>86046</v>
      </c>
      <c r="D236" s="9" t="n">
        <f aca="false">Raw_Donors!C236</f>
        <v>0</v>
      </c>
      <c r="E236" s="9" t="str">
        <f aca="false">IFERROR(IF(Raw_Donors!D236="","Unknown",Raw_Donors!D236),"Unknown")</f>
        <v>Unknown</v>
      </c>
      <c r="F236" s="9" t="str">
        <f aca="false">IFERROR(IF(Raw_Donors!E236="","Unknown",Raw_Donors!E236),"Unknown")</f>
        <v>Female</v>
      </c>
      <c r="G236" s="9" t="str">
        <f aca="false">PROPER(TRIM(Raw_Donors!F236))</f>
        <v>Individual Donor</v>
      </c>
      <c r="H236" s="9" t="str">
        <f aca="false">IFERROR(IF(Raw_Donors!G236="","N",Raw_Donors!G236),"N")</f>
        <v>N</v>
      </c>
      <c r="I236" s="9" t="str">
        <f aca="false">IF(Raw_Donors!H236="","Not Rated",Raw_Donors!H236)</f>
        <v>Not Rated</v>
      </c>
      <c r="J236" s="9" t="str">
        <f aca="false">IF(TRIM(Raw_Donors!I236)="","Unknown",TRIM(Raw_Donors!I236))</f>
        <v>HOME</v>
      </c>
      <c r="K236" s="9" t="str">
        <f aca="false">Raw_Donors!J236</f>
        <v>N</v>
      </c>
      <c r="L236" s="9" t="n">
        <f aca="false">Raw_Donors!K236</f>
        <v>1</v>
      </c>
      <c r="M236" s="10" t="n">
        <f aca="false">IFERROR(VALUE(SUBSTITUTE(SUBSTITUTE(Raw_Donors!L236,"$",""),",","")),0)</f>
        <v>0</v>
      </c>
      <c r="N236" s="10" t="n">
        <f aca="false">IFERROR(VALUE(SUBSTITUTE(SUBSTITUTE(Raw_Donors!M236,"$",""),",","")),0)</f>
        <v>0</v>
      </c>
      <c r="O236" s="10" t="n">
        <f aca="false">IFERROR(VALUE(SUBSTITUTE(SUBSTITUTE(Raw_Donors!N236,"$",""),",","")),0)</f>
        <v>0</v>
      </c>
      <c r="P236" s="10" t="n">
        <f aca="false">IFERROR(VALUE(SUBSTITUTE(SUBSTITUTE(Raw_Donors!O236,"$",""),",","")),0)</f>
        <v>0</v>
      </c>
      <c r="Q236" s="10" t="n">
        <f aca="false">IFERROR(VALUE(SUBSTITUTE(SUBSTITUTE(Raw_Donors!P236,"$",""),",","")),0)</f>
        <v>0</v>
      </c>
      <c r="R236" s="10" t="n">
        <f aca="false">Raw_Donors!Q236</f>
        <v>0</v>
      </c>
      <c r="S236" s="9" t="str">
        <f aca="false">Raw_Donors!R236</f>
        <v>N</v>
      </c>
      <c r="T236" s="9" t="str">
        <f aca="false">IF(Raw_Donors!S236="","",Raw_Donors!S236)</f>
        <v/>
      </c>
      <c r="U236" s="9" t="str">
        <f aca="false">IF(AND((O236+P236)&gt;0,Q236=0),"Lapsed - Follow Up","")</f>
        <v/>
      </c>
      <c r="V236" s="9" t="n">
        <f aca="false">RANK(R236,$R$2:$R$759)+COUNTIF($R$2:R236,R236)-1</f>
        <v>618</v>
      </c>
      <c r="W236" s="9" t="str">
        <f aca="false">IF(U236="Lapsed - Follow Up",COUNTIF($U$2:U236,"Lapsed - Follow Up"),"")</f>
        <v/>
      </c>
    </row>
    <row r="237" customFormat="false" ht="15" hidden="false" customHeight="true" outlineLevel="0" collapsed="false">
      <c r="A237" s="9" t="str">
        <f aca="false">Raw_Donors!A237</f>
        <v>D1235</v>
      </c>
      <c r="B237" s="9" t="str">
        <f aca="false">IF(ISNUMBER(SEARCH("-DUP",A237)),"Duplicate ID","")</f>
        <v/>
      </c>
      <c r="C237" s="9" t="n">
        <f aca="false">Raw_Donors!B237</f>
        <v>96629</v>
      </c>
      <c r="D237" s="9" t="n">
        <f aca="false">Raw_Donors!C237</f>
        <v>35</v>
      </c>
      <c r="E237" s="9" t="str">
        <f aca="false">IFERROR(IF(Raw_Donors!D237="","Unknown",Raw_Donors!D237),"Unknown")</f>
        <v>Unknown</v>
      </c>
      <c r="F237" s="9" t="str">
        <f aca="false">IFERROR(IF(Raw_Donors!E237="","Unknown",Raw_Donors!E237),"Unknown")</f>
        <v>Female</v>
      </c>
      <c r="G237" s="9" t="str">
        <f aca="false">PROPER(TRIM(Raw_Donors!F237))</f>
        <v>Individual Donor</v>
      </c>
      <c r="H237" s="9" t="str">
        <f aca="false">IFERROR(IF(Raw_Donors!G237="","N",Raw_Donors!G237),"N")</f>
        <v>N</v>
      </c>
      <c r="I237" s="9" t="str">
        <f aca="false">IF(Raw_Donors!H237="","Not Rated",Raw_Donors!H237)</f>
        <v>Not Rated</v>
      </c>
      <c r="J237" s="9" t="str">
        <f aca="false">IF(TRIM(Raw_Donors!I237)="","Unknown",TRIM(Raw_Donors!I237))</f>
        <v>HOME</v>
      </c>
      <c r="K237" s="9" t="str">
        <f aca="false">Raw_Donors!J237</f>
        <v>N</v>
      </c>
      <c r="L237" s="9" t="n">
        <f aca="false">Raw_Donors!K237</f>
        <v>0</v>
      </c>
      <c r="M237" s="10" t="n">
        <f aca="false">IFERROR(VALUE(SUBSTITUTE(SUBSTITUTE(Raw_Donors!L237,"$",""),",","")),0)</f>
        <v>0</v>
      </c>
      <c r="N237" s="10" t="n">
        <f aca="false">IFERROR(VALUE(SUBSTITUTE(SUBSTITUTE(Raw_Donors!M237,"$",""),",","")),0)</f>
        <v>0</v>
      </c>
      <c r="O237" s="10" t="n">
        <f aca="false">IFERROR(VALUE(SUBSTITUTE(SUBSTITUTE(Raw_Donors!N237,"$",""),",","")),0)</f>
        <v>0</v>
      </c>
      <c r="P237" s="10" t="n">
        <f aca="false">IFERROR(VALUE(SUBSTITUTE(SUBSTITUTE(Raw_Donors!O237,"$",""),",","")),0)</f>
        <v>0</v>
      </c>
      <c r="Q237" s="10" t="n">
        <f aca="false">IFERROR(VALUE(SUBSTITUTE(SUBSTITUTE(Raw_Donors!P237,"$",""),",","")),0)</f>
        <v>0</v>
      </c>
      <c r="R237" s="10" t="n">
        <f aca="false">Raw_Donors!Q237</f>
        <v>5</v>
      </c>
      <c r="S237" s="9" t="str">
        <f aca="false">Raw_Donors!R237</f>
        <v>Y</v>
      </c>
      <c r="T237" s="9" t="str">
        <f aca="false">IF(Raw_Donors!S237="","",Raw_Donors!S237)</f>
        <v>1982-03-19</v>
      </c>
      <c r="U237" s="9" t="str">
        <f aca="false">IF(AND((O237+P237)&gt;0,Q237=0),"Lapsed - Follow Up","")</f>
        <v/>
      </c>
      <c r="V237" s="9" t="n">
        <f aca="false">RANK(R237,$R$2:$R$759)+COUNTIF($R$2:R237,R237)-1</f>
        <v>516</v>
      </c>
      <c r="W237" s="9" t="str">
        <f aca="false">IF(U237="Lapsed - Follow Up",COUNTIF($U$2:U237,"Lapsed - Follow Up"),"")</f>
        <v/>
      </c>
    </row>
    <row r="238" customFormat="false" ht="15" hidden="false" customHeight="true" outlineLevel="0" collapsed="false">
      <c r="A238" s="9" t="str">
        <f aca="false">Raw_Donors!A238</f>
        <v>D1236</v>
      </c>
      <c r="B238" s="9" t="str">
        <f aca="false">IF(ISNUMBER(SEARCH("-DUP",A238)),"Duplicate ID","")</f>
        <v/>
      </c>
      <c r="C238" s="9" t="n">
        <f aca="false">Raw_Donors!B238</f>
        <v>27110</v>
      </c>
      <c r="D238" s="9" t="n">
        <f aca="false">Raw_Donors!C238</f>
        <v>80</v>
      </c>
      <c r="E238" s="9" t="str">
        <f aca="false">IFERROR(IF(Raw_Donors!D238="","Unknown",Raw_Donors!D238),"Unknown")</f>
        <v>Married</v>
      </c>
      <c r="F238" s="9" t="str">
        <f aca="false">IFERROR(IF(Raw_Donors!E238="","Unknown",Raw_Donors!E238),"Unknown")</f>
        <v>Female</v>
      </c>
      <c r="G238" s="9" t="str">
        <f aca="false">PROPER(TRIM(Raw_Donors!F238))</f>
        <v>Community Partner</v>
      </c>
      <c r="H238" s="9" t="str">
        <f aca="false">IFERROR(IF(Raw_Donors!G238="","N",Raw_Donors!G238),"N")</f>
        <v>Y</v>
      </c>
      <c r="I238" s="9" t="str">
        <f aca="false">IF(Raw_Donors!H238="","Not Rated",Raw_Donors!H238)</f>
        <v>Not Rated</v>
      </c>
      <c r="J238" s="9" t="str">
        <f aca="false">IF(TRIM(Raw_Donors!I238)="","Unknown",TRIM(Raw_Donors!I238))</f>
        <v>BUSN</v>
      </c>
      <c r="K238" s="9" t="str">
        <f aca="false">Raw_Donors!J238</f>
        <v>N</v>
      </c>
      <c r="L238" s="9" t="n">
        <f aca="false">Raw_Donors!K238</f>
        <v>13</v>
      </c>
      <c r="M238" s="10" t="n">
        <f aca="false">IFERROR(VALUE(SUBSTITUTE(SUBSTITUTE(Raw_Donors!L238,"$",""),",","")),0)</f>
        <v>0</v>
      </c>
      <c r="N238" s="10" t="n">
        <f aca="false">IFERROR(VALUE(SUBSTITUTE(SUBSTITUTE(Raw_Donors!M238,"$",""),",","")),0)</f>
        <v>0</v>
      </c>
      <c r="O238" s="10" t="n">
        <f aca="false">IFERROR(VALUE(SUBSTITUTE(SUBSTITUTE(Raw_Donors!N238,"$",""),",","")),0)</f>
        <v>0</v>
      </c>
      <c r="P238" s="10" t="n">
        <f aca="false">IFERROR(VALUE(SUBSTITUTE(SUBSTITUTE(Raw_Donors!O238,"$",""),",","")),0)</f>
        <v>0</v>
      </c>
      <c r="Q238" s="10" t="n">
        <f aca="false">IFERROR(VALUE(SUBSTITUTE(SUBSTITUTE(Raw_Donors!P238,"$",""),",","")),0)</f>
        <v>0</v>
      </c>
      <c r="R238" s="10" t="n">
        <f aca="false">Raw_Donors!Q238</f>
        <v>4270</v>
      </c>
      <c r="S238" s="9" t="str">
        <f aca="false">Raw_Donors!R238</f>
        <v>Y</v>
      </c>
      <c r="T238" s="9" t="str">
        <f aca="false">IF(Raw_Donors!S238="","",Raw_Donors!S238)</f>
        <v>1937-03-15</v>
      </c>
      <c r="U238" s="9" t="str">
        <f aca="false">IF(AND((O238+P238)&gt;0,Q238=0),"Lapsed - Follow Up","")</f>
        <v/>
      </c>
      <c r="V238" s="9" t="n">
        <f aca="false">RANK(R238,$R$2:$R$759)+COUNTIF($R$2:R238,R238)-1</f>
        <v>15</v>
      </c>
      <c r="W238" s="9" t="str">
        <f aca="false">IF(U238="Lapsed - Follow Up",COUNTIF($U$2:U238,"Lapsed - Follow Up"),"")</f>
        <v/>
      </c>
    </row>
    <row r="239" customFormat="false" ht="15" hidden="false" customHeight="true" outlineLevel="0" collapsed="false">
      <c r="A239" s="9" t="str">
        <f aca="false">Raw_Donors!A239</f>
        <v>D1237</v>
      </c>
      <c r="B239" s="9" t="str">
        <f aca="false">IF(ISNUMBER(SEARCH("-DUP",A239)),"Duplicate ID","")</f>
        <v/>
      </c>
      <c r="C239" s="9" t="n">
        <f aca="false">Raw_Donors!B239</f>
        <v>44864</v>
      </c>
      <c r="D239" s="9" t="n">
        <f aca="false">Raw_Donors!C239</f>
        <v>27</v>
      </c>
      <c r="E239" s="9" t="str">
        <f aca="false">IFERROR(IF(Raw_Donors!D239="","Unknown",Raw_Donors!D239),"Unknown")</f>
        <v>Unknown</v>
      </c>
      <c r="F239" s="9" t="str">
        <f aca="false">IFERROR(IF(Raw_Donors!E239="","Unknown",Raw_Donors!E239),"Unknown")</f>
        <v>Male</v>
      </c>
      <c r="G239" s="9" t="str">
        <f aca="false">PROPER(TRIM(Raw_Donors!F239))</f>
        <v>Community Partner</v>
      </c>
      <c r="H239" s="9" t="str">
        <f aca="false">IFERROR(IF(Raw_Donors!G239="","N",Raw_Donors!G239),"N")</f>
        <v>Y</v>
      </c>
      <c r="I239" s="9" t="str">
        <f aca="false">IF(Raw_Donors!H239="","Not Rated",Raw_Donors!H239)</f>
        <v>Not Rated</v>
      </c>
      <c r="J239" s="9" t="str">
        <f aca="false">IF(TRIM(Raw_Donors!I239)="","Unknown",TRIM(Raw_Donors!I239))</f>
        <v>HOME</v>
      </c>
      <c r="K239" s="9" t="str">
        <f aca="false">Raw_Donors!J239</f>
        <v>Y</v>
      </c>
      <c r="L239" s="9" t="n">
        <f aca="false">Raw_Donors!K239</f>
        <v>0</v>
      </c>
      <c r="M239" s="10" t="n">
        <f aca="false">IFERROR(VALUE(SUBSTITUTE(SUBSTITUTE(Raw_Donors!L239,"$",""),",","")),0)</f>
        <v>0</v>
      </c>
      <c r="N239" s="10" t="n">
        <f aca="false">IFERROR(VALUE(SUBSTITUTE(SUBSTITUTE(Raw_Donors!M239,"$",""),",","")),0)</f>
        <v>0</v>
      </c>
      <c r="O239" s="10" t="n">
        <f aca="false">IFERROR(VALUE(SUBSTITUTE(SUBSTITUTE(Raw_Donors!N239,"$",""),",","")),0)</f>
        <v>0</v>
      </c>
      <c r="P239" s="10" t="n">
        <f aca="false">IFERROR(VALUE(SUBSTITUTE(SUBSTITUTE(Raw_Donors!O239,"$",""),",","")),0)</f>
        <v>0</v>
      </c>
      <c r="Q239" s="10" t="n">
        <f aca="false">IFERROR(VALUE(SUBSTITUTE(SUBSTITUTE(Raw_Donors!P239,"$",""),",","")),0)</f>
        <v>0</v>
      </c>
      <c r="R239" s="10" t="n">
        <f aca="false">Raw_Donors!Q239</f>
        <v>25</v>
      </c>
      <c r="S239" s="9" t="str">
        <f aca="false">Raw_Donors!R239</f>
        <v>Y</v>
      </c>
      <c r="T239" s="9" t="str">
        <f aca="false">IF(Raw_Donors!S239="","",Raw_Donors!S239)</f>
        <v>1990-09-10</v>
      </c>
      <c r="U239" s="9" t="str">
        <f aca="false">IF(AND((O239+P239)&gt;0,Q239=0),"Lapsed - Follow Up","")</f>
        <v/>
      </c>
      <c r="V239" s="9" t="n">
        <f aca="false">RANK(R239,$R$2:$R$759)+COUNTIF($R$2:R239,R239)-1</f>
        <v>438</v>
      </c>
      <c r="W239" s="9" t="str">
        <f aca="false">IF(U239="Lapsed - Follow Up",COUNTIF($U$2:U239,"Lapsed - Follow Up"),"")</f>
        <v/>
      </c>
    </row>
    <row r="240" customFormat="false" ht="15" hidden="false" customHeight="true" outlineLevel="0" collapsed="false">
      <c r="A240" s="9" t="str">
        <f aca="false">Raw_Donors!A240</f>
        <v>D1238</v>
      </c>
      <c r="B240" s="9" t="str">
        <f aca="false">IF(ISNUMBER(SEARCH("-DUP",A240)),"Duplicate ID","")</f>
        <v/>
      </c>
      <c r="C240" s="9" t="n">
        <f aca="false">Raw_Donors!B240</f>
        <v>19059</v>
      </c>
      <c r="D240" s="9" t="n">
        <f aca="false">Raw_Donors!C240</f>
        <v>0</v>
      </c>
      <c r="E240" s="9" t="str">
        <f aca="false">IFERROR(IF(Raw_Donors!D240="","Unknown",Raw_Donors!D240),"Unknown")</f>
        <v>Single</v>
      </c>
      <c r="F240" s="9" t="str">
        <f aca="false">IFERROR(IF(Raw_Donors!E240="","Unknown",Raw_Donors!E240),"Unknown")</f>
        <v>Female</v>
      </c>
      <c r="G240" s="9" t="str">
        <f aca="false">PROPER(TRIM(Raw_Donors!F240))</f>
        <v>Individual Donor</v>
      </c>
      <c r="H240" s="9" t="str">
        <f aca="false">IFERROR(IF(Raw_Donors!G240="","N",Raw_Donors!G240),"N")</f>
        <v>Y</v>
      </c>
      <c r="I240" s="9" t="str">
        <f aca="false">IF(Raw_Donors!H240="","Not Rated",Raw_Donors!H240)</f>
        <v>Not Rated</v>
      </c>
      <c r="J240" s="9" t="str">
        <f aca="false">IF(TRIM(Raw_Donors!I240)="","Unknown",TRIM(Raw_Donors!I240))</f>
        <v>BUSN</v>
      </c>
      <c r="K240" s="9" t="str">
        <f aca="false">Raw_Donors!J240</f>
        <v>N</v>
      </c>
      <c r="L240" s="9" t="n">
        <f aca="false">Raw_Donors!K240</f>
        <v>0</v>
      </c>
      <c r="M240" s="10" t="n">
        <f aca="false">IFERROR(VALUE(SUBSTITUTE(SUBSTITUTE(Raw_Donors!L240,"$",""),",","")),0)</f>
        <v>0</v>
      </c>
      <c r="N240" s="10" t="n">
        <f aca="false">IFERROR(VALUE(SUBSTITUTE(SUBSTITUTE(Raw_Donors!M240,"$",""),",","")),0)</f>
        <v>1</v>
      </c>
      <c r="O240" s="10" t="n">
        <f aca="false">IFERROR(VALUE(SUBSTITUTE(SUBSTITUTE(Raw_Donors!N240,"$",""),",","")),0)</f>
        <v>0</v>
      </c>
      <c r="P240" s="10" t="n">
        <f aca="false">IFERROR(VALUE(SUBSTITUTE(SUBSTITUTE(Raw_Donors!O240,"$",""),",","")),0)</f>
        <v>0</v>
      </c>
      <c r="Q240" s="10" t="n">
        <f aca="false">IFERROR(VALUE(SUBSTITUTE(SUBSTITUTE(Raw_Donors!P240,"$",""),",","")),0)</f>
        <v>0</v>
      </c>
      <c r="R240" s="10" t="n">
        <f aca="false">Raw_Donors!Q240</f>
        <v>45</v>
      </c>
      <c r="S240" s="9" t="str">
        <f aca="false">Raw_Donors!R240</f>
        <v>Y</v>
      </c>
      <c r="T240" s="9" t="str">
        <f aca="false">IF(Raw_Donors!S240="","",Raw_Donors!S240)</f>
        <v/>
      </c>
      <c r="U240" s="9" t="str">
        <f aca="false">IF(AND((O240+P240)&gt;0,Q240=0),"Lapsed - Follow Up","")</f>
        <v/>
      </c>
      <c r="V240" s="9" t="n">
        <f aca="false">RANK(R240,$R$2:$R$759)+COUNTIF($R$2:R240,R240)-1</f>
        <v>388</v>
      </c>
      <c r="W240" s="9" t="str">
        <f aca="false">IF(U240="Lapsed - Follow Up",COUNTIF($U$2:U240,"Lapsed - Follow Up"),"")</f>
        <v/>
      </c>
    </row>
    <row r="241" customFormat="false" ht="15" hidden="false" customHeight="true" outlineLevel="0" collapsed="false">
      <c r="A241" s="9" t="str">
        <f aca="false">Raw_Donors!A241</f>
        <v>D1239</v>
      </c>
      <c r="B241" s="9" t="str">
        <f aca="false">IF(ISNUMBER(SEARCH("-DUP",A241)),"Duplicate ID","")</f>
        <v/>
      </c>
      <c r="C241" s="9" t="n">
        <f aca="false">Raw_Donors!B241</f>
        <v>96805</v>
      </c>
      <c r="D241" s="9" t="n">
        <f aca="false">Raw_Donors!C241</f>
        <v>61</v>
      </c>
      <c r="E241" s="9" t="str">
        <f aca="false">IFERROR(IF(Raw_Donors!D241="","Unknown",Raw_Donors!D241),"Unknown")</f>
        <v>Unknown</v>
      </c>
      <c r="F241" s="9" t="str">
        <f aca="false">IFERROR(IF(Raw_Donors!E241="","Unknown",Raw_Donors!E241),"Unknown")</f>
        <v>Female</v>
      </c>
      <c r="G241" s="9" t="str">
        <f aca="false">PROPER(TRIM(Raw_Donors!F241))</f>
        <v>Individual Donor</v>
      </c>
      <c r="H241" s="9" t="str">
        <f aca="false">IFERROR(IF(Raw_Donors!G241="","N",Raw_Donors!G241),"N")</f>
        <v>N</v>
      </c>
      <c r="I241" s="9" t="str">
        <f aca="false">IF(Raw_Donors!H241="","Not Rated",Raw_Donors!H241)</f>
        <v>Not Rated</v>
      </c>
      <c r="J241" s="9" t="str">
        <f aca="false">IF(TRIM(Raw_Donors!I241)="","Unknown",TRIM(Raw_Donors!I241))</f>
        <v>HOME</v>
      </c>
      <c r="K241" s="9" t="str">
        <f aca="false">Raw_Donors!J241</f>
        <v>N</v>
      </c>
      <c r="L241" s="9" t="n">
        <f aca="false">Raw_Donors!K241</f>
        <v>0</v>
      </c>
      <c r="M241" s="10" t="n">
        <f aca="false">IFERROR(VALUE(SUBSTITUTE(SUBSTITUTE(Raw_Donors!L241,"$",""),",","")),0)</f>
        <v>0</v>
      </c>
      <c r="N241" s="10" t="n">
        <f aca="false">IFERROR(VALUE(SUBSTITUTE(SUBSTITUTE(Raw_Donors!M241,"$",""),",","")),0)</f>
        <v>0</v>
      </c>
      <c r="O241" s="10" t="n">
        <f aca="false">IFERROR(VALUE(SUBSTITUTE(SUBSTITUTE(Raw_Donors!N241,"$",""),",","")),0)</f>
        <v>0</v>
      </c>
      <c r="P241" s="10" t="n">
        <f aca="false">IFERROR(VALUE(SUBSTITUTE(SUBSTITUTE(Raw_Donors!O241,"$",""),",","")),0)</f>
        <v>0</v>
      </c>
      <c r="Q241" s="10" t="n">
        <f aca="false">IFERROR(VALUE(SUBSTITUTE(SUBSTITUTE(Raw_Donors!P241,"$",""),",","")),0)</f>
        <v>0</v>
      </c>
      <c r="R241" s="10" t="n">
        <f aca="false">Raw_Donors!Q241</f>
        <v>50</v>
      </c>
      <c r="S241" s="9" t="str">
        <f aca="false">Raw_Donors!R241</f>
        <v>Y</v>
      </c>
      <c r="T241" s="9" t="str">
        <f aca="false">IF(Raw_Donors!S241="","",Raw_Donors!S241)</f>
        <v>1956-08-09</v>
      </c>
      <c r="U241" s="9" t="str">
        <f aca="false">IF(AND((O241+P241)&gt;0,Q241=0),"Lapsed - Follow Up","")</f>
        <v/>
      </c>
      <c r="V241" s="9" t="n">
        <f aca="false">RANK(R241,$R$2:$R$759)+COUNTIF($R$2:R241,R241)-1</f>
        <v>369</v>
      </c>
      <c r="W241" s="9" t="str">
        <f aca="false">IF(U241="Lapsed - Follow Up",COUNTIF($U$2:U241,"Lapsed - Follow Up"),"")</f>
        <v/>
      </c>
    </row>
    <row r="242" customFormat="false" ht="15" hidden="false" customHeight="true" outlineLevel="0" collapsed="false">
      <c r="A242" s="9" t="str">
        <f aca="false">Raw_Donors!A242</f>
        <v>D1240</v>
      </c>
      <c r="B242" s="9" t="str">
        <f aca="false">IF(ISNUMBER(SEARCH("-DUP",A242)),"Duplicate ID","")</f>
        <v/>
      </c>
      <c r="C242" s="9" t="n">
        <f aca="false">Raw_Donors!B242</f>
        <v>68022</v>
      </c>
      <c r="D242" s="9" t="n">
        <f aca="false">Raw_Donors!C242</f>
        <v>84</v>
      </c>
      <c r="E242" s="9" t="str">
        <f aca="false">IFERROR(IF(Raw_Donors!D242="","Unknown",Raw_Donors!D242),"Unknown")</f>
        <v>Widowed</v>
      </c>
      <c r="F242" s="9" t="str">
        <f aca="false">IFERROR(IF(Raw_Donors!E242="","Unknown",Raw_Donors!E242),"Unknown")</f>
        <v>Female</v>
      </c>
      <c r="G242" s="9" t="str">
        <f aca="false">PROPER(TRIM(Raw_Donors!F242))</f>
        <v>Individual Donor</v>
      </c>
      <c r="H242" s="9" t="str">
        <f aca="false">IFERROR(IF(Raw_Donors!G242="","N",Raw_Donors!G242),"N")</f>
        <v>Y</v>
      </c>
      <c r="I242" s="9" t="str">
        <f aca="false">IF(Raw_Donors!H242="","Not Rated",Raw_Donors!H242)</f>
        <v>Not Rated</v>
      </c>
      <c r="J242" s="9" t="str">
        <f aca="false">IF(TRIM(Raw_Donors!I242)="","Unknown",TRIM(Raw_Donors!I242))</f>
        <v>HOME</v>
      </c>
      <c r="K242" s="9" t="str">
        <f aca="false">Raw_Donors!J242</f>
        <v>N</v>
      </c>
      <c r="L242" s="9" t="n">
        <f aca="false">Raw_Donors!K242</f>
        <v>2</v>
      </c>
      <c r="M242" s="10" t="n">
        <f aca="false">IFERROR(VALUE(SUBSTITUTE(SUBSTITUTE(Raw_Donors!L242,"$",""),",","")),0)</f>
        <v>0</v>
      </c>
      <c r="N242" s="10" t="n">
        <f aca="false">IFERROR(VALUE(SUBSTITUTE(SUBSTITUTE(Raw_Donors!M242,"$",""),",","")),0)</f>
        <v>15</v>
      </c>
      <c r="O242" s="10" t="n">
        <f aca="false">IFERROR(VALUE(SUBSTITUTE(SUBSTITUTE(Raw_Donors!N242,"$",""),",","")),0)</f>
        <v>1</v>
      </c>
      <c r="P242" s="10" t="n">
        <f aca="false">IFERROR(VALUE(SUBSTITUTE(SUBSTITUTE(Raw_Donors!O242,"$",""),",","")),0)</f>
        <v>0</v>
      </c>
      <c r="Q242" s="10" t="n">
        <f aca="false">IFERROR(VALUE(SUBSTITUTE(SUBSTITUTE(Raw_Donors!P242,"$",""),",","")),0)</f>
        <v>0</v>
      </c>
      <c r="R242" s="10" t="n">
        <f aca="false">Raw_Donors!Q242</f>
        <v>250</v>
      </c>
      <c r="S242" s="9" t="str">
        <f aca="false">Raw_Donors!R242</f>
        <v>Y</v>
      </c>
      <c r="T242" s="9" t="str">
        <f aca="false">IF(Raw_Donors!S242="","",Raw_Donors!S242)</f>
        <v>1933-03-08</v>
      </c>
      <c r="U242" s="9" t="str">
        <f aca="false">IF(AND((O242+P242)&gt;0,Q242=0),"Lapsed - Follow Up","")</f>
        <v>Lapsed - Follow Up</v>
      </c>
      <c r="V242" s="9" t="n">
        <f aca="false">RANK(R242,$R$2:$R$759)+COUNTIF($R$2:R242,R242)-1</f>
        <v>167</v>
      </c>
      <c r="W242" s="9" t="n">
        <f aca="false">IF(U242="Lapsed - Follow Up",COUNTIF($U$2:U242,"Lapsed - Follow Up"),"")</f>
        <v>39</v>
      </c>
    </row>
    <row r="243" customFormat="false" ht="15" hidden="false" customHeight="true" outlineLevel="0" collapsed="false">
      <c r="A243" s="9" t="str">
        <f aca="false">Raw_Donors!A243</f>
        <v>D1241</v>
      </c>
      <c r="B243" s="9" t="str">
        <f aca="false">IF(ISNUMBER(SEARCH("-DUP",A243)),"Duplicate ID","")</f>
        <v/>
      </c>
      <c r="C243" s="9" t="n">
        <f aca="false">Raw_Donors!B243</f>
        <v>6373</v>
      </c>
      <c r="D243" s="9" t="n">
        <f aca="false">Raw_Donors!C243</f>
        <v>0</v>
      </c>
      <c r="E243" s="9" t="str">
        <f aca="false">IFERROR(IF(Raw_Donors!D243="","Unknown",Raw_Donors!D243),"Unknown")</f>
        <v>Unknown</v>
      </c>
      <c r="F243" s="9" t="str">
        <f aca="false">IFERROR(IF(Raw_Donors!E243="","Unknown",Raw_Donors!E243),"Unknown")</f>
        <v>Female</v>
      </c>
      <c r="G243" s="9" t="str">
        <f aca="false">PROPER(TRIM(Raw_Donors!F243))</f>
        <v>Individual Donor</v>
      </c>
      <c r="H243" s="9" t="str">
        <f aca="false">IFERROR(IF(Raw_Donors!G243="","N",Raw_Donors!G243),"N")</f>
        <v>N</v>
      </c>
      <c r="I243" s="9" t="str">
        <f aca="false">IF(Raw_Donors!H243="","Not Rated",Raw_Donors!H243)</f>
        <v>Not Rated</v>
      </c>
      <c r="J243" s="9" t="str">
        <f aca="false">IF(TRIM(Raw_Donors!I243)="","Unknown",TRIM(Raw_Donors!I243))</f>
        <v>HOME</v>
      </c>
      <c r="K243" s="9" t="str">
        <f aca="false">Raw_Donors!J243</f>
        <v>N</v>
      </c>
      <c r="L243" s="9" t="n">
        <f aca="false">Raw_Donors!K243</f>
        <v>8</v>
      </c>
      <c r="M243" s="10" t="n">
        <f aca="false">IFERROR(VALUE(SUBSTITUTE(SUBSTITUTE(Raw_Donors!L243,"$",""),",","")),0)</f>
        <v>0</v>
      </c>
      <c r="N243" s="10" t="n">
        <f aca="false">IFERROR(VALUE(SUBSTITUTE(SUBSTITUTE(Raw_Donors!M243,"$",""),",","")),0)</f>
        <v>0</v>
      </c>
      <c r="O243" s="10" t="n">
        <f aca="false">IFERROR(VALUE(SUBSTITUTE(SUBSTITUTE(Raw_Donors!N243,"$",""),",","")),0)</f>
        <v>0</v>
      </c>
      <c r="P243" s="10" t="n">
        <f aca="false">IFERROR(VALUE(SUBSTITUTE(SUBSTITUTE(Raw_Donors!O243,"$",""),",","")),0)</f>
        <v>0</v>
      </c>
      <c r="Q243" s="10" t="n">
        <f aca="false">IFERROR(VALUE(SUBSTITUTE(SUBSTITUTE(Raw_Donors!P243,"$",""),",","")),0)</f>
        <v>0</v>
      </c>
      <c r="R243" s="10" t="n">
        <f aca="false">Raw_Donors!Q243</f>
        <v>664</v>
      </c>
      <c r="S243" s="9" t="str">
        <f aca="false">Raw_Donors!R243</f>
        <v>Y</v>
      </c>
      <c r="T243" s="9" t="str">
        <f aca="false">IF(Raw_Donors!S243="","",Raw_Donors!S243)</f>
        <v/>
      </c>
      <c r="U243" s="9" t="str">
        <f aca="false">IF(AND((O243+P243)&gt;0,Q243=0),"Lapsed - Follow Up","")</f>
        <v/>
      </c>
      <c r="V243" s="9" t="n">
        <f aca="false">RANK(R243,$R$2:$R$759)+COUNTIF($R$2:R243,R243)-1</f>
        <v>74</v>
      </c>
      <c r="W243" s="9" t="str">
        <f aca="false">IF(U243="Lapsed - Follow Up",COUNTIF($U$2:U243,"Lapsed - Follow Up"),"")</f>
        <v/>
      </c>
    </row>
    <row r="244" customFormat="false" ht="15" hidden="false" customHeight="true" outlineLevel="0" collapsed="false">
      <c r="A244" s="9" t="str">
        <f aca="false">Raw_Donors!A244</f>
        <v>D1242</v>
      </c>
      <c r="B244" s="9" t="str">
        <f aca="false">IF(ISNUMBER(SEARCH("-DUP",A244)),"Duplicate ID","")</f>
        <v/>
      </c>
      <c r="C244" s="9" t="n">
        <f aca="false">Raw_Donors!B244</f>
        <v>68181</v>
      </c>
      <c r="D244" s="9" t="n">
        <f aca="false">Raw_Donors!C244</f>
        <v>0</v>
      </c>
      <c r="E244" s="9" t="str">
        <f aca="false">IFERROR(IF(Raw_Donors!D244="","Unknown",Raw_Donors!D244),"Unknown")</f>
        <v>Unknown</v>
      </c>
      <c r="F244" s="9" t="str">
        <f aca="false">IFERROR(IF(Raw_Donors!E244="","Unknown",Raw_Donors!E244),"Unknown")</f>
        <v>Female</v>
      </c>
      <c r="G244" s="9" t="str">
        <f aca="false">PROPER(TRIM(Raw_Donors!F244))</f>
        <v>Community Partner</v>
      </c>
      <c r="H244" s="9" t="str">
        <f aca="false">IFERROR(IF(Raw_Donors!G244="","N",Raw_Donors!G244),"N")</f>
        <v>N</v>
      </c>
      <c r="I244" s="9" t="str">
        <f aca="false">IF(Raw_Donors!H244="","Not Rated",Raw_Donors!H244)</f>
        <v>Not Rated</v>
      </c>
      <c r="J244" s="9" t="str">
        <f aca="false">IF(TRIM(Raw_Donors!I244)="","Unknown",TRIM(Raw_Donors!I244))</f>
        <v>HOME</v>
      </c>
      <c r="K244" s="9" t="str">
        <f aca="false">Raw_Donors!J244</f>
        <v>N</v>
      </c>
      <c r="L244" s="9" t="n">
        <f aca="false">Raw_Donors!K244</f>
        <v>5</v>
      </c>
      <c r="M244" s="10" t="n">
        <f aca="false">IFERROR(VALUE(SUBSTITUTE(SUBSTITUTE(Raw_Donors!L244,"$",""),",","")),0)</f>
        <v>96</v>
      </c>
      <c r="N244" s="10" t="n">
        <f aca="false">IFERROR(VALUE(SUBSTITUTE(SUBSTITUTE(Raw_Donors!M244,"$",""),",","")),0)</f>
        <v>0</v>
      </c>
      <c r="O244" s="10" t="n">
        <f aca="false">IFERROR(VALUE(SUBSTITUTE(SUBSTITUTE(Raw_Donors!N244,"$",""),",","")),0)</f>
        <v>0</v>
      </c>
      <c r="P244" s="10" t="n">
        <f aca="false">IFERROR(VALUE(SUBSTITUTE(SUBSTITUTE(Raw_Donors!O244,"$",""),",","")),0)</f>
        <v>0</v>
      </c>
      <c r="Q244" s="10" t="n">
        <f aca="false">IFERROR(VALUE(SUBSTITUTE(SUBSTITUTE(Raw_Donors!P244,"$",""),",","")),0)</f>
        <v>0</v>
      </c>
      <c r="R244" s="10" t="n">
        <f aca="false">Raw_Donors!Q244</f>
        <v>96</v>
      </c>
      <c r="S244" s="9" t="str">
        <f aca="false">Raw_Donors!R244</f>
        <v>Y</v>
      </c>
      <c r="T244" s="9" t="str">
        <f aca="false">IF(Raw_Donors!S244="","",Raw_Donors!S244)</f>
        <v/>
      </c>
      <c r="U244" s="9" t="str">
        <f aca="false">IF(AND((O244+P244)&gt;0,Q244=0),"Lapsed - Follow Up","")</f>
        <v/>
      </c>
      <c r="V244" s="9" t="n">
        <f aca="false">RANK(R244,$R$2:$R$759)+COUNTIF($R$2:R244,R244)-1</f>
        <v>310</v>
      </c>
      <c r="W244" s="9" t="str">
        <f aca="false">IF(U244="Lapsed - Follow Up",COUNTIF($U$2:U244,"Lapsed - Follow Up"),"")</f>
        <v/>
      </c>
    </row>
    <row r="245" customFormat="false" ht="15" hidden="false" customHeight="true" outlineLevel="0" collapsed="false">
      <c r="A245" s="9" t="str">
        <f aca="false">Raw_Donors!A245</f>
        <v>D1243</v>
      </c>
      <c r="B245" s="9" t="str">
        <f aca="false">IF(ISNUMBER(SEARCH("-DUP",A245)),"Duplicate ID","")</f>
        <v/>
      </c>
      <c r="C245" s="9" t="n">
        <f aca="false">Raw_Donors!B245</f>
        <v>44114</v>
      </c>
      <c r="D245" s="9" t="n">
        <f aca="false">Raw_Donors!C245</f>
        <v>70</v>
      </c>
      <c r="E245" s="9" t="str">
        <f aca="false">IFERROR(IF(Raw_Donors!D245="","Unknown",Raw_Donors!D245),"Unknown")</f>
        <v>Unknown</v>
      </c>
      <c r="F245" s="9" t="str">
        <f aca="false">IFERROR(IF(Raw_Donors!E245="","Unknown",Raw_Donors!E245),"Unknown")</f>
        <v>Female</v>
      </c>
      <c r="G245" s="9" t="str">
        <f aca="false">PROPER(TRIM(Raw_Donors!F245))</f>
        <v>Individual Donor</v>
      </c>
      <c r="H245" s="9" t="str">
        <f aca="false">IFERROR(IF(Raw_Donors!G245="","N",Raw_Donors!G245),"N")</f>
        <v>N</v>
      </c>
      <c r="I245" s="9" t="str">
        <f aca="false">IF(Raw_Donors!H245="","Not Rated",Raw_Donors!H245)</f>
        <v>Not Rated</v>
      </c>
      <c r="J245" s="9" t="str">
        <f aca="false">IF(TRIM(Raw_Donors!I245)="","Unknown",TRIM(Raw_Donors!I245))</f>
        <v>HOME</v>
      </c>
      <c r="K245" s="9" t="str">
        <f aca="false">Raw_Donors!J245</f>
        <v>Y</v>
      </c>
      <c r="L245" s="9" t="n">
        <f aca="false">Raw_Donors!K245</f>
        <v>0</v>
      </c>
      <c r="M245" s="10" t="n">
        <f aca="false">IFERROR(VALUE(SUBSTITUTE(SUBSTITUTE(Raw_Donors!L245,"$",""),",","")),0)</f>
        <v>0</v>
      </c>
      <c r="N245" s="10" t="n">
        <f aca="false">IFERROR(VALUE(SUBSTITUTE(SUBSTITUTE(Raw_Donors!M245,"$",""),",","")),0)</f>
        <v>0</v>
      </c>
      <c r="O245" s="10" t="n">
        <f aca="false">IFERROR(VALUE(SUBSTITUTE(SUBSTITUTE(Raw_Donors!N245,"$",""),",","")),0)</f>
        <v>0</v>
      </c>
      <c r="P245" s="10" t="n">
        <f aca="false">IFERROR(VALUE(SUBSTITUTE(SUBSTITUTE(Raw_Donors!O245,"$",""),",","")),0)</f>
        <v>0</v>
      </c>
      <c r="Q245" s="10" t="n">
        <f aca="false">IFERROR(VALUE(SUBSTITUTE(SUBSTITUTE(Raw_Donors!P245,"$",""),",","")),0)</f>
        <v>0</v>
      </c>
      <c r="R245" s="10" t="n">
        <f aca="false">Raw_Donors!Q245</f>
        <v>75</v>
      </c>
      <c r="S245" s="9" t="str">
        <f aca="false">Raw_Donors!R245</f>
        <v>Y</v>
      </c>
      <c r="T245" s="9" t="str">
        <f aca="false">IF(Raw_Donors!S245="","",Raw_Donors!S245)</f>
        <v>1947-09-13</v>
      </c>
      <c r="U245" s="9" t="str">
        <f aca="false">IF(AND((O245+P245)&gt;0,Q245=0),"Lapsed - Follow Up","")</f>
        <v/>
      </c>
      <c r="V245" s="9" t="n">
        <f aca="false">RANK(R245,$R$2:$R$759)+COUNTIF($R$2:R245,R245)-1</f>
        <v>330</v>
      </c>
      <c r="W245" s="9" t="str">
        <f aca="false">IF(U245="Lapsed - Follow Up",COUNTIF($U$2:U245,"Lapsed - Follow Up"),"")</f>
        <v/>
      </c>
    </row>
    <row r="246" customFormat="false" ht="15" hidden="false" customHeight="true" outlineLevel="0" collapsed="false">
      <c r="A246" s="9" t="str">
        <f aca="false">Raw_Donors!A246</f>
        <v>D1244</v>
      </c>
      <c r="B246" s="9" t="str">
        <f aca="false">IF(ISNUMBER(SEARCH("-DUP",A246)),"Duplicate ID","")</f>
        <v/>
      </c>
      <c r="C246" s="9" t="n">
        <f aca="false">Raw_Donors!B246</f>
        <v>8084</v>
      </c>
      <c r="D246" s="9" t="n">
        <f aca="false">Raw_Donors!C246</f>
        <v>61</v>
      </c>
      <c r="E246" s="9" t="str">
        <f aca="false">IFERROR(IF(Raw_Donors!D246="","Unknown",Raw_Donors!D246),"Unknown")</f>
        <v>Unknown</v>
      </c>
      <c r="F246" s="9" t="str">
        <f aca="false">IFERROR(IF(Raw_Donors!E246="","Unknown",Raw_Donors!E246),"Unknown")</f>
        <v>Male</v>
      </c>
      <c r="G246" s="9" t="str">
        <f aca="false">PROPER(TRIM(Raw_Donors!F246))</f>
        <v>Community Partner</v>
      </c>
      <c r="H246" s="9" t="str">
        <f aca="false">IFERROR(IF(Raw_Donors!G246="","N",Raw_Donors!G246),"N")</f>
        <v>N</v>
      </c>
      <c r="I246" s="9" t="str">
        <f aca="false">IF(Raw_Donors!H246="","Not Rated",Raw_Donors!H246)</f>
        <v>Not Rated</v>
      </c>
      <c r="J246" s="9" t="str">
        <f aca="false">IF(TRIM(Raw_Donors!I246)="","Unknown",TRIM(Raw_Donors!I246))</f>
        <v>BUSN</v>
      </c>
      <c r="K246" s="9" t="str">
        <f aca="false">Raw_Donors!J246</f>
        <v>N</v>
      </c>
      <c r="L246" s="9" t="n">
        <f aca="false">Raw_Donors!K246</f>
        <v>0</v>
      </c>
      <c r="M246" s="10" t="n">
        <f aca="false">IFERROR(VALUE(SUBSTITUTE(SUBSTITUTE(Raw_Donors!L246,"$",""),",","")),0)</f>
        <v>0</v>
      </c>
      <c r="N246" s="10" t="n">
        <f aca="false">IFERROR(VALUE(SUBSTITUTE(SUBSTITUTE(Raw_Donors!M246,"$",""),",","")),0)</f>
        <v>0</v>
      </c>
      <c r="O246" s="10" t="n">
        <f aca="false">IFERROR(VALUE(SUBSTITUTE(SUBSTITUTE(Raw_Donors!N246,"$",""),",","")),0)</f>
        <v>0</v>
      </c>
      <c r="P246" s="10" t="n">
        <f aca="false">IFERROR(VALUE(SUBSTITUTE(SUBSTITUTE(Raw_Donors!O246,"$",""),",","")),0)</f>
        <v>0</v>
      </c>
      <c r="Q246" s="10" t="n">
        <f aca="false">IFERROR(VALUE(SUBSTITUTE(SUBSTITUTE(Raw_Donors!P246,"$",""),",","")),0)</f>
        <v>0</v>
      </c>
      <c r="R246" s="10" t="n">
        <f aca="false">Raw_Donors!Q246</f>
        <v>15</v>
      </c>
      <c r="S246" s="9" t="str">
        <f aca="false">Raw_Donors!R246</f>
        <v>Y</v>
      </c>
      <c r="T246" s="9" t="str">
        <f aca="false">IF(Raw_Donors!S246="","",Raw_Donors!S246)</f>
        <v>1956-06-21</v>
      </c>
      <c r="U246" s="9" t="str">
        <f aca="false">IF(AND((O246+P246)&gt;0,Q246=0),"Lapsed - Follow Up","")</f>
        <v/>
      </c>
      <c r="V246" s="9" t="n">
        <f aca="false">RANK(R246,$R$2:$R$759)+COUNTIF($R$2:R246,R246)-1</f>
        <v>482</v>
      </c>
      <c r="W246" s="9" t="str">
        <f aca="false">IF(U246="Lapsed - Follow Up",COUNTIF($U$2:U246,"Lapsed - Follow Up"),"")</f>
        <v/>
      </c>
    </row>
    <row r="247" customFormat="false" ht="15" hidden="false" customHeight="true" outlineLevel="0" collapsed="false">
      <c r="A247" s="9" t="str">
        <f aca="false">Raw_Donors!A247</f>
        <v>D1245</v>
      </c>
      <c r="B247" s="9" t="str">
        <f aca="false">IF(ISNUMBER(SEARCH("-DUP",A247)),"Duplicate ID","")</f>
        <v/>
      </c>
      <c r="C247" s="9" t="n">
        <f aca="false">Raw_Donors!B247</f>
        <v>32727</v>
      </c>
      <c r="D247" s="9" t="n">
        <f aca="false">Raw_Donors!C247</f>
        <v>0</v>
      </c>
      <c r="E247" s="9" t="str">
        <f aca="false">IFERROR(IF(Raw_Donors!D247="","Unknown",Raw_Donors!D247),"Unknown")</f>
        <v>Married</v>
      </c>
      <c r="F247" s="9" t="str">
        <f aca="false">IFERROR(IF(Raw_Donors!E247="","Unknown",Raw_Donors!E247),"Unknown")</f>
        <v>Female</v>
      </c>
      <c r="G247" s="9" t="str">
        <f aca="false">PROPER(TRIM(Raw_Donors!F247))</f>
        <v>Individual Donor</v>
      </c>
      <c r="H247" s="9" t="str">
        <f aca="false">IFERROR(IF(Raw_Donors!G247="","N",Raw_Donors!G247),"N")</f>
        <v>N</v>
      </c>
      <c r="I247" s="9" t="str">
        <f aca="false">IF(Raw_Donors!H247="","Not Rated",Raw_Donors!H247)</f>
        <v>Not Rated</v>
      </c>
      <c r="J247" s="9" t="str">
        <f aca="false">IF(TRIM(Raw_Donors!I247)="","Unknown",TRIM(Raw_Donors!I247))</f>
        <v>HOME</v>
      </c>
      <c r="K247" s="9" t="str">
        <f aca="false">Raw_Donors!J247</f>
        <v>N</v>
      </c>
      <c r="L247" s="9" t="n">
        <f aca="false">Raw_Donors!K247</f>
        <v>1</v>
      </c>
      <c r="M247" s="10" t="n">
        <f aca="false">IFERROR(VALUE(SUBSTITUTE(SUBSTITUTE(Raw_Donors!L247,"$",""),",","")),0)</f>
        <v>0</v>
      </c>
      <c r="N247" s="10" t="n">
        <f aca="false">IFERROR(VALUE(SUBSTITUTE(SUBSTITUTE(Raw_Donors!M247,"$",""),",","")),0)</f>
        <v>0</v>
      </c>
      <c r="O247" s="10" t="n">
        <f aca="false">IFERROR(VALUE(SUBSTITUTE(SUBSTITUTE(Raw_Donors!N247,"$",""),",","")),0)</f>
        <v>0</v>
      </c>
      <c r="P247" s="10" t="n">
        <f aca="false">IFERROR(VALUE(SUBSTITUTE(SUBSTITUTE(Raw_Donors!O247,"$",""),",","")),0)</f>
        <v>0</v>
      </c>
      <c r="Q247" s="10" t="n">
        <f aca="false">IFERROR(VALUE(SUBSTITUTE(SUBSTITUTE(Raw_Donors!P247,"$",""),",","")),0)</f>
        <v>0</v>
      </c>
      <c r="R247" s="10" t="n">
        <f aca="false">Raw_Donors!Q247</f>
        <v>0</v>
      </c>
      <c r="S247" s="9" t="str">
        <f aca="false">Raw_Donors!R247</f>
        <v>N</v>
      </c>
      <c r="T247" s="9" t="str">
        <f aca="false">IF(Raw_Donors!S247="","",Raw_Donors!S247)</f>
        <v/>
      </c>
      <c r="U247" s="9" t="str">
        <f aca="false">IF(AND((O247+P247)&gt;0,Q247=0),"Lapsed - Follow Up","")</f>
        <v/>
      </c>
      <c r="V247" s="9" t="n">
        <f aca="false">RANK(R247,$R$2:$R$759)+COUNTIF($R$2:R247,R247)-1</f>
        <v>619</v>
      </c>
      <c r="W247" s="9" t="str">
        <f aca="false">IF(U247="Lapsed - Follow Up",COUNTIF($U$2:U247,"Lapsed - Follow Up"),"")</f>
        <v/>
      </c>
    </row>
    <row r="248" customFormat="false" ht="15" hidden="false" customHeight="true" outlineLevel="0" collapsed="false">
      <c r="A248" s="9" t="str">
        <f aca="false">Raw_Donors!A248</f>
        <v>D1246</v>
      </c>
      <c r="B248" s="9" t="str">
        <f aca="false">IF(ISNUMBER(SEARCH("-DUP",A248)),"Duplicate ID","")</f>
        <v/>
      </c>
      <c r="C248" s="9" t="n">
        <f aca="false">Raw_Donors!B248</f>
        <v>15241</v>
      </c>
      <c r="D248" s="9" t="n">
        <f aca="false">Raw_Donors!C248</f>
        <v>21</v>
      </c>
      <c r="E248" s="9" t="str">
        <f aca="false">IFERROR(IF(Raw_Donors!D248="","Unknown",Raw_Donors!D248),"Unknown")</f>
        <v>Unknown</v>
      </c>
      <c r="F248" s="9" t="str">
        <f aca="false">IFERROR(IF(Raw_Donors!E248="","Unknown",Raw_Donors!E248),"Unknown")</f>
        <v>Female</v>
      </c>
      <c r="G248" s="9" t="str">
        <f aca="false">PROPER(TRIM(Raw_Donors!F248))</f>
        <v>Family Donor</v>
      </c>
      <c r="H248" s="9" t="str">
        <f aca="false">IFERROR(IF(Raw_Donors!G248="","N",Raw_Donors!G248),"N")</f>
        <v>N</v>
      </c>
      <c r="I248" s="9" t="str">
        <f aca="false">IF(Raw_Donors!H248="","Not Rated",Raw_Donors!H248)</f>
        <v>Not Rated</v>
      </c>
      <c r="J248" s="9" t="str">
        <f aca="false">IF(TRIM(Raw_Donors!I248)="","Unknown",TRIM(Raw_Donors!I248))</f>
        <v>HOME</v>
      </c>
      <c r="K248" s="9" t="str">
        <f aca="false">Raw_Donors!J248</f>
        <v>N</v>
      </c>
      <c r="L248" s="9" t="n">
        <f aca="false">Raw_Donors!K248</f>
        <v>0</v>
      </c>
      <c r="M248" s="10" t="n">
        <f aca="false">IFERROR(VALUE(SUBSTITUTE(SUBSTITUTE(Raw_Donors!L248,"$",""),",","")),0)</f>
        <v>0</v>
      </c>
      <c r="N248" s="10" t="n">
        <f aca="false">IFERROR(VALUE(SUBSTITUTE(SUBSTITUTE(Raw_Donors!M248,"$",""),",","")),0)</f>
        <v>0</v>
      </c>
      <c r="O248" s="10" t="n">
        <f aca="false">IFERROR(VALUE(SUBSTITUTE(SUBSTITUTE(Raw_Donors!N248,"$",""),",","")),0)</f>
        <v>0</v>
      </c>
      <c r="P248" s="10" t="n">
        <f aca="false">IFERROR(VALUE(SUBSTITUTE(SUBSTITUTE(Raw_Donors!O248,"$",""),",","")),0)</f>
        <v>0</v>
      </c>
      <c r="Q248" s="10" t="n">
        <f aca="false">IFERROR(VALUE(SUBSTITUTE(SUBSTITUTE(Raw_Donors!P248,"$",""),",","")),0)</f>
        <v>0</v>
      </c>
      <c r="R248" s="10" t="n">
        <f aca="false">Raw_Donors!Q248</f>
        <v>0</v>
      </c>
      <c r="S248" s="9" t="str">
        <f aca="false">Raw_Donors!R248</f>
        <v>N</v>
      </c>
      <c r="T248" s="9" t="str">
        <f aca="false">IF(Raw_Donors!S248="","",Raw_Donors!S248)</f>
        <v>1996-09-08</v>
      </c>
      <c r="U248" s="9" t="str">
        <f aca="false">IF(AND((O248+P248)&gt;0,Q248=0),"Lapsed - Follow Up","")</f>
        <v/>
      </c>
      <c r="V248" s="9" t="n">
        <f aca="false">RANK(R248,$R$2:$R$759)+COUNTIF($R$2:R248,R248)-1</f>
        <v>620</v>
      </c>
      <c r="W248" s="9" t="str">
        <f aca="false">IF(U248="Lapsed - Follow Up",COUNTIF($U$2:U248,"Lapsed - Follow Up"),"")</f>
        <v/>
      </c>
    </row>
    <row r="249" customFormat="false" ht="15" hidden="false" customHeight="true" outlineLevel="0" collapsed="false">
      <c r="A249" s="9" t="str">
        <f aca="false">Raw_Donors!A249</f>
        <v>D1247</v>
      </c>
      <c r="B249" s="9" t="str">
        <f aca="false">IF(ISNUMBER(SEARCH("-DUP",A249)),"Duplicate ID","")</f>
        <v/>
      </c>
      <c r="C249" s="9" t="n">
        <f aca="false">Raw_Donors!B249</f>
        <v>59934</v>
      </c>
      <c r="D249" s="9" t="n">
        <f aca="false">Raw_Donors!C249</f>
        <v>0</v>
      </c>
      <c r="E249" s="9" t="str">
        <f aca="false">IFERROR(IF(Raw_Donors!D249="","Unknown",Raw_Donors!D249),"Unknown")</f>
        <v>Unknown</v>
      </c>
      <c r="F249" s="9" t="str">
        <f aca="false">IFERROR(IF(Raw_Donors!E249="","Unknown",Raw_Donors!E249),"Unknown")</f>
        <v>Male</v>
      </c>
      <c r="G249" s="9" t="str">
        <f aca="false">PROPER(TRIM(Raw_Donors!F249))</f>
        <v>Individual Donor</v>
      </c>
      <c r="H249" s="9" t="str">
        <f aca="false">IFERROR(IF(Raw_Donors!G249="","N",Raw_Donors!G249),"N")</f>
        <v>N</v>
      </c>
      <c r="I249" s="9" t="str">
        <f aca="false">IF(Raw_Donors!H249="","Not Rated",Raw_Donors!H249)</f>
        <v>Not Rated</v>
      </c>
      <c r="J249" s="9" t="str">
        <f aca="false">IF(TRIM(Raw_Donors!I249)="","Unknown",TRIM(Raw_Donors!I249))</f>
        <v>HOME</v>
      </c>
      <c r="K249" s="9" t="str">
        <f aca="false">Raw_Donors!J249</f>
        <v>N</v>
      </c>
      <c r="L249" s="9" t="n">
        <f aca="false">Raw_Donors!K249</f>
        <v>1</v>
      </c>
      <c r="M249" s="10" t="n">
        <f aca="false">IFERROR(VALUE(SUBSTITUTE(SUBSTITUTE(Raw_Donors!L249,"$",""),",","")),0)</f>
        <v>0</v>
      </c>
      <c r="N249" s="10" t="n">
        <f aca="false">IFERROR(VALUE(SUBSTITUTE(SUBSTITUTE(Raw_Donors!M249,"$",""),",","")),0)</f>
        <v>0</v>
      </c>
      <c r="O249" s="10" t="n">
        <f aca="false">IFERROR(VALUE(SUBSTITUTE(SUBSTITUTE(Raw_Donors!N249,"$",""),",","")),0)</f>
        <v>0</v>
      </c>
      <c r="P249" s="10" t="n">
        <f aca="false">IFERROR(VALUE(SUBSTITUTE(SUBSTITUTE(Raw_Donors!O249,"$",""),",","")),0)</f>
        <v>0</v>
      </c>
      <c r="Q249" s="10" t="n">
        <f aca="false">IFERROR(VALUE(SUBSTITUTE(SUBSTITUTE(Raw_Donors!P249,"$",""),",","")),0)</f>
        <v>0</v>
      </c>
      <c r="R249" s="10" t="n">
        <f aca="false">Raw_Donors!Q249</f>
        <v>100</v>
      </c>
      <c r="S249" s="9" t="str">
        <f aca="false">Raw_Donors!R249</f>
        <v>Y</v>
      </c>
      <c r="T249" s="9" t="str">
        <f aca="false">IF(Raw_Donors!S249="","",Raw_Donors!S249)</f>
        <v/>
      </c>
      <c r="U249" s="9" t="str">
        <f aca="false">IF(AND((O249+P249)&gt;0,Q249=0),"Lapsed - Follow Up","")</f>
        <v/>
      </c>
      <c r="V249" s="9" t="n">
        <f aca="false">RANK(R249,$R$2:$R$759)+COUNTIF($R$2:R249,R249)-1</f>
        <v>280</v>
      </c>
      <c r="W249" s="9" t="str">
        <f aca="false">IF(U249="Lapsed - Follow Up",COUNTIF($U$2:U249,"Lapsed - Follow Up"),"")</f>
        <v/>
      </c>
    </row>
    <row r="250" customFormat="false" ht="15" hidden="false" customHeight="true" outlineLevel="0" collapsed="false">
      <c r="A250" s="9" t="str">
        <f aca="false">Raw_Donors!A250</f>
        <v>D1248</v>
      </c>
      <c r="B250" s="9" t="str">
        <f aca="false">IF(ISNUMBER(SEARCH("-DUP",A250)),"Duplicate ID","")</f>
        <v/>
      </c>
      <c r="C250" s="9" t="n">
        <f aca="false">Raw_Donors!B250</f>
        <v>47017</v>
      </c>
      <c r="D250" s="9" t="n">
        <f aca="false">Raw_Donors!C250</f>
        <v>0</v>
      </c>
      <c r="E250" s="9" t="str">
        <f aca="false">IFERROR(IF(Raw_Donors!D250="","Unknown",Raw_Donors!D250),"Unknown")</f>
        <v>Unknown</v>
      </c>
      <c r="F250" s="9" t="str">
        <f aca="false">IFERROR(IF(Raw_Donors!E250="","Unknown",Raw_Donors!E250),"Unknown")</f>
        <v>Female</v>
      </c>
      <c r="G250" s="9" t="str">
        <f aca="false">PROPER(TRIM(Raw_Donors!F250))</f>
        <v>Individual Donor</v>
      </c>
      <c r="H250" s="9" t="str">
        <f aca="false">IFERROR(IF(Raw_Donors!G250="","N",Raw_Donors!G250),"N")</f>
        <v>N</v>
      </c>
      <c r="I250" s="9" t="str">
        <f aca="false">IF(Raw_Donors!H250="","Not Rated",Raw_Donors!H250)</f>
        <v>Not Rated</v>
      </c>
      <c r="J250" s="9" t="str">
        <f aca="false">IF(TRIM(Raw_Donors!I250)="","Unknown",TRIM(Raw_Donors!I250))</f>
        <v>HOME</v>
      </c>
      <c r="K250" s="9" t="str">
        <f aca="false">Raw_Donors!J250</f>
        <v>N</v>
      </c>
      <c r="L250" s="9" t="n">
        <f aca="false">Raw_Donors!K250</f>
        <v>1</v>
      </c>
      <c r="M250" s="10" t="n">
        <f aca="false">IFERROR(VALUE(SUBSTITUTE(SUBSTITUTE(Raw_Donors!L250,"$",""),",","")),0)</f>
        <v>0</v>
      </c>
      <c r="N250" s="10" t="n">
        <f aca="false">IFERROR(VALUE(SUBSTITUTE(SUBSTITUTE(Raw_Donors!M250,"$",""),",","")),0)</f>
        <v>0</v>
      </c>
      <c r="O250" s="10" t="n">
        <f aca="false">IFERROR(VALUE(SUBSTITUTE(SUBSTITUTE(Raw_Donors!N250,"$",""),",","")),0)</f>
        <v>0</v>
      </c>
      <c r="P250" s="10" t="n">
        <f aca="false">IFERROR(VALUE(SUBSTITUTE(SUBSTITUTE(Raw_Donors!O250,"$",""),",","")),0)</f>
        <v>10</v>
      </c>
      <c r="Q250" s="10" t="n">
        <f aca="false">IFERROR(VALUE(SUBSTITUTE(SUBSTITUTE(Raw_Donors!P250,"$",""),",","")),0)</f>
        <v>0</v>
      </c>
      <c r="R250" s="10" t="n">
        <f aca="false">Raw_Donors!Q250</f>
        <v>320</v>
      </c>
      <c r="S250" s="9" t="str">
        <f aca="false">Raw_Donors!R250</f>
        <v>Y</v>
      </c>
      <c r="T250" s="9" t="str">
        <f aca="false">IF(Raw_Donors!S250="","",Raw_Donors!S250)</f>
        <v/>
      </c>
      <c r="U250" s="9" t="str">
        <f aca="false">IF(AND((O250+P250)&gt;0,Q250=0),"Lapsed - Follow Up","")</f>
        <v>Lapsed - Follow Up</v>
      </c>
      <c r="V250" s="9" t="n">
        <f aca="false">RANK(R250,$R$2:$R$759)+COUNTIF($R$2:R250,R250)-1</f>
        <v>137</v>
      </c>
      <c r="W250" s="9" t="n">
        <f aca="false">IF(U250="Lapsed - Follow Up",COUNTIF($U$2:U250,"Lapsed - Follow Up"),"")</f>
        <v>40</v>
      </c>
    </row>
    <row r="251" customFormat="false" ht="15" hidden="false" customHeight="true" outlineLevel="0" collapsed="false">
      <c r="A251" s="9" t="str">
        <f aca="false">Raw_Donors!A251</f>
        <v>D1249</v>
      </c>
      <c r="B251" s="9" t="str">
        <f aca="false">IF(ISNUMBER(SEARCH("-DUP",A251)),"Duplicate ID","")</f>
        <v/>
      </c>
      <c r="C251" s="9" t="n">
        <f aca="false">Raw_Donors!B251</f>
        <v>97539</v>
      </c>
      <c r="D251" s="9" t="n">
        <f aca="false">Raw_Donors!C251</f>
        <v>0</v>
      </c>
      <c r="E251" s="9" t="str">
        <f aca="false">IFERROR(IF(Raw_Donors!D251="","Unknown",Raw_Donors!D251),"Unknown")</f>
        <v>Single</v>
      </c>
      <c r="F251" s="9" t="str">
        <f aca="false">IFERROR(IF(Raw_Donors!E251="","Unknown",Raw_Donors!E251),"Unknown")</f>
        <v>Female</v>
      </c>
      <c r="G251" s="9" t="str">
        <f aca="false">PROPER(TRIM(Raw_Donors!F251))</f>
        <v>Individual Donor</v>
      </c>
      <c r="H251" s="9" t="str">
        <f aca="false">IFERROR(IF(Raw_Donors!G251="","N",Raw_Donors!G251),"N")</f>
        <v>N</v>
      </c>
      <c r="I251" s="9" t="str">
        <f aca="false">IF(Raw_Donors!H251="","Not Rated",Raw_Donors!H251)</f>
        <v>Not Rated</v>
      </c>
      <c r="J251" s="9" t="str">
        <f aca="false">IF(TRIM(Raw_Donors!I251)="","Unknown",TRIM(Raw_Donors!I251))</f>
        <v>HOME</v>
      </c>
      <c r="K251" s="9" t="str">
        <f aca="false">Raw_Donors!J251</f>
        <v>N</v>
      </c>
      <c r="L251" s="9" t="n">
        <f aca="false">Raw_Donors!K251</f>
        <v>1</v>
      </c>
      <c r="M251" s="10" t="n">
        <f aca="false">IFERROR(VALUE(SUBSTITUTE(SUBSTITUTE(Raw_Donors!L251,"$",""),",","")),0)</f>
        <v>0</v>
      </c>
      <c r="N251" s="10" t="n">
        <f aca="false">IFERROR(VALUE(SUBSTITUTE(SUBSTITUTE(Raw_Donors!M251,"$",""),",","")),0)</f>
        <v>0</v>
      </c>
      <c r="O251" s="10" t="n">
        <f aca="false">IFERROR(VALUE(SUBSTITUTE(SUBSTITUTE(Raw_Donors!N251,"$",""),",","")),0)</f>
        <v>0</v>
      </c>
      <c r="P251" s="10" t="n">
        <f aca="false">IFERROR(VALUE(SUBSTITUTE(SUBSTITUTE(Raw_Donors!O251,"$",""),",","")),0)</f>
        <v>0</v>
      </c>
      <c r="Q251" s="10" t="n">
        <f aca="false">IFERROR(VALUE(SUBSTITUTE(SUBSTITUTE(Raw_Donors!P251,"$",""),",","")),0)</f>
        <v>0</v>
      </c>
      <c r="R251" s="10" t="n">
        <f aca="false">Raw_Donors!Q251</f>
        <v>50</v>
      </c>
      <c r="S251" s="9" t="str">
        <f aca="false">Raw_Donors!R251</f>
        <v>Y</v>
      </c>
      <c r="T251" s="9" t="str">
        <f aca="false">IF(Raw_Donors!S251="","",Raw_Donors!S251)</f>
        <v/>
      </c>
      <c r="U251" s="9" t="str">
        <f aca="false">IF(AND((O251+P251)&gt;0,Q251=0),"Lapsed - Follow Up","")</f>
        <v/>
      </c>
      <c r="V251" s="9" t="n">
        <f aca="false">RANK(R251,$R$2:$R$759)+COUNTIF($R$2:R251,R251)-1</f>
        <v>370</v>
      </c>
      <c r="W251" s="9" t="str">
        <f aca="false">IF(U251="Lapsed - Follow Up",COUNTIF($U$2:U251,"Lapsed - Follow Up"),"")</f>
        <v/>
      </c>
    </row>
    <row r="252" customFormat="false" ht="15" hidden="false" customHeight="true" outlineLevel="0" collapsed="false">
      <c r="A252" s="9" t="str">
        <f aca="false">Raw_Donors!A252</f>
        <v>D1250</v>
      </c>
      <c r="B252" s="9" t="str">
        <f aca="false">IF(ISNUMBER(SEARCH("-DUP",A252)),"Duplicate ID","")</f>
        <v/>
      </c>
      <c r="C252" s="9" t="n">
        <f aca="false">Raw_Donors!B252</f>
        <v>59018</v>
      </c>
      <c r="D252" s="9" t="n">
        <f aca="false">Raw_Donors!C252</f>
        <v>0</v>
      </c>
      <c r="E252" s="9" t="str">
        <f aca="false">IFERROR(IF(Raw_Donors!D252="","Unknown",Raw_Donors!D252),"Unknown")</f>
        <v>Unknown</v>
      </c>
      <c r="F252" s="9" t="str">
        <f aca="false">IFERROR(IF(Raw_Donors!E252="","Unknown",Raw_Donors!E252),"Unknown")</f>
        <v>Male</v>
      </c>
      <c r="G252" s="9" t="str">
        <f aca="false">PROPER(TRIM(Raw_Donors!F252))</f>
        <v>Individual Donor</v>
      </c>
      <c r="H252" s="9" t="str">
        <f aca="false">IFERROR(IF(Raw_Donors!G252="","N",Raw_Donors!G252),"N")</f>
        <v>N</v>
      </c>
      <c r="I252" s="9" t="str">
        <f aca="false">IF(Raw_Donors!H252="","Not Rated",Raw_Donors!H252)</f>
        <v>Not Rated</v>
      </c>
      <c r="J252" s="9" t="str">
        <f aca="false">IF(TRIM(Raw_Donors!I252)="","Unknown",TRIM(Raw_Donors!I252))</f>
        <v>HOME</v>
      </c>
      <c r="K252" s="9" t="str">
        <f aca="false">Raw_Donors!J252</f>
        <v>N</v>
      </c>
      <c r="L252" s="9" t="n">
        <f aca="false">Raw_Donors!K252</f>
        <v>3</v>
      </c>
      <c r="M252" s="10" t="n">
        <f aca="false">IFERROR(VALUE(SUBSTITUTE(SUBSTITUTE(Raw_Donors!L252,"$",""),",","")),0)</f>
        <v>0</v>
      </c>
      <c r="N252" s="10" t="n">
        <f aca="false">IFERROR(VALUE(SUBSTITUTE(SUBSTITUTE(Raw_Donors!M252,"$",""),",","")),0)</f>
        <v>0</v>
      </c>
      <c r="O252" s="10" t="n">
        <f aca="false">IFERROR(VALUE(SUBSTITUTE(SUBSTITUTE(Raw_Donors!N252,"$",""),",","")),0)</f>
        <v>0</v>
      </c>
      <c r="P252" s="10" t="n">
        <f aca="false">IFERROR(VALUE(SUBSTITUTE(SUBSTITUTE(Raw_Donors!O252,"$",""),",","")),0)</f>
        <v>0</v>
      </c>
      <c r="Q252" s="10" t="n">
        <f aca="false">IFERROR(VALUE(SUBSTITUTE(SUBSTITUTE(Raw_Donors!P252,"$",""),",","")),0)</f>
        <v>0</v>
      </c>
      <c r="R252" s="10" t="n">
        <f aca="false">Raw_Donors!Q252</f>
        <v>0</v>
      </c>
      <c r="S252" s="9" t="str">
        <f aca="false">Raw_Donors!R252</f>
        <v>N</v>
      </c>
      <c r="T252" s="9" t="str">
        <f aca="false">IF(Raw_Donors!S252="","",Raw_Donors!S252)</f>
        <v/>
      </c>
      <c r="U252" s="9" t="str">
        <f aca="false">IF(AND((O252+P252)&gt;0,Q252=0),"Lapsed - Follow Up","")</f>
        <v/>
      </c>
      <c r="V252" s="9" t="n">
        <f aca="false">RANK(R252,$R$2:$R$759)+COUNTIF($R$2:R252,R252)-1</f>
        <v>621</v>
      </c>
      <c r="W252" s="9" t="str">
        <f aca="false">IF(U252="Lapsed - Follow Up",COUNTIF($U$2:U252,"Lapsed - Follow Up"),"")</f>
        <v/>
      </c>
    </row>
    <row r="253" customFormat="false" ht="15" hidden="false" customHeight="true" outlineLevel="0" collapsed="false">
      <c r="A253" s="9" t="str">
        <f aca="false">Raw_Donors!A253</f>
        <v>D1251</v>
      </c>
      <c r="B253" s="9" t="str">
        <f aca="false">IF(ISNUMBER(SEARCH("-DUP",A253)),"Duplicate ID","")</f>
        <v/>
      </c>
      <c r="C253" s="9" t="n">
        <f aca="false">Raw_Donors!B253</f>
        <v>62432</v>
      </c>
      <c r="D253" s="9" t="n">
        <f aca="false">Raw_Donors!C253</f>
        <v>0</v>
      </c>
      <c r="E253" s="9" t="str">
        <f aca="false">IFERROR(IF(Raw_Donors!D253="","Unknown",Raw_Donors!D253),"Unknown")</f>
        <v>Married</v>
      </c>
      <c r="F253" s="9" t="str">
        <f aca="false">IFERROR(IF(Raw_Donors!E253="","Unknown",Raw_Donors!E253),"Unknown")</f>
        <v>Male</v>
      </c>
      <c r="G253" s="9" t="str">
        <f aca="false">PROPER(TRIM(Raw_Donors!F253))</f>
        <v>Individual Donor</v>
      </c>
      <c r="H253" s="9" t="str">
        <f aca="false">IFERROR(IF(Raw_Donors!G253="","N",Raw_Donors!G253),"N")</f>
        <v>N</v>
      </c>
      <c r="I253" s="9" t="str">
        <f aca="false">IF(Raw_Donors!H253="","Not Rated",Raw_Donors!H253)</f>
        <v>Not Rated</v>
      </c>
      <c r="J253" s="9" t="str">
        <f aca="false">IF(TRIM(Raw_Donors!I253)="","Unknown",TRIM(Raw_Donors!I253))</f>
        <v>HOME</v>
      </c>
      <c r="K253" s="9" t="str">
        <f aca="false">Raw_Donors!J253</f>
        <v>N</v>
      </c>
      <c r="L253" s="9" t="n">
        <f aca="false">Raw_Donors!K253</f>
        <v>1</v>
      </c>
      <c r="M253" s="10" t="n">
        <f aca="false">IFERROR(VALUE(SUBSTITUTE(SUBSTITUTE(Raw_Donors!L253,"$",""),",","")),0)</f>
        <v>0</v>
      </c>
      <c r="N253" s="10" t="n">
        <f aca="false">IFERROR(VALUE(SUBSTITUTE(SUBSTITUTE(Raw_Donors!M253,"$",""),",","")),0)</f>
        <v>0</v>
      </c>
      <c r="O253" s="10" t="n">
        <f aca="false">IFERROR(VALUE(SUBSTITUTE(SUBSTITUTE(Raw_Donors!N253,"$",""),",","")),0)</f>
        <v>0</v>
      </c>
      <c r="P253" s="10" t="n">
        <f aca="false">IFERROR(VALUE(SUBSTITUTE(SUBSTITUTE(Raw_Donors!O253,"$",""),",","")),0)</f>
        <v>0</v>
      </c>
      <c r="Q253" s="10" t="n">
        <f aca="false">IFERROR(VALUE(SUBSTITUTE(SUBSTITUTE(Raw_Donors!P253,"$",""),",","")),0)</f>
        <v>0</v>
      </c>
      <c r="R253" s="10" t="n">
        <f aca="false">Raw_Donors!Q253</f>
        <v>204</v>
      </c>
      <c r="S253" s="9" t="str">
        <f aca="false">Raw_Donors!R253</f>
        <v>Y</v>
      </c>
      <c r="T253" s="9" t="str">
        <f aca="false">IF(Raw_Donors!S253="","",Raw_Donors!S253)</f>
        <v/>
      </c>
      <c r="U253" s="9" t="str">
        <f aca="false">IF(AND((O253+P253)&gt;0,Q253=0),"Lapsed - Follow Up","")</f>
        <v/>
      </c>
      <c r="V253" s="9" t="n">
        <f aca="false">RANK(R253,$R$2:$R$759)+COUNTIF($R$2:R253,R253)-1</f>
        <v>194</v>
      </c>
      <c r="W253" s="9" t="str">
        <f aca="false">IF(U253="Lapsed - Follow Up",COUNTIF($U$2:U253,"Lapsed - Follow Up"),"")</f>
        <v/>
      </c>
    </row>
    <row r="254" customFormat="false" ht="15" hidden="false" customHeight="true" outlineLevel="0" collapsed="false">
      <c r="A254" s="9" t="str">
        <f aca="false">Raw_Donors!A254</f>
        <v>D1252</v>
      </c>
      <c r="B254" s="9" t="str">
        <f aca="false">IF(ISNUMBER(SEARCH("-DUP",A254)),"Duplicate ID","")</f>
        <v/>
      </c>
      <c r="C254" s="9" t="n">
        <f aca="false">Raw_Donors!B254</f>
        <v>19008</v>
      </c>
      <c r="D254" s="9" t="n">
        <f aca="false">Raw_Donors!C254</f>
        <v>37</v>
      </c>
      <c r="E254" s="9" t="str">
        <f aca="false">IFERROR(IF(Raw_Donors!D254="","Unknown",Raw_Donors!D254),"Unknown")</f>
        <v>Unknown</v>
      </c>
      <c r="F254" s="9" t="str">
        <f aca="false">IFERROR(IF(Raw_Donors!E254="","Unknown",Raw_Donors!E254),"Unknown")</f>
        <v>Female</v>
      </c>
      <c r="G254" s="9" t="str">
        <f aca="false">PROPER(TRIM(Raw_Donors!F254))</f>
        <v>Community Partner</v>
      </c>
      <c r="H254" s="9" t="str">
        <f aca="false">IFERROR(IF(Raw_Donors!G254="","N",Raw_Donors!G254),"N")</f>
        <v>Y</v>
      </c>
      <c r="I254" s="9" t="str">
        <f aca="false">IF(Raw_Donors!H254="","Not Rated",Raw_Donors!H254)</f>
        <v>Not Rated</v>
      </c>
      <c r="J254" s="9" t="str">
        <f aca="false">IF(TRIM(Raw_Donors!I254)="","Unknown",TRIM(Raw_Donors!I254))</f>
        <v>HOME</v>
      </c>
      <c r="K254" s="9" t="str">
        <f aca="false">Raw_Donors!J254</f>
        <v>N</v>
      </c>
      <c r="L254" s="9" t="n">
        <f aca="false">Raw_Donors!K254</f>
        <v>0</v>
      </c>
      <c r="M254" s="10" t="n">
        <f aca="false">IFERROR(VALUE(SUBSTITUTE(SUBSTITUTE(Raw_Donors!L254,"$",""),",","")),0)</f>
        <v>0</v>
      </c>
      <c r="N254" s="10" t="n">
        <f aca="false">IFERROR(VALUE(SUBSTITUTE(SUBSTITUTE(Raw_Donors!M254,"$",""),",","")),0)</f>
        <v>0</v>
      </c>
      <c r="O254" s="10" t="n">
        <f aca="false">IFERROR(VALUE(SUBSTITUTE(SUBSTITUTE(Raw_Donors!N254,"$",""),",","")),0)</f>
        <v>0</v>
      </c>
      <c r="P254" s="10" t="n">
        <f aca="false">IFERROR(VALUE(SUBSTITUTE(SUBSTITUTE(Raw_Donors!O254,"$",""),",","")),0)</f>
        <v>0</v>
      </c>
      <c r="Q254" s="10" t="n">
        <f aca="false">IFERROR(VALUE(SUBSTITUTE(SUBSTITUTE(Raw_Donors!P254,"$",""),",","")),0)</f>
        <v>0</v>
      </c>
      <c r="R254" s="10" t="n">
        <f aca="false">Raw_Donors!Q254</f>
        <v>0</v>
      </c>
      <c r="S254" s="9" t="str">
        <f aca="false">Raw_Donors!R254</f>
        <v>N</v>
      </c>
      <c r="T254" s="9" t="str">
        <f aca="false">IF(Raw_Donors!S254="","",Raw_Donors!S254)</f>
        <v>1980-09-14</v>
      </c>
      <c r="U254" s="9" t="str">
        <f aca="false">IF(AND((O254+P254)&gt;0,Q254=0),"Lapsed - Follow Up","")</f>
        <v/>
      </c>
      <c r="V254" s="9" t="n">
        <f aca="false">RANK(R254,$R$2:$R$759)+COUNTIF($R$2:R254,R254)-1</f>
        <v>622</v>
      </c>
      <c r="W254" s="9" t="str">
        <f aca="false">IF(U254="Lapsed - Follow Up",COUNTIF($U$2:U254,"Lapsed - Follow Up"),"")</f>
        <v/>
      </c>
    </row>
    <row r="255" customFormat="false" ht="15" hidden="false" customHeight="true" outlineLevel="0" collapsed="false">
      <c r="A255" s="9" t="str">
        <f aca="false">Raw_Donors!A255</f>
        <v>D1253</v>
      </c>
      <c r="B255" s="9" t="str">
        <f aca="false">IF(ISNUMBER(SEARCH("-DUP",A255)),"Duplicate ID","")</f>
        <v/>
      </c>
      <c r="C255" s="9" t="n">
        <f aca="false">Raw_Donors!B255</f>
        <v>90265</v>
      </c>
      <c r="D255" s="9" t="n">
        <f aca="false">Raw_Donors!C255</f>
        <v>0</v>
      </c>
      <c r="E255" s="9" t="str">
        <f aca="false">IFERROR(IF(Raw_Donors!D255="","Unknown",Raw_Donors!D255),"Unknown")</f>
        <v>Unknown</v>
      </c>
      <c r="F255" s="9" t="str">
        <f aca="false">IFERROR(IF(Raw_Donors!E255="","Unknown",Raw_Donors!E255),"Unknown")</f>
        <v>Male</v>
      </c>
      <c r="G255" s="9" t="str">
        <f aca="false">PROPER(TRIM(Raw_Donors!F255))</f>
        <v>Individual Donor</v>
      </c>
      <c r="H255" s="9" t="str">
        <f aca="false">IFERROR(IF(Raw_Donors!G255="","N",Raw_Donors!G255),"N")</f>
        <v>N</v>
      </c>
      <c r="I255" s="9" t="str">
        <f aca="false">IF(Raw_Donors!H255="","Not Rated",Raw_Donors!H255)</f>
        <v>Not Rated</v>
      </c>
      <c r="J255" s="9" t="str">
        <f aca="false">IF(TRIM(Raw_Donors!I255)="","Unknown",TRIM(Raw_Donors!I255))</f>
        <v>HOME</v>
      </c>
      <c r="K255" s="9" t="str">
        <f aca="false">Raw_Donors!J255</f>
        <v>N</v>
      </c>
      <c r="L255" s="9" t="n">
        <f aca="false">Raw_Donors!K255</f>
        <v>1</v>
      </c>
      <c r="M255" s="10" t="n">
        <f aca="false">IFERROR(VALUE(SUBSTITUTE(SUBSTITUTE(Raw_Donors!L255,"$",""),",","")),0)</f>
        <v>0</v>
      </c>
      <c r="N255" s="10" t="n">
        <f aca="false">IFERROR(VALUE(SUBSTITUTE(SUBSTITUTE(Raw_Donors!M255,"$",""),",","")),0)</f>
        <v>0</v>
      </c>
      <c r="O255" s="10" t="n">
        <f aca="false">IFERROR(VALUE(SUBSTITUTE(SUBSTITUTE(Raw_Donors!N255,"$",""),",","")),0)</f>
        <v>0</v>
      </c>
      <c r="P255" s="10" t="n">
        <f aca="false">IFERROR(VALUE(SUBSTITUTE(SUBSTITUTE(Raw_Donors!O255,"$",""),",","")),0)</f>
        <v>0</v>
      </c>
      <c r="Q255" s="10" t="n">
        <f aca="false">IFERROR(VALUE(SUBSTITUTE(SUBSTITUTE(Raw_Donors!P255,"$",""),",","")),0)</f>
        <v>0</v>
      </c>
      <c r="R255" s="10" t="n">
        <f aca="false">Raw_Donors!Q255</f>
        <v>0</v>
      </c>
      <c r="S255" s="9" t="str">
        <f aca="false">Raw_Donors!R255</f>
        <v>N</v>
      </c>
      <c r="T255" s="9" t="str">
        <f aca="false">IF(Raw_Donors!S255="","",Raw_Donors!S255)</f>
        <v/>
      </c>
      <c r="U255" s="9" t="str">
        <f aca="false">IF(AND((O255+P255)&gt;0,Q255=0),"Lapsed - Follow Up","")</f>
        <v/>
      </c>
      <c r="V255" s="9" t="n">
        <f aca="false">RANK(R255,$R$2:$R$759)+COUNTIF($R$2:R255,R255)-1</f>
        <v>623</v>
      </c>
      <c r="W255" s="9" t="str">
        <f aca="false">IF(U255="Lapsed - Follow Up",COUNTIF($U$2:U255,"Lapsed - Follow Up"),"")</f>
        <v/>
      </c>
    </row>
    <row r="256" customFormat="false" ht="15" hidden="false" customHeight="true" outlineLevel="0" collapsed="false">
      <c r="A256" s="9" t="str">
        <f aca="false">Raw_Donors!A256</f>
        <v>D1254</v>
      </c>
      <c r="B256" s="9" t="str">
        <f aca="false">IF(ISNUMBER(SEARCH("-DUP",A256)),"Duplicate ID","")</f>
        <v/>
      </c>
      <c r="C256" s="9" t="n">
        <f aca="false">Raw_Donors!B256</f>
        <v>33971</v>
      </c>
      <c r="D256" s="9" t="n">
        <f aca="false">Raw_Donors!C256</f>
        <v>39</v>
      </c>
      <c r="E256" s="9" t="str">
        <f aca="false">IFERROR(IF(Raw_Donors!D256="","Unknown",Raw_Donors!D256),"Unknown")</f>
        <v>Unknown</v>
      </c>
      <c r="F256" s="9" t="str">
        <f aca="false">IFERROR(IF(Raw_Donors!E256="","Unknown",Raw_Donors!E256),"Unknown")</f>
        <v>Female</v>
      </c>
      <c r="G256" s="9" t="str">
        <f aca="false">PROPER(TRIM(Raw_Donors!F256))</f>
        <v>Individual Donor</v>
      </c>
      <c r="H256" s="9" t="str">
        <f aca="false">IFERROR(IF(Raw_Donors!G256="","N",Raw_Donors!G256),"N")</f>
        <v>Y</v>
      </c>
      <c r="I256" s="9" t="str">
        <f aca="false">IF(Raw_Donors!H256="","Not Rated",Raw_Donors!H256)</f>
        <v>Not Rated</v>
      </c>
      <c r="J256" s="9" t="str">
        <f aca="false">IF(TRIM(Raw_Donors!I256)="","Unknown",TRIM(Raw_Donors!I256))</f>
        <v>HOME</v>
      </c>
      <c r="K256" s="9" t="str">
        <f aca="false">Raw_Donors!J256</f>
        <v>Y</v>
      </c>
      <c r="L256" s="9" t="n">
        <f aca="false">Raw_Donors!K256</f>
        <v>0</v>
      </c>
      <c r="M256" s="10" t="n">
        <f aca="false">IFERROR(VALUE(SUBSTITUTE(SUBSTITUTE(Raw_Donors!L256,"$",""),",","")),0)</f>
        <v>0</v>
      </c>
      <c r="N256" s="10" t="n">
        <f aca="false">IFERROR(VALUE(SUBSTITUTE(SUBSTITUTE(Raw_Donors!M256,"$",""),",","")),0)</f>
        <v>0</v>
      </c>
      <c r="O256" s="10" t="n">
        <f aca="false">IFERROR(VALUE(SUBSTITUTE(SUBSTITUTE(Raw_Donors!N256,"$",""),",","")),0)</f>
        <v>0</v>
      </c>
      <c r="P256" s="10" t="n">
        <f aca="false">IFERROR(VALUE(SUBSTITUTE(SUBSTITUTE(Raw_Donors!O256,"$",""),",","")),0)</f>
        <v>0</v>
      </c>
      <c r="Q256" s="10" t="n">
        <f aca="false">IFERROR(VALUE(SUBSTITUTE(SUBSTITUTE(Raw_Donors!P256,"$",""),",","")),0)</f>
        <v>0</v>
      </c>
      <c r="R256" s="10" t="n">
        <f aca="false">Raw_Donors!Q256</f>
        <v>1700</v>
      </c>
      <c r="S256" s="9" t="str">
        <f aca="false">Raw_Donors!R256</f>
        <v>Y</v>
      </c>
      <c r="T256" s="9" t="str">
        <f aca="false">IF(Raw_Donors!S256="","",Raw_Donors!S256)</f>
        <v>1978-05-22</v>
      </c>
      <c r="U256" s="9" t="str">
        <f aca="false">IF(AND((O256+P256)&gt;0,Q256=0),"Lapsed - Follow Up","")</f>
        <v/>
      </c>
      <c r="V256" s="9" t="n">
        <f aca="false">RANK(R256,$R$2:$R$759)+COUNTIF($R$2:R256,R256)-1</f>
        <v>34</v>
      </c>
      <c r="W256" s="9" t="str">
        <f aca="false">IF(U256="Lapsed - Follow Up",COUNTIF($U$2:U256,"Lapsed - Follow Up"),"")</f>
        <v/>
      </c>
    </row>
    <row r="257" customFormat="false" ht="15" hidden="false" customHeight="true" outlineLevel="0" collapsed="false">
      <c r="A257" s="9" t="str">
        <f aca="false">Raw_Donors!A257</f>
        <v>D1255</v>
      </c>
      <c r="B257" s="9" t="str">
        <f aca="false">IF(ISNUMBER(SEARCH("-DUP",A257)),"Duplicate ID","")</f>
        <v/>
      </c>
      <c r="C257" s="9" t="n">
        <f aca="false">Raw_Donors!B257</f>
        <v>4105</v>
      </c>
      <c r="D257" s="9" t="n">
        <f aca="false">Raw_Donors!C257</f>
        <v>36</v>
      </c>
      <c r="E257" s="9" t="str">
        <f aca="false">IFERROR(IF(Raw_Donors!D257="","Unknown",Raw_Donors!D257),"Unknown")</f>
        <v>Unknown</v>
      </c>
      <c r="F257" s="9" t="str">
        <f aca="false">IFERROR(IF(Raw_Donors!E257="","Unknown",Raw_Donors!E257),"Unknown")</f>
        <v>Female</v>
      </c>
      <c r="G257" s="9" t="str">
        <f aca="false">PROPER(TRIM(Raw_Donors!F257))</f>
        <v>Individual Donor</v>
      </c>
      <c r="H257" s="9" t="str">
        <f aca="false">IFERROR(IF(Raw_Donors!G257="","N",Raw_Donors!G257),"N")</f>
        <v>N</v>
      </c>
      <c r="I257" s="9" t="str">
        <f aca="false">IF(Raw_Donors!H257="","Not Rated",Raw_Donors!H257)</f>
        <v>Not Rated</v>
      </c>
      <c r="J257" s="9" t="str">
        <f aca="false">IF(TRIM(Raw_Donors!I257)="","Unknown",TRIM(Raw_Donors!I257))</f>
        <v>HOME</v>
      </c>
      <c r="K257" s="9" t="str">
        <f aca="false">Raw_Donors!J257</f>
        <v>N</v>
      </c>
      <c r="L257" s="9" t="n">
        <f aca="false">Raw_Donors!K257</f>
        <v>0</v>
      </c>
      <c r="M257" s="10" t="n">
        <f aca="false">IFERROR(VALUE(SUBSTITUTE(SUBSTITUTE(Raw_Donors!L257,"$",""),",","")),0)</f>
        <v>0</v>
      </c>
      <c r="N257" s="10" t="n">
        <f aca="false">IFERROR(VALUE(SUBSTITUTE(SUBSTITUTE(Raw_Donors!M257,"$",""),",","")),0)</f>
        <v>0</v>
      </c>
      <c r="O257" s="10" t="n">
        <f aca="false">IFERROR(VALUE(SUBSTITUTE(SUBSTITUTE(Raw_Donors!N257,"$",""),",","")),0)</f>
        <v>0</v>
      </c>
      <c r="P257" s="10" t="n">
        <f aca="false">IFERROR(VALUE(SUBSTITUTE(SUBSTITUTE(Raw_Donors!O257,"$",""),",","")),0)</f>
        <v>0</v>
      </c>
      <c r="Q257" s="10" t="n">
        <f aca="false">IFERROR(VALUE(SUBSTITUTE(SUBSTITUTE(Raw_Donors!P257,"$",""),",","")),0)</f>
        <v>0</v>
      </c>
      <c r="R257" s="10" t="n">
        <f aca="false">Raw_Donors!Q257</f>
        <v>40</v>
      </c>
      <c r="S257" s="9" t="str">
        <f aca="false">Raw_Donors!R257</f>
        <v>Y</v>
      </c>
      <c r="T257" s="9" t="str">
        <f aca="false">IF(Raw_Donors!S257="","",Raw_Donors!S257)</f>
        <v>1981-09-14</v>
      </c>
      <c r="U257" s="9" t="str">
        <f aca="false">IF(AND((O257+P257)&gt;0,Q257=0),"Lapsed - Follow Up","")</f>
        <v/>
      </c>
      <c r="V257" s="9" t="n">
        <f aca="false">RANK(R257,$R$2:$R$759)+COUNTIF($R$2:R257,R257)-1</f>
        <v>395</v>
      </c>
      <c r="W257" s="9" t="str">
        <f aca="false">IF(U257="Lapsed - Follow Up",COUNTIF($U$2:U257,"Lapsed - Follow Up"),"")</f>
        <v/>
      </c>
    </row>
    <row r="258" customFormat="false" ht="15" hidden="false" customHeight="true" outlineLevel="0" collapsed="false">
      <c r="A258" s="9" t="str">
        <f aca="false">Raw_Donors!A258</f>
        <v>D1256</v>
      </c>
      <c r="B258" s="9" t="str">
        <f aca="false">IF(ISNUMBER(SEARCH("-DUP",A258)),"Duplicate ID","")</f>
        <v/>
      </c>
      <c r="C258" s="9" t="n">
        <f aca="false">Raw_Donors!B258</f>
        <v>90265</v>
      </c>
      <c r="D258" s="9" t="n">
        <f aca="false">Raw_Donors!C258</f>
        <v>0</v>
      </c>
      <c r="E258" s="9" t="str">
        <f aca="false">IFERROR(IF(Raw_Donors!D258="","Unknown",Raw_Donors!D258),"Unknown")</f>
        <v>Unknown</v>
      </c>
      <c r="F258" s="9" t="str">
        <f aca="false">IFERROR(IF(Raw_Donors!E258="","Unknown",Raw_Donors!E258),"Unknown")</f>
        <v>Uknown</v>
      </c>
      <c r="G258" s="9" t="str">
        <f aca="false">PROPER(TRIM(Raw_Donors!F258))</f>
        <v>Individual Donor</v>
      </c>
      <c r="H258" s="9" t="str">
        <f aca="false">IFERROR(IF(Raw_Donors!G258="","N",Raw_Donors!G258),"N")</f>
        <v>N</v>
      </c>
      <c r="I258" s="9" t="str">
        <f aca="false">IF(Raw_Donors!H258="","Not Rated",Raw_Donors!H258)</f>
        <v>Not Rated</v>
      </c>
      <c r="J258" s="9" t="str">
        <f aca="false">IF(TRIM(Raw_Donors!I258)="","Unknown",TRIM(Raw_Donors!I258))</f>
        <v>HOME</v>
      </c>
      <c r="K258" s="9" t="str">
        <f aca="false">Raw_Donors!J258</f>
        <v>Y</v>
      </c>
      <c r="L258" s="9" t="n">
        <f aca="false">Raw_Donors!K258</f>
        <v>1</v>
      </c>
      <c r="M258" s="10" t="n">
        <f aca="false">IFERROR(VALUE(SUBSTITUTE(SUBSTITUTE(Raw_Donors!L258,"$",""),",","")),0)</f>
        <v>0</v>
      </c>
      <c r="N258" s="10" t="n">
        <f aca="false">IFERROR(VALUE(SUBSTITUTE(SUBSTITUTE(Raw_Donors!M258,"$",""),",","")),0)</f>
        <v>0</v>
      </c>
      <c r="O258" s="10" t="n">
        <f aca="false">IFERROR(VALUE(SUBSTITUTE(SUBSTITUTE(Raw_Donors!N258,"$",""),",","")),0)</f>
        <v>0</v>
      </c>
      <c r="P258" s="10" t="n">
        <f aca="false">IFERROR(VALUE(SUBSTITUTE(SUBSTITUTE(Raw_Donors!O258,"$",""),",","")),0)</f>
        <v>0</v>
      </c>
      <c r="Q258" s="10" t="n">
        <f aca="false">IFERROR(VALUE(SUBSTITUTE(SUBSTITUTE(Raw_Donors!P258,"$",""),",","")),0)</f>
        <v>0</v>
      </c>
      <c r="R258" s="10" t="n">
        <f aca="false">Raw_Donors!Q258</f>
        <v>840</v>
      </c>
      <c r="S258" s="9" t="str">
        <f aca="false">Raw_Donors!R258</f>
        <v>Y</v>
      </c>
      <c r="T258" s="9" t="str">
        <f aca="false">IF(Raw_Donors!S258="","",Raw_Donors!S258)</f>
        <v/>
      </c>
      <c r="U258" s="9" t="str">
        <f aca="false">IF(AND((O258+P258)&gt;0,Q258=0),"Lapsed - Follow Up","")</f>
        <v/>
      </c>
      <c r="V258" s="9" t="n">
        <f aca="false">RANK(R258,$R$2:$R$759)+COUNTIF($R$2:R258,R258)-1</f>
        <v>66</v>
      </c>
      <c r="W258" s="9" t="str">
        <f aca="false">IF(U258="Lapsed - Follow Up",COUNTIF($U$2:U258,"Lapsed - Follow Up"),"")</f>
        <v/>
      </c>
    </row>
    <row r="259" customFormat="false" ht="15" hidden="false" customHeight="true" outlineLevel="0" collapsed="false">
      <c r="A259" s="9" t="str">
        <f aca="false">Raw_Donors!A259</f>
        <v>D1257</v>
      </c>
      <c r="B259" s="9" t="str">
        <f aca="false">IF(ISNUMBER(SEARCH("-DUP",A259)),"Duplicate ID","")</f>
        <v/>
      </c>
      <c r="C259" s="9" t="n">
        <f aca="false">Raw_Donors!B259</f>
        <v>96091</v>
      </c>
      <c r="D259" s="9" t="n">
        <f aca="false">Raw_Donors!C259</f>
        <v>45</v>
      </c>
      <c r="E259" s="9" t="str">
        <f aca="false">IFERROR(IF(Raw_Donors!D259="","Unknown",Raw_Donors!D259),"Unknown")</f>
        <v>Unknown</v>
      </c>
      <c r="F259" s="9" t="str">
        <f aca="false">IFERROR(IF(Raw_Donors!E259="","Unknown",Raw_Donors!E259),"Unknown")</f>
        <v>Male</v>
      </c>
      <c r="G259" s="9" t="str">
        <f aca="false">PROPER(TRIM(Raw_Donors!F259))</f>
        <v>Community Partner</v>
      </c>
      <c r="H259" s="9" t="str">
        <f aca="false">IFERROR(IF(Raw_Donors!G259="","N",Raw_Donors!G259),"N")</f>
        <v>Y</v>
      </c>
      <c r="I259" s="9" t="str">
        <f aca="false">IF(Raw_Donors!H259="","Not Rated",Raw_Donors!H259)</f>
        <v>$1-$24,999</v>
      </c>
      <c r="J259" s="9" t="str">
        <f aca="false">IF(TRIM(Raw_Donors!I259)="","Unknown",TRIM(Raw_Donors!I259))</f>
        <v>HOME</v>
      </c>
      <c r="K259" s="9" t="str">
        <f aca="false">Raw_Donors!J259</f>
        <v>N</v>
      </c>
      <c r="L259" s="9" t="n">
        <f aca="false">Raw_Donors!K259</f>
        <v>0</v>
      </c>
      <c r="M259" s="10" t="n">
        <f aca="false">IFERROR(VALUE(SUBSTITUTE(SUBSTITUTE(Raw_Donors!L259,"$",""),",","")),0)</f>
        <v>0</v>
      </c>
      <c r="N259" s="10" t="n">
        <f aca="false">IFERROR(VALUE(SUBSTITUTE(SUBSTITUTE(Raw_Donors!M259,"$",""),",","")),0)</f>
        <v>0</v>
      </c>
      <c r="O259" s="10" t="n">
        <f aca="false">IFERROR(VALUE(SUBSTITUTE(SUBSTITUTE(Raw_Donors!N259,"$",""),",","")),0)</f>
        <v>0</v>
      </c>
      <c r="P259" s="10" t="n">
        <f aca="false">IFERROR(VALUE(SUBSTITUTE(SUBSTITUTE(Raw_Donors!O259,"$",""),",","")),0)</f>
        <v>0</v>
      </c>
      <c r="Q259" s="10" t="n">
        <f aca="false">IFERROR(VALUE(SUBSTITUTE(SUBSTITUTE(Raw_Donors!P259,"$",""),",","")),0)</f>
        <v>0</v>
      </c>
      <c r="R259" s="10" t="n">
        <f aca="false">Raw_Donors!Q259</f>
        <v>0</v>
      </c>
      <c r="S259" s="9" t="str">
        <f aca="false">Raw_Donors!R259</f>
        <v>N</v>
      </c>
      <c r="T259" s="9" t="str">
        <f aca="false">IF(Raw_Donors!S259="","",Raw_Donors!S259)</f>
        <v>1972-01-19</v>
      </c>
      <c r="U259" s="9" t="str">
        <f aca="false">IF(AND((O259+P259)&gt;0,Q259=0),"Lapsed - Follow Up","")</f>
        <v/>
      </c>
      <c r="V259" s="9" t="n">
        <f aca="false">RANK(R259,$R$2:$R$759)+COUNTIF($R$2:R259,R259)-1</f>
        <v>624</v>
      </c>
      <c r="W259" s="9" t="str">
        <f aca="false">IF(U259="Lapsed - Follow Up",COUNTIF($U$2:U259,"Lapsed - Follow Up"),"")</f>
        <v/>
      </c>
    </row>
    <row r="260" customFormat="false" ht="15" hidden="false" customHeight="true" outlineLevel="0" collapsed="false">
      <c r="A260" s="9" t="str">
        <f aca="false">Raw_Donors!A260</f>
        <v>D1258</v>
      </c>
      <c r="B260" s="9" t="str">
        <f aca="false">IF(ISNUMBER(SEARCH("-DUP",A260)),"Duplicate ID","")</f>
        <v/>
      </c>
      <c r="C260" s="9" t="n">
        <f aca="false">Raw_Donors!B260</f>
        <v>50430</v>
      </c>
      <c r="D260" s="9" t="n">
        <f aca="false">Raw_Donors!C260</f>
        <v>58</v>
      </c>
      <c r="E260" s="9" t="str">
        <f aca="false">IFERROR(IF(Raw_Donors!D260="","Unknown",Raw_Donors!D260),"Unknown")</f>
        <v>Unknown</v>
      </c>
      <c r="F260" s="9" t="str">
        <f aca="false">IFERROR(IF(Raw_Donors!E260="","Unknown",Raw_Donors!E260),"Unknown")</f>
        <v>Male</v>
      </c>
      <c r="G260" s="9" t="str">
        <f aca="false">PROPER(TRIM(Raw_Donors!F260))</f>
        <v>Individual Donor</v>
      </c>
      <c r="H260" s="9" t="str">
        <f aca="false">IFERROR(IF(Raw_Donors!G260="","N",Raw_Donors!G260),"N")</f>
        <v>N</v>
      </c>
      <c r="I260" s="9" t="str">
        <f aca="false">IF(Raw_Donors!H260="","Not Rated",Raw_Donors!H260)</f>
        <v>Not Rated</v>
      </c>
      <c r="J260" s="9" t="str">
        <f aca="false">IF(TRIM(Raw_Donors!I260)="","Unknown",TRIM(Raw_Donors!I260))</f>
        <v>HOME</v>
      </c>
      <c r="K260" s="9" t="str">
        <f aca="false">Raw_Donors!J260</f>
        <v>N</v>
      </c>
      <c r="L260" s="9" t="n">
        <f aca="false">Raw_Donors!K260</f>
        <v>0</v>
      </c>
      <c r="M260" s="10" t="n">
        <f aca="false">IFERROR(VALUE(SUBSTITUTE(SUBSTITUTE(Raw_Donors!L260,"$",""),",","")),0)</f>
        <v>0</v>
      </c>
      <c r="N260" s="10" t="n">
        <f aca="false">IFERROR(VALUE(SUBSTITUTE(SUBSTITUTE(Raw_Donors!M260,"$",""),",","")),0)</f>
        <v>0</v>
      </c>
      <c r="O260" s="10" t="n">
        <f aca="false">IFERROR(VALUE(SUBSTITUTE(SUBSTITUTE(Raw_Donors!N260,"$",""),",","")),0)</f>
        <v>0</v>
      </c>
      <c r="P260" s="10" t="n">
        <f aca="false">IFERROR(VALUE(SUBSTITUTE(SUBSTITUTE(Raw_Donors!O260,"$",""),",","")),0)</f>
        <v>0</v>
      </c>
      <c r="Q260" s="10" t="n">
        <f aca="false">IFERROR(VALUE(SUBSTITUTE(SUBSTITUTE(Raw_Donors!P260,"$",""),",","")),0)</f>
        <v>0</v>
      </c>
      <c r="R260" s="10" t="n">
        <f aca="false">Raw_Donors!Q260</f>
        <v>0</v>
      </c>
      <c r="S260" s="9" t="str">
        <f aca="false">Raw_Donors!R260</f>
        <v>N</v>
      </c>
      <c r="T260" s="9" t="str">
        <f aca="false">IF(Raw_Donors!S260="","",Raw_Donors!S260)</f>
        <v>1959-12-09</v>
      </c>
      <c r="U260" s="9" t="str">
        <f aca="false">IF(AND((O260+P260)&gt;0,Q260=0),"Lapsed - Follow Up","")</f>
        <v/>
      </c>
      <c r="V260" s="9" t="n">
        <f aca="false">RANK(R260,$R$2:$R$759)+COUNTIF($R$2:R260,R260)-1</f>
        <v>625</v>
      </c>
      <c r="W260" s="9" t="str">
        <f aca="false">IF(U260="Lapsed - Follow Up",COUNTIF($U$2:U260,"Lapsed - Follow Up"),"")</f>
        <v/>
      </c>
    </row>
    <row r="261" customFormat="false" ht="15" hidden="false" customHeight="true" outlineLevel="0" collapsed="false">
      <c r="A261" s="9" t="str">
        <f aca="false">Raw_Donors!A261</f>
        <v>D1259</v>
      </c>
      <c r="B261" s="9" t="str">
        <f aca="false">IF(ISNUMBER(SEARCH("-DUP",A261)),"Duplicate ID","")</f>
        <v/>
      </c>
      <c r="C261" s="9" t="n">
        <f aca="false">Raw_Donors!B261</f>
        <v>12094</v>
      </c>
      <c r="D261" s="9" t="n">
        <f aca="false">Raw_Donors!C261</f>
        <v>42</v>
      </c>
      <c r="E261" s="9" t="str">
        <f aca="false">IFERROR(IF(Raw_Donors!D261="","Unknown",Raw_Donors!D261),"Unknown")</f>
        <v>Unknown</v>
      </c>
      <c r="F261" s="9" t="str">
        <f aca="false">IFERROR(IF(Raw_Donors!E261="","Unknown",Raw_Donors!E261),"Unknown")</f>
        <v>Female</v>
      </c>
      <c r="G261" s="9" t="str">
        <f aca="false">PROPER(TRIM(Raw_Donors!F261))</f>
        <v>Community Partner</v>
      </c>
      <c r="H261" s="9" t="str">
        <f aca="false">IFERROR(IF(Raw_Donors!G261="","N",Raw_Donors!G261),"N")</f>
        <v>Y</v>
      </c>
      <c r="I261" s="9" t="str">
        <f aca="false">IF(Raw_Donors!H261="","Not Rated",Raw_Donors!H261)</f>
        <v>Not Rated</v>
      </c>
      <c r="J261" s="9" t="str">
        <f aca="false">IF(TRIM(Raw_Donors!I261)="","Unknown",TRIM(Raw_Donors!I261))</f>
        <v>HOME</v>
      </c>
      <c r="K261" s="9" t="str">
        <f aca="false">Raw_Donors!J261</f>
        <v>N</v>
      </c>
      <c r="L261" s="9" t="n">
        <f aca="false">Raw_Donors!K261</f>
        <v>1</v>
      </c>
      <c r="M261" s="10" t="n">
        <f aca="false">IFERROR(VALUE(SUBSTITUTE(SUBSTITUTE(Raw_Donors!L261,"$",""),",","")),0)</f>
        <v>0</v>
      </c>
      <c r="N261" s="10" t="n">
        <f aca="false">IFERROR(VALUE(SUBSTITUTE(SUBSTITUTE(Raw_Donors!M261,"$",""),",","")),0)</f>
        <v>0</v>
      </c>
      <c r="O261" s="10" t="n">
        <f aca="false">IFERROR(VALUE(SUBSTITUTE(SUBSTITUTE(Raw_Donors!N261,"$",""),",","")),0)</f>
        <v>0</v>
      </c>
      <c r="P261" s="10" t="n">
        <f aca="false">IFERROR(VALUE(SUBSTITUTE(SUBSTITUTE(Raw_Donors!O261,"$",""),",","")),0)</f>
        <v>0</v>
      </c>
      <c r="Q261" s="10" t="n">
        <f aca="false">IFERROR(VALUE(SUBSTITUTE(SUBSTITUTE(Raw_Donors!P261,"$",""),",","")),0)</f>
        <v>0</v>
      </c>
      <c r="R261" s="10" t="n">
        <f aca="false">Raw_Donors!Q261</f>
        <v>70</v>
      </c>
      <c r="S261" s="9" t="str">
        <f aca="false">Raw_Donors!R261</f>
        <v>Y</v>
      </c>
      <c r="T261" s="9" t="str">
        <f aca="false">IF(Raw_Donors!S261="","",Raw_Donors!S261)</f>
        <v>1975-12-11</v>
      </c>
      <c r="U261" s="9" t="str">
        <f aca="false">IF(AND((O261+P261)&gt;0,Q261=0),"Lapsed - Follow Up","")</f>
        <v/>
      </c>
      <c r="V261" s="9" t="n">
        <f aca="false">RANK(R261,$R$2:$R$759)+COUNTIF($R$2:R261,R261)-1</f>
        <v>339</v>
      </c>
      <c r="W261" s="9" t="str">
        <f aca="false">IF(U261="Lapsed - Follow Up",COUNTIF($U$2:U261,"Lapsed - Follow Up"),"")</f>
        <v/>
      </c>
    </row>
    <row r="262" customFormat="false" ht="15" hidden="false" customHeight="true" outlineLevel="0" collapsed="false">
      <c r="A262" s="9" t="str">
        <f aca="false">Raw_Donors!A262</f>
        <v>D1260</v>
      </c>
      <c r="B262" s="9" t="str">
        <f aca="false">IF(ISNUMBER(SEARCH("-DUP",A262)),"Duplicate ID","")</f>
        <v/>
      </c>
      <c r="C262" s="9" t="n">
        <f aca="false">Raw_Donors!B262</f>
        <v>84724</v>
      </c>
      <c r="D262" s="9" t="n">
        <f aca="false">Raw_Donors!C262</f>
        <v>24</v>
      </c>
      <c r="E262" s="9" t="str">
        <f aca="false">IFERROR(IF(Raw_Donors!D262="","Unknown",Raw_Donors!D262),"Unknown")</f>
        <v>Unknown</v>
      </c>
      <c r="F262" s="9" t="str">
        <f aca="false">IFERROR(IF(Raw_Donors!E262="","Unknown",Raw_Donors!E262),"Unknown")</f>
        <v>Female</v>
      </c>
      <c r="G262" s="9" t="str">
        <f aca="false">PROPER(TRIM(Raw_Donors!F262))</f>
        <v>Community Partner</v>
      </c>
      <c r="H262" s="9" t="str">
        <f aca="false">IFERROR(IF(Raw_Donors!G262="","N",Raw_Donors!G262),"N")</f>
        <v>Y</v>
      </c>
      <c r="I262" s="9" t="str">
        <f aca="false">IF(Raw_Donors!H262="","Not Rated",Raw_Donors!H262)</f>
        <v>Not Rated</v>
      </c>
      <c r="J262" s="9" t="str">
        <f aca="false">IF(TRIM(Raw_Donors!I262)="","Unknown",TRIM(Raw_Donors!I262))</f>
        <v>HOME</v>
      </c>
      <c r="K262" s="9" t="str">
        <f aca="false">Raw_Donors!J262</f>
        <v>Y</v>
      </c>
      <c r="L262" s="9" t="n">
        <f aca="false">Raw_Donors!K262</f>
        <v>1</v>
      </c>
      <c r="M262" s="10" t="n">
        <f aca="false">IFERROR(VALUE(SUBSTITUTE(SUBSTITUTE(Raw_Donors!L262,"$",""),",","")),0)</f>
        <v>0</v>
      </c>
      <c r="N262" s="10" t="n">
        <f aca="false">IFERROR(VALUE(SUBSTITUTE(SUBSTITUTE(Raw_Donors!M262,"$",""),",","")),0)</f>
        <v>0</v>
      </c>
      <c r="O262" s="10" t="n">
        <f aca="false">IFERROR(VALUE(SUBSTITUTE(SUBSTITUTE(Raw_Donors!N262,"$",""),",","")),0)</f>
        <v>0</v>
      </c>
      <c r="P262" s="10" t="n">
        <f aca="false">IFERROR(VALUE(SUBSTITUTE(SUBSTITUTE(Raw_Donors!O262,"$",""),",","")),0)</f>
        <v>0</v>
      </c>
      <c r="Q262" s="10" t="n">
        <f aca="false">IFERROR(VALUE(SUBSTITUTE(SUBSTITUTE(Raw_Donors!P262,"$",""),",","")),0)</f>
        <v>0</v>
      </c>
      <c r="R262" s="10" t="n">
        <f aca="false">Raw_Donors!Q262</f>
        <v>0</v>
      </c>
      <c r="S262" s="9" t="str">
        <f aca="false">Raw_Donors!R262</f>
        <v>N</v>
      </c>
      <c r="T262" s="9" t="str">
        <f aca="false">IF(Raw_Donors!S262="","",Raw_Donors!S262)</f>
        <v>1993-12-17</v>
      </c>
      <c r="U262" s="9" t="str">
        <f aca="false">IF(AND((O262+P262)&gt;0,Q262=0),"Lapsed - Follow Up","")</f>
        <v/>
      </c>
      <c r="V262" s="9" t="n">
        <f aca="false">RANK(R262,$R$2:$R$759)+COUNTIF($R$2:R262,R262)-1</f>
        <v>626</v>
      </c>
      <c r="W262" s="9" t="str">
        <f aca="false">IF(U262="Lapsed - Follow Up",COUNTIF($U$2:U262,"Lapsed - Follow Up"),"")</f>
        <v/>
      </c>
    </row>
    <row r="263" customFormat="false" ht="15" hidden="false" customHeight="true" outlineLevel="0" collapsed="false">
      <c r="A263" s="9" t="str">
        <f aca="false">Raw_Donors!A263</f>
        <v>D1261</v>
      </c>
      <c r="B263" s="9" t="str">
        <f aca="false">IF(ISNUMBER(SEARCH("-DUP",A263)),"Duplicate ID","")</f>
        <v/>
      </c>
      <c r="C263" s="9" t="n">
        <f aca="false">Raw_Donors!B263</f>
        <v>63860</v>
      </c>
      <c r="D263" s="9" t="n">
        <f aca="false">Raw_Donors!C263</f>
        <v>51</v>
      </c>
      <c r="E263" s="9" t="str">
        <f aca="false">IFERROR(IF(Raw_Donors!D263="","Unknown",Raw_Donors!D263),"Unknown")</f>
        <v>Unknown</v>
      </c>
      <c r="F263" s="9" t="str">
        <f aca="false">IFERROR(IF(Raw_Donors!E263="","Unknown",Raw_Donors!E263),"Unknown")</f>
        <v>Unknown</v>
      </c>
      <c r="G263" s="9" t="str">
        <f aca="false">PROPER(TRIM(Raw_Donors!F263))</f>
        <v>Individual Donor</v>
      </c>
      <c r="H263" s="9" t="str">
        <f aca="false">IFERROR(IF(Raw_Donors!G263="","N",Raw_Donors!G263),"N")</f>
        <v>N</v>
      </c>
      <c r="I263" s="9" t="str">
        <f aca="false">IF(Raw_Donors!H263="","Not Rated",Raw_Donors!H263)</f>
        <v>Not Rated</v>
      </c>
      <c r="J263" s="9" t="str">
        <f aca="false">IF(TRIM(Raw_Donors!I263)="","Unknown",TRIM(Raw_Donors!I263))</f>
        <v>HOME</v>
      </c>
      <c r="K263" s="9" t="str">
        <f aca="false">Raw_Donors!J263</f>
        <v>N</v>
      </c>
      <c r="L263" s="9" t="n">
        <f aca="false">Raw_Donors!K263</f>
        <v>0</v>
      </c>
      <c r="M263" s="10" t="n">
        <f aca="false">IFERROR(VALUE(SUBSTITUTE(SUBSTITUTE(Raw_Donors!L263,"$",""),",","")),0)</f>
        <v>0</v>
      </c>
      <c r="N263" s="10" t="n">
        <f aca="false">IFERROR(VALUE(SUBSTITUTE(SUBSTITUTE(Raw_Donors!M263,"$",""),",","")),0)</f>
        <v>0</v>
      </c>
      <c r="O263" s="10" t="n">
        <f aca="false">IFERROR(VALUE(SUBSTITUTE(SUBSTITUTE(Raw_Donors!N263,"$",""),",","")),0)</f>
        <v>0</v>
      </c>
      <c r="P263" s="10" t="n">
        <f aca="false">IFERROR(VALUE(SUBSTITUTE(SUBSTITUTE(Raw_Donors!O263,"$",""),",","")),0)</f>
        <v>0</v>
      </c>
      <c r="Q263" s="10" t="n">
        <f aca="false">IFERROR(VALUE(SUBSTITUTE(SUBSTITUTE(Raw_Donors!P263,"$",""),",","")),0)</f>
        <v>0</v>
      </c>
      <c r="R263" s="10" t="n">
        <f aca="false">Raw_Donors!Q263</f>
        <v>300</v>
      </c>
      <c r="S263" s="9" t="str">
        <f aca="false">Raw_Donors!R263</f>
        <v>Y</v>
      </c>
      <c r="T263" s="9" t="str">
        <f aca="false">IF(Raw_Donors!S263="","",Raw_Donors!S263)</f>
        <v>1966-12-21</v>
      </c>
      <c r="U263" s="9" t="str">
        <f aca="false">IF(AND((O263+P263)&gt;0,Q263=0),"Lapsed - Follow Up","")</f>
        <v/>
      </c>
      <c r="V263" s="9" t="n">
        <f aca="false">RANK(R263,$R$2:$R$759)+COUNTIF($R$2:R263,R263)-1</f>
        <v>142</v>
      </c>
      <c r="W263" s="9" t="str">
        <f aca="false">IF(U263="Lapsed - Follow Up",COUNTIF($U$2:U263,"Lapsed - Follow Up"),"")</f>
        <v/>
      </c>
    </row>
    <row r="264" customFormat="false" ht="15" hidden="false" customHeight="true" outlineLevel="0" collapsed="false">
      <c r="A264" s="9" t="str">
        <f aca="false">Raw_Donors!A264</f>
        <v>D1262</v>
      </c>
      <c r="B264" s="9" t="str">
        <f aca="false">IF(ISNUMBER(SEARCH("-DUP",A264)),"Duplicate ID","")</f>
        <v/>
      </c>
      <c r="C264" s="9" t="n">
        <f aca="false">Raw_Donors!B264</f>
        <v>79944</v>
      </c>
      <c r="D264" s="9" t="n">
        <f aca="false">Raw_Donors!C264</f>
        <v>0</v>
      </c>
      <c r="E264" s="9" t="str">
        <f aca="false">IFERROR(IF(Raw_Donors!D264="","Unknown",Raw_Donors!D264),"Unknown")</f>
        <v>Married</v>
      </c>
      <c r="F264" s="9" t="str">
        <f aca="false">IFERROR(IF(Raw_Donors!E264="","Unknown",Raw_Donors!E264),"Unknown")</f>
        <v>Male</v>
      </c>
      <c r="G264" s="9" t="str">
        <f aca="false">PROPER(TRIM(Raw_Donors!F264))</f>
        <v>Individual Donor</v>
      </c>
      <c r="H264" s="9" t="str">
        <f aca="false">IFERROR(IF(Raw_Donors!G264="","N",Raw_Donors!G264),"N")</f>
        <v>N</v>
      </c>
      <c r="I264" s="9" t="str">
        <f aca="false">IF(Raw_Donors!H264="","Not Rated",Raw_Donors!H264)</f>
        <v>Not Rated</v>
      </c>
      <c r="J264" s="9" t="str">
        <f aca="false">IF(TRIM(Raw_Donors!I264)="","Unknown",TRIM(Raw_Donors!I264))</f>
        <v>HOME</v>
      </c>
      <c r="K264" s="9" t="str">
        <f aca="false">Raw_Donors!J264</f>
        <v>N</v>
      </c>
      <c r="L264" s="9" t="n">
        <f aca="false">Raw_Donors!K264</f>
        <v>1</v>
      </c>
      <c r="M264" s="10" t="n">
        <f aca="false">IFERROR(VALUE(SUBSTITUTE(SUBSTITUTE(Raw_Donors!L264,"$",""),",","")),0)</f>
        <v>0</v>
      </c>
      <c r="N264" s="10" t="n">
        <f aca="false">IFERROR(VALUE(SUBSTITUTE(SUBSTITUTE(Raw_Donors!M264,"$",""),",","")),0)</f>
        <v>0</v>
      </c>
      <c r="O264" s="10" t="n">
        <f aca="false">IFERROR(VALUE(SUBSTITUTE(SUBSTITUTE(Raw_Donors!N264,"$",""),",","")),0)</f>
        <v>0</v>
      </c>
      <c r="P264" s="10" t="n">
        <f aca="false">IFERROR(VALUE(SUBSTITUTE(SUBSTITUTE(Raw_Donors!O264,"$",""),",","")),0)</f>
        <v>0</v>
      </c>
      <c r="Q264" s="10" t="n">
        <f aca="false">IFERROR(VALUE(SUBSTITUTE(SUBSTITUTE(Raw_Donors!P264,"$",""),",","")),0)</f>
        <v>0</v>
      </c>
      <c r="R264" s="10" t="n">
        <f aca="false">Raw_Donors!Q264</f>
        <v>528</v>
      </c>
      <c r="S264" s="9" t="str">
        <f aca="false">Raw_Donors!R264</f>
        <v>Y</v>
      </c>
      <c r="T264" s="9" t="str">
        <f aca="false">IF(Raw_Donors!S264="","",Raw_Donors!S264)</f>
        <v/>
      </c>
      <c r="U264" s="9" t="str">
        <f aca="false">IF(AND((O264+P264)&gt;0,Q264=0),"Lapsed - Follow Up","")</f>
        <v/>
      </c>
      <c r="V264" s="9" t="n">
        <f aca="false">RANK(R264,$R$2:$R$759)+COUNTIF($R$2:R264,R264)-1</f>
        <v>86</v>
      </c>
      <c r="W264" s="9" t="str">
        <f aca="false">IF(U264="Lapsed - Follow Up",COUNTIF($U$2:U264,"Lapsed - Follow Up"),"")</f>
        <v/>
      </c>
    </row>
    <row r="265" customFormat="false" ht="15" hidden="false" customHeight="true" outlineLevel="0" collapsed="false">
      <c r="A265" s="9" t="str">
        <f aca="false">Raw_Donors!A265</f>
        <v>D1263</v>
      </c>
      <c r="B265" s="9" t="str">
        <f aca="false">IF(ISNUMBER(SEARCH("-DUP",A265)),"Duplicate ID","")</f>
        <v/>
      </c>
      <c r="C265" s="9" t="n">
        <f aca="false">Raw_Donors!B265</f>
        <v>76113</v>
      </c>
      <c r="D265" s="9" t="n">
        <f aca="false">Raw_Donors!C265</f>
        <v>55</v>
      </c>
      <c r="E265" s="9" t="str">
        <f aca="false">IFERROR(IF(Raw_Donors!D265="","Unknown",Raw_Donors!D265),"Unknown")</f>
        <v>Unknown</v>
      </c>
      <c r="F265" s="9" t="str">
        <f aca="false">IFERROR(IF(Raw_Donors!E265="","Unknown",Raw_Donors!E265),"Unknown")</f>
        <v>Male</v>
      </c>
      <c r="G265" s="9" t="str">
        <f aca="false">PROPER(TRIM(Raw_Donors!F265))</f>
        <v>Community Partner</v>
      </c>
      <c r="H265" s="9" t="str">
        <f aca="false">IFERROR(IF(Raw_Donors!G265="","N",Raw_Donors!G265),"N")</f>
        <v>Y</v>
      </c>
      <c r="I265" s="9" t="str">
        <f aca="false">IF(Raw_Donors!H265="","Not Rated",Raw_Donors!H265)</f>
        <v>Not Rated</v>
      </c>
      <c r="J265" s="9" t="str">
        <f aca="false">IF(TRIM(Raw_Donors!I265)="","Unknown",TRIM(Raw_Donors!I265))</f>
        <v>HOME</v>
      </c>
      <c r="K265" s="9" t="str">
        <f aca="false">Raw_Donors!J265</f>
        <v>Y</v>
      </c>
      <c r="L265" s="9" t="n">
        <f aca="false">Raw_Donors!K265</f>
        <v>2</v>
      </c>
      <c r="M265" s="10" t="n">
        <f aca="false">IFERROR(VALUE(SUBSTITUTE(SUBSTITUTE(Raw_Donors!L265,"$",""),",","")),0)</f>
        <v>0</v>
      </c>
      <c r="N265" s="10" t="n">
        <f aca="false">IFERROR(VALUE(SUBSTITUTE(SUBSTITUTE(Raw_Donors!M265,"$",""),",","")),0)</f>
        <v>0</v>
      </c>
      <c r="O265" s="10" t="n">
        <f aca="false">IFERROR(VALUE(SUBSTITUTE(SUBSTITUTE(Raw_Donors!N265,"$",""),",","")),0)</f>
        <v>0</v>
      </c>
      <c r="P265" s="10" t="n">
        <f aca="false">IFERROR(VALUE(SUBSTITUTE(SUBSTITUTE(Raw_Donors!O265,"$",""),",","")),0)</f>
        <v>0</v>
      </c>
      <c r="Q265" s="10" t="n">
        <f aca="false">IFERROR(VALUE(SUBSTITUTE(SUBSTITUTE(Raw_Donors!P265,"$",""),",","")),0)</f>
        <v>0</v>
      </c>
      <c r="R265" s="10" t="n">
        <f aca="false">Raw_Donors!Q265</f>
        <v>30</v>
      </c>
      <c r="S265" s="9" t="str">
        <f aca="false">Raw_Donors!R265</f>
        <v>Y</v>
      </c>
      <c r="T265" s="9" t="str">
        <f aca="false">IF(Raw_Donors!S265="","",Raw_Donors!S265)</f>
        <v>1962-03-15</v>
      </c>
      <c r="U265" s="9" t="str">
        <f aca="false">IF(AND((O265+P265)&gt;0,Q265=0),"Lapsed - Follow Up","")</f>
        <v/>
      </c>
      <c r="V265" s="9" t="n">
        <f aca="false">RANK(R265,$R$2:$R$759)+COUNTIF($R$2:R265,R265)-1</f>
        <v>417</v>
      </c>
      <c r="W265" s="9" t="str">
        <f aca="false">IF(U265="Lapsed - Follow Up",COUNTIF($U$2:U265,"Lapsed - Follow Up"),"")</f>
        <v/>
      </c>
    </row>
    <row r="266" customFormat="false" ht="15" hidden="false" customHeight="true" outlineLevel="0" collapsed="false">
      <c r="A266" s="9" t="str">
        <f aca="false">Raw_Donors!A266</f>
        <v>D1264</v>
      </c>
      <c r="B266" s="9" t="str">
        <f aca="false">IF(ISNUMBER(SEARCH("-DUP",A266)),"Duplicate ID","")</f>
        <v/>
      </c>
      <c r="C266" s="9" t="n">
        <f aca="false">Raw_Donors!B266</f>
        <v>72110</v>
      </c>
      <c r="D266" s="9" t="n">
        <f aca="false">Raw_Donors!C266</f>
        <v>0</v>
      </c>
      <c r="E266" s="9" t="str">
        <f aca="false">IFERROR(IF(Raw_Donors!D266="","Unknown",Raw_Donors!D266),"Unknown")</f>
        <v>Single</v>
      </c>
      <c r="F266" s="9" t="str">
        <f aca="false">IFERROR(IF(Raw_Donors!E266="","Unknown",Raw_Donors!E266),"Unknown")</f>
        <v>Uknown</v>
      </c>
      <c r="G266" s="9" t="str">
        <f aca="false">PROPER(TRIM(Raw_Donors!F266))</f>
        <v>Individual Donor</v>
      </c>
      <c r="H266" s="9" t="str">
        <f aca="false">IFERROR(IF(Raw_Donors!G266="","N",Raw_Donors!G266),"N")</f>
        <v>Y</v>
      </c>
      <c r="I266" s="9" t="str">
        <f aca="false">IF(Raw_Donors!H266="","Not Rated",Raw_Donors!H266)</f>
        <v>Not Rated</v>
      </c>
      <c r="J266" s="9" t="str">
        <f aca="false">IF(TRIM(Raw_Donors!I266)="","Unknown",TRIM(Raw_Donors!I266))</f>
        <v>HOME</v>
      </c>
      <c r="K266" s="9" t="str">
        <f aca="false">Raw_Donors!J266</f>
        <v>N</v>
      </c>
      <c r="L266" s="9" t="n">
        <f aca="false">Raw_Donors!K266</f>
        <v>0</v>
      </c>
      <c r="M266" s="10" t="n">
        <f aca="false">IFERROR(VALUE(SUBSTITUTE(SUBSTITUTE(Raw_Donors!L266,"$",""),",","")),0)</f>
        <v>0</v>
      </c>
      <c r="N266" s="10" t="n">
        <f aca="false">IFERROR(VALUE(SUBSTITUTE(SUBSTITUTE(Raw_Donors!M266,"$",""),",","")),0)</f>
        <v>0</v>
      </c>
      <c r="O266" s="10" t="n">
        <f aca="false">IFERROR(VALUE(SUBSTITUTE(SUBSTITUTE(Raw_Donors!N266,"$",""),",","")),0)</f>
        <v>0</v>
      </c>
      <c r="P266" s="10" t="n">
        <f aca="false">IFERROR(VALUE(SUBSTITUTE(SUBSTITUTE(Raw_Donors!O266,"$",""),",","")),0)</f>
        <v>0</v>
      </c>
      <c r="Q266" s="10" t="n">
        <f aca="false">IFERROR(VALUE(SUBSTITUTE(SUBSTITUTE(Raw_Donors!P266,"$",""),",","")),0)</f>
        <v>0</v>
      </c>
      <c r="R266" s="10" t="n">
        <f aca="false">Raw_Donors!Q266</f>
        <v>0</v>
      </c>
      <c r="S266" s="9" t="str">
        <f aca="false">Raw_Donors!R266</f>
        <v>N</v>
      </c>
      <c r="T266" s="9" t="str">
        <f aca="false">IF(Raw_Donors!S266="","",Raw_Donors!S266)</f>
        <v/>
      </c>
      <c r="U266" s="9" t="str">
        <f aca="false">IF(AND((O266+P266)&gt;0,Q266=0),"Lapsed - Follow Up","")</f>
        <v/>
      </c>
      <c r="V266" s="9" t="n">
        <f aca="false">RANK(R266,$R$2:$R$759)+COUNTIF($R$2:R266,R266)-1</f>
        <v>627</v>
      </c>
      <c r="W266" s="9" t="str">
        <f aca="false">IF(U266="Lapsed - Follow Up",COUNTIF($U$2:U266,"Lapsed - Follow Up"),"")</f>
        <v/>
      </c>
    </row>
    <row r="267" customFormat="false" ht="15" hidden="false" customHeight="true" outlineLevel="0" collapsed="false">
      <c r="A267" s="9" t="str">
        <f aca="false">Raw_Donors!A267</f>
        <v>D1265</v>
      </c>
      <c r="B267" s="9" t="str">
        <f aca="false">IF(ISNUMBER(SEARCH("-DUP",A267)),"Duplicate ID","")</f>
        <v/>
      </c>
      <c r="C267" s="9" t="n">
        <f aca="false">Raw_Donors!B267</f>
        <v>6792</v>
      </c>
      <c r="D267" s="9" t="n">
        <f aca="false">Raw_Donors!C267</f>
        <v>0</v>
      </c>
      <c r="E267" s="9" t="str">
        <f aca="false">IFERROR(IF(Raw_Donors!D267="","Unknown",Raw_Donors!D267),"Unknown")</f>
        <v>Unknown</v>
      </c>
      <c r="F267" s="9" t="str">
        <f aca="false">IFERROR(IF(Raw_Donors!E267="","Unknown",Raw_Donors!E267),"Unknown")</f>
        <v>Male</v>
      </c>
      <c r="G267" s="9" t="str">
        <f aca="false">PROPER(TRIM(Raw_Donors!F267))</f>
        <v>Individual Donor</v>
      </c>
      <c r="H267" s="9" t="str">
        <f aca="false">IFERROR(IF(Raw_Donors!G267="","N",Raw_Donors!G267),"N")</f>
        <v>N</v>
      </c>
      <c r="I267" s="9" t="str">
        <f aca="false">IF(Raw_Donors!H267="","Not Rated",Raw_Donors!H267)</f>
        <v>Not Rated</v>
      </c>
      <c r="J267" s="9" t="str">
        <f aca="false">IF(TRIM(Raw_Donors!I267)="","Unknown",TRIM(Raw_Donors!I267))</f>
        <v>HOME</v>
      </c>
      <c r="K267" s="9" t="str">
        <f aca="false">Raw_Donors!J267</f>
        <v>N</v>
      </c>
      <c r="L267" s="9" t="n">
        <f aca="false">Raw_Donors!K267</f>
        <v>1</v>
      </c>
      <c r="M267" s="10" t="n">
        <f aca="false">IFERROR(VALUE(SUBSTITUTE(SUBSTITUTE(Raw_Donors!L267,"$",""),",","")),0)</f>
        <v>0</v>
      </c>
      <c r="N267" s="10" t="n">
        <f aca="false">IFERROR(VALUE(SUBSTITUTE(SUBSTITUTE(Raw_Donors!M267,"$",""),",","")),0)</f>
        <v>0</v>
      </c>
      <c r="O267" s="10" t="n">
        <f aca="false">IFERROR(VALUE(SUBSTITUTE(SUBSTITUTE(Raw_Donors!N267,"$",""),",","")),0)</f>
        <v>0</v>
      </c>
      <c r="P267" s="10" t="n">
        <f aca="false">IFERROR(VALUE(SUBSTITUTE(SUBSTITUTE(Raw_Donors!O267,"$",""),",","")),0)</f>
        <v>0</v>
      </c>
      <c r="Q267" s="10" t="n">
        <f aca="false">IFERROR(VALUE(SUBSTITUTE(SUBSTITUTE(Raw_Donors!P267,"$",""),",","")),0)</f>
        <v>0</v>
      </c>
      <c r="R267" s="10" t="n">
        <f aca="false">Raw_Donors!Q267</f>
        <v>0</v>
      </c>
      <c r="S267" s="9" t="str">
        <f aca="false">Raw_Donors!R267</f>
        <v>N</v>
      </c>
      <c r="T267" s="9" t="str">
        <f aca="false">IF(Raw_Donors!S267="","",Raw_Donors!S267)</f>
        <v/>
      </c>
      <c r="U267" s="9" t="str">
        <f aca="false">IF(AND((O267+P267)&gt;0,Q267=0),"Lapsed - Follow Up","")</f>
        <v/>
      </c>
      <c r="V267" s="9" t="n">
        <f aca="false">RANK(R267,$R$2:$R$759)+COUNTIF($R$2:R267,R267)-1</f>
        <v>628</v>
      </c>
      <c r="W267" s="9" t="str">
        <f aca="false">IF(U267="Lapsed - Follow Up",COUNTIF($U$2:U267,"Lapsed - Follow Up"),"")</f>
        <v/>
      </c>
    </row>
    <row r="268" customFormat="false" ht="15" hidden="false" customHeight="true" outlineLevel="0" collapsed="false">
      <c r="A268" s="9" t="str">
        <f aca="false">Raw_Donors!A268</f>
        <v>D1266</v>
      </c>
      <c r="B268" s="9" t="str">
        <f aca="false">IF(ISNUMBER(SEARCH("-DUP",A268)),"Duplicate ID","")</f>
        <v/>
      </c>
      <c r="C268" s="9" t="n">
        <f aca="false">Raw_Donors!B268</f>
        <v>90265</v>
      </c>
      <c r="D268" s="9" t="n">
        <f aca="false">Raw_Donors!C268</f>
        <v>0</v>
      </c>
      <c r="E268" s="9" t="str">
        <f aca="false">IFERROR(IF(Raw_Donors!D268="","Unknown",Raw_Donors!D268),"Unknown")</f>
        <v>Unknown</v>
      </c>
      <c r="F268" s="9" t="str">
        <f aca="false">IFERROR(IF(Raw_Donors!E268="","Unknown",Raw_Donors!E268),"Unknown")</f>
        <v>Male</v>
      </c>
      <c r="G268" s="9" t="str">
        <f aca="false">PROPER(TRIM(Raw_Donors!F268))</f>
        <v>Individual Donor</v>
      </c>
      <c r="H268" s="9" t="str">
        <f aca="false">IFERROR(IF(Raw_Donors!G268="","N",Raw_Donors!G268),"N")</f>
        <v>N</v>
      </c>
      <c r="I268" s="9" t="str">
        <f aca="false">IF(Raw_Donors!H268="","Not Rated",Raw_Donors!H268)</f>
        <v>Not Rated</v>
      </c>
      <c r="J268" s="9" t="str">
        <f aca="false">IF(TRIM(Raw_Donors!I268)="","Unknown",TRIM(Raw_Donors!I268))</f>
        <v>HOME</v>
      </c>
      <c r="K268" s="9" t="str">
        <f aca="false">Raw_Donors!J268</f>
        <v>N</v>
      </c>
      <c r="L268" s="9" t="n">
        <f aca="false">Raw_Donors!K268</f>
        <v>1</v>
      </c>
      <c r="M268" s="10" t="n">
        <f aca="false">IFERROR(VALUE(SUBSTITUTE(SUBSTITUTE(Raw_Donors!L268,"$",""),",","")),0)</f>
        <v>0</v>
      </c>
      <c r="N268" s="10" t="n">
        <f aca="false">IFERROR(VALUE(SUBSTITUTE(SUBSTITUTE(Raw_Donors!M268,"$",""),",","")),0)</f>
        <v>0</v>
      </c>
      <c r="O268" s="10" t="n">
        <f aca="false">IFERROR(VALUE(SUBSTITUTE(SUBSTITUTE(Raw_Donors!N268,"$",""),",","")),0)</f>
        <v>0</v>
      </c>
      <c r="P268" s="10" t="n">
        <f aca="false">IFERROR(VALUE(SUBSTITUTE(SUBSTITUTE(Raw_Donors!O268,"$",""),",","")),0)</f>
        <v>0</v>
      </c>
      <c r="Q268" s="10" t="n">
        <f aca="false">IFERROR(VALUE(SUBSTITUTE(SUBSTITUTE(Raw_Donors!P268,"$",""),",","")),0)</f>
        <v>0</v>
      </c>
      <c r="R268" s="10" t="n">
        <f aca="false">Raw_Donors!Q268</f>
        <v>0</v>
      </c>
      <c r="S268" s="9" t="str">
        <f aca="false">Raw_Donors!R268</f>
        <v>N</v>
      </c>
      <c r="T268" s="9" t="str">
        <f aca="false">IF(Raw_Donors!S268="","",Raw_Donors!S268)</f>
        <v/>
      </c>
      <c r="U268" s="9" t="str">
        <f aca="false">IF(AND((O268+P268)&gt;0,Q268=0),"Lapsed - Follow Up","")</f>
        <v/>
      </c>
      <c r="V268" s="9" t="n">
        <f aca="false">RANK(R268,$R$2:$R$759)+COUNTIF($R$2:R268,R268)-1</f>
        <v>629</v>
      </c>
      <c r="W268" s="9" t="str">
        <f aca="false">IF(U268="Lapsed - Follow Up",COUNTIF($U$2:U268,"Lapsed - Follow Up"),"")</f>
        <v/>
      </c>
    </row>
    <row r="269" customFormat="false" ht="15" hidden="false" customHeight="true" outlineLevel="0" collapsed="false">
      <c r="A269" s="9" t="str">
        <f aca="false">Raw_Donors!A269</f>
        <v>D1267</v>
      </c>
      <c r="B269" s="9" t="str">
        <f aca="false">IF(ISNUMBER(SEARCH("-DUP",A269)),"Duplicate ID","")</f>
        <v/>
      </c>
      <c r="C269" s="9" t="n">
        <f aca="false">Raw_Donors!B269</f>
        <v>90265</v>
      </c>
      <c r="D269" s="9" t="n">
        <f aca="false">Raw_Donors!C269</f>
        <v>0</v>
      </c>
      <c r="E269" s="9" t="str">
        <f aca="false">IFERROR(IF(Raw_Donors!D269="","Unknown",Raw_Donors!D269),"Unknown")</f>
        <v>Unknown</v>
      </c>
      <c r="F269" s="9" t="str">
        <f aca="false">IFERROR(IF(Raw_Donors!E269="","Unknown",Raw_Donors!E269),"Unknown")</f>
        <v>Female</v>
      </c>
      <c r="G269" s="9" t="str">
        <f aca="false">PROPER(TRIM(Raw_Donors!F269))</f>
        <v>Individual Donor</v>
      </c>
      <c r="H269" s="9" t="str">
        <f aca="false">IFERROR(IF(Raw_Donors!G269="","N",Raw_Donors!G269),"N")</f>
        <v>N</v>
      </c>
      <c r="I269" s="9" t="str">
        <f aca="false">IF(Raw_Donors!H269="","Not Rated",Raw_Donors!H269)</f>
        <v>Not Rated</v>
      </c>
      <c r="J269" s="9" t="str">
        <f aca="false">IF(TRIM(Raw_Donors!I269)="","Unknown",TRIM(Raw_Donors!I269))</f>
        <v>HOME</v>
      </c>
      <c r="K269" s="9" t="str">
        <f aca="false">Raw_Donors!J269</f>
        <v>Y</v>
      </c>
      <c r="L269" s="9" t="n">
        <f aca="false">Raw_Donors!K269</f>
        <v>1</v>
      </c>
      <c r="M269" s="10" t="n">
        <f aca="false">IFERROR(VALUE(SUBSTITUTE(SUBSTITUTE(Raw_Donors!L269,"$",""),",","")),0)</f>
        <v>0</v>
      </c>
      <c r="N269" s="10" t="n">
        <f aca="false">IFERROR(VALUE(SUBSTITUTE(SUBSTITUTE(Raw_Donors!M269,"$",""),",","")),0)</f>
        <v>0</v>
      </c>
      <c r="O269" s="10" t="n">
        <f aca="false">IFERROR(VALUE(SUBSTITUTE(SUBSTITUTE(Raw_Donors!N269,"$",""),",","")),0)</f>
        <v>0</v>
      </c>
      <c r="P269" s="10" t="n">
        <f aca="false">IFERROR(VALUE(SUBSTITUTE(SUBSTITUTE(Raw_Donors!O269,"$",""),",","")),0)</f>
        <v>0</v>
      </c>
      <c r="Q269" s="10" t="n">
        <f aca="false">IFERROR(VALUE(SUBSTITUTE(SUBSTITUTE(Raw_Donors!P269,"$",""),",","")),0)</f>
        <v>0</v>
      </c>
      <c r="R269" s="10" t="n">
        <f aca="false">Raw_Donors!Q269</f>
        <v>0</v>
      </c>
      <c r="S269" s="9" t="str">
        <f aca="false">Raw_Donors!R269</f>
        <v>N</v>
      </c>
      <c r="T269" s="9" t="str">
        <f aca="false">IF(Raw_Donors!S269="","",Raw_Donors!S269)</f>
        <v/>
      </c>
      <c r="U269" s="9" t="str">
        <f aca="false">IF(AND((O269+P269)&gt;0,Q269=0),"Lapsed - Follow Up","")</f>
        <v/>
      </c>
      <c r="V269" s="9" t="n">
        <f aca="false">RANK(R269,$R$2:$R$759)+COUNTIF($R$2:R269,R269)-1</f>
        <v>630</v>
      </c>
      <c r="W269" s="9" t="str">
        <f aca="false">IF(U269="Lapsed - Follow Up",COUNTIF($U$2:U269,"Lapsed - Follow Up"),"")</f>
        <v/>
      </c>
    </row>
    <row r="270" customFormat="false" ht="15" hidden="false" customHeight="true" outlineLevel="0" collapsed="false">
      <c r="A270" s="9" t="str">
        <f aca="false">Raw_Donors!A270</f>
        <v>D1268</v>
      </c>
      <c r="B270" s="9" t="str">
        <f aca="false">IF(ISNUMBER(SEARCH("-DUP",A270)),"Duplicate ID","")</f>
        <v/>
      </c>
      <c r="C270" s="9" t="n">
        <f aca="false">Raw_Donors!B270</f>
        <v>43523</v>
      </c>
      <c r="D270" s="9" t="n">
        <f aca="false">Raw_Donors!C270</f>
        <v>0</v>
      </c>
      <c r="E270" s="9" t="str">
        <f aca="false">IFERROR(IF(Raw_Donors!D270="","Unknown",Raw_Donors!D270),"Unknown")</f>
        <v>Unknown</v>
      </c>
      <c r="F270" s="9" t="str">
        <f aca="false">IFERROR(IF(Raw_Donors!E270="","Unknown",Raw_Donors!E270),"Unknown")</f>
        <v>Female</v>
      </c>
      <c r="G270" s="9" t="str">
        <f aca="false">PROPER(TRIM(Raw_Donors!F270))</f>
        <v>Individual Donor</v>
      </c>
      <c r="H270" s="9" t="str">
        <f aca="false">IFERROR(IF(Raw_Donors!G270="","N",Raw_Donors!G270),"N")</f>
        <v>N</v>
      </c>
      <c r="I270" s="9" t="str">
        <f aca="false">IF(Raw_Donors!H270="","Not Rated",Raw_Donors!H270)</f>
        <v>Not Rated</v>
      </c>
      <c r="J270" s="9" t="str">
        <f aca="false">IF(TRIM(Raw_Donors!I270)="","Unknown",TRIM(Raw_Donors!I270))</f>
        <v>HOME</v>
      </c>
      <c r="K270" s="9" t="str">
        <f aca="false">Raw_Donors!J270</f>
        <v>N</v>
      </c>
      <c r="L270" s="9" t="n">
        <f aca="false">Raw_Donors!K270</f>
        <v>1</v>
      </c>
      <c r="M270" s="10" t="n">
        <f aca="false">IFERROR(VALUE(SUBSTITUTE(SUBSTITUTE(Raw_Donors!L270,"$",""),",","")),0)</f>
        <v>0</v>
      </c>
      <c r="N270" s="10" t="n">
        <f aca="false">IFERROR(VALUE(SUBSTITUTE(SUBSTITUTE(Raw_Donors!M270,"$",""),",","")),0)</f>
        <v>0</v>
      </c>
      <c r="O270" s="10" t="n">
        <f aca="false">IFERROR(VALUE(SUBSTITUTE(SUBSTITUTE(Raw_Donors!N270,"$",""),",","")),0)</f>
        <v>0</v>
      </c>
      <c r="P270" s="10" t="n">
        <f aca="false">IFERROR(VALUE(SUBSTITUTE(SUBSTITUTE(Raw_Donors!O270,"$",""),",","")),0)</f>
        <v>0</v>
      </c>
      <c r="Q270" s="10" t="n">
        <f aca="false">IFERROR(VALUE(SUBSTITUTE(SUBSTITUTE(Raw_Donors!P270,"$",""),",","")),0)</f>
        <v>0</v>
      </c>
      <c r="R270" s="10" t="n">
        <f aca="false">Raw_Donors!Q270</f>
        <v>25</v>
      </c>
      <c r="S270" s="9" t="str">
        <f aca="false">Raw_Donors!R270</f>
        <v>Y</v>
      </c>
      <c r="T270" s="9" t="str">
        <f aca="false">IF(Raw_Donors!S270="","",Raw_Donors!S270)</f>
        <v/>
      </c>
      <c r="U270" s="9" t="str">
        <f aca="false">IF(AND((O270+P270)&gt;0,Q270=0),"Lapsed - Follow Up","")</f>
        <v/>
      </c>
      <c r="V270" s="9" t="n">
        <f aca="false">RANK(R270,$R$2:$R$759)+COUNTIF($R$2:R270,R270)-1</f>
        <v>439</v>
      </c>
      <c r="W270" s="9" t="str">
        <f aca="false">IF(U270="Lapsed - Follow Up",COUNTIF($U$2:U270,"Lapsed - Follow Up"),"")</f>
        <v/>
      </c>
    </row>
    <row r="271" customFormat="false" ht="15" hidden="false" customHeight="true" outlineLevel="0" collapsed="false">
      <c r="A271" s="9" t="str">
        <f aca="false">Raw_Donors!A271</f>
        <v>D1269</v>
      </c>
      <c r="B271" s="9" t="str">
        <f aca="false">IF(ISNUMBER(SEARCH("-DUP",A271)),"Duplicate ID","")</f>
        <v/>
      </c>
      <c r="C271" s="9" t="n">
        <f aca="false">Raw_Donors!B271</f>
        <v>90265</v>
      </c>
      <c r="D271" s="9" t="n">
        <f aca="false">Raw_Donors!C271</f>
        <v>45</v>
      </c>
      <c r="E271" s="9" t="str">
        <f aca="false">IFERROR(IF(Raw_Donors!D271="","Unknown",Raw_Donors!D271),"Unknown")</f>
        <v>Unknown</v>
      </c>
      <c r="F271" s="9" t="str">
        <f aca="false">IFERROR(IF(Raw_Donors!E271="","Unknown",Raw_Donors!E271),"Unknown")</f>
        <v>Male</v>
      </c>
      <c r="G271" s="9" t="str">
        <f aca="false">PROPER(TRIM(Raw_Donors!F271))</f>
        <v>Individual Donor</v>
      </c>
      <c r="H271" s="9" t="str">
        <f aca="false">IFERROR(IF(Raw_Donors!G271="","N",Raw_Donors!G271),"N")</f>
        <v>N</v>
      </c>
      <c r="I271" s="9" t="str">
        <f aca="false">IF(Raw_Donors!H271="","Not Rated",Raw_Donors!H271)</f>
        <v>Not Rated</v>
      </c>
      <c r="J271" s="9" t="str">
        <f aca="false">IF(TRIM(Raw_Donors!I271)="","Unknown",TRIM(Raw_Donors!I271))</f>
        <v>HOME</v>
      </c>
      <c r="K271" s="9" t="str">
        <f aca="false">Raw_Donors!J271</f>
        <v>N</v>
      </c>
      <c r="L271" s="9" t="n">
        <f aca="false">Raw_Donors!K271</f>
        <v>0</v>
      </c>
      <c r="M271" s="10" t="n">
        <f aca="false">IFERROR(VALUE(SUBSTITUTE(SUBSTITUTE(Raw_Donors!L271,"$",""),",","")),0)</f>
        <v>0</v>
      </c>
      <c r="N271" s="10" t="n">
        <f aca="false">IFERROR(VALUE(SUBSTITUTE(SUBSTITUTE(Raw_Donors!M271,"$",""),",","")),0)</f>
        <v>0</v>
      </c>
      <c r="O271" s="10" t="n">
        <f aca="false">IFERROR(VALUE(SUBSTITUTE(SUBSTITUTE(Raw_Donors!N271,"$",""),",","")),0)</f>
        <v>0</v>
      </c>
      <c r="P271" s="10" t="n">
        <f aca="false">IFERROR(VALUE(SUBSTITUTE(SUBSTITUTE(Raw_Donors!O271,"$",""),",","")),0)</f>
        <v>0</v>
      </c>
      <c r="Q271" s="10" t="n">
        <f aca="false">IFERROR(VALUE(SUBSTITUTE(SUBSTITUTE(Raw_Donors!P271,"$",""),",","")),0)</f>
        <v>0</v>
      </c>
      <c r="R271" s="10" t="n">
        <f aca="false">Raw_Donors!Q271</f>
        <v>40</v>
      </c>
      <c r="S271" s="9" t="str">
        <f aca="false">Raw_Donors!R271</f>
        <v>Y</v>
      </c>
      <c r="T271" s="9" t="str">
        <f aca="false">IF(Raw_Donors!S271="","",Raw_Donors!S271)</f>
        <v>1972-06-11</v>
      </c>
      <c r="U271" s="9" t="str">
        <f aca="false">IF(AND((O271+P271)&gt;0,Q271=0),"Lapsed - Follow Up","")</f>
        <v/>
      </c>
      <c r="V271" s="9" t="n">
        <f aca="false">RANK(R271,$R$2:$R$759)+COUNTIF($R$2:R271,R271)-1</f>
        <v>396</v>
      </c>
      <c r="W271" s="9" t="str">
        <f aca="false">IF(U271="Lapsed - Follow Up",COUNTIF($U$2:U271,"Lapsed - Follow Up"),"")</f>
        <v/>
      </c>
    </row>
    <row r="272" customFormat="false" ht="15" hidden="false" customHeight="true" outlineLevel="0" collapsed="false">
      <c r="A272" s="9" t="str">
        <f aca="false">Raw_Donors!A272</f>
        <v>D1270</v>
      </c>
      <c r="B272" s="9" t="str">
        <f aca="false">IF(ISNUMBER(SEARCH("-DUP",A272)),"Duplicate ID","")</f>
        <v/>
      </c>
      <c r="C272" s="9" t="n">
        <f aca="false">Raw_Donors!B272</f>
        <v>93451</v>
      </c>
      <c r="D272" s="9" t="n">
        <f aca="false">Raw_Donors!C272</f>
        <v>0</v>
      </c>
      <c r="E272" s="9" t="str">
        <f aca="false">IFERROR(IF(Raw_Donors!D272="","Unknown",Raw_Donors!D272),"Unknown")</f>
        <v>Unknown</v>
      </c>
      <c r="F272" s="9" t="str">
        <f aca="false">IFERROR(IF(Raw_Donors!E272="","Unknown",Raw_Donors!E272),"Unknown")</f>
        <v>Male</v>
      </c>
      <c r="G272" s="9" t="str">
        <f aca="false">PROPER(TRIM(Raw_Donors!F272))</f>
        <v>Individual Donor</v>
      </c>
      <c r="H272" s="9" t="str">
        <f aca="false">IFERROR(IF(Raw_Donors!G272="","N",Raw_Donors!G272),"N")</f>
        <v>N</v>
      </c>
      <c r="I272" s="9" t="str">
        <f aca="false">IF(Raw_Donors!H272="","Not Rated",Raw_Donors!H272)</f>
        <v>Not Rated</v>
      </c>
      <c r="J272" s="9" t="str">
        <f aca="false">IF(TRIM(Raw_Donors!I272)="","Unknown",TRIM(Raw_Donors!I272))</f>
        <v>HOME</v>
      </c>
      <c r="K272" s="9" t="str">
        <f aca="false">Raw_Donors!J272</f>
        <v>N</v>
      </c>
      <c r="L272" s="9" t="n">
        <f aca="false">Raw_Donors!K272</f>
        <v>2</v>
      </c>
      <c r="M272" s="10" t="n">
        <f aca="false">IFERROR(VALUE(SUBSTITUTE(SUBSTITUTE(Raw_Donors!L272,"$",""),",","")),0)</f>
        <v>0</v>
      </c>
      <c r="N272" s="10" t="n">
        <f aca="false">IFERROR(VALUE(SUBSTITUTE(SUBSTITUTE(Raw_Donors!M272,"$",""),",","")),0)</f>
        <v>0</v>
      </c>
      <c r="O272" s="10" t="n">
        <f aca="false">IFERROR(VALUE(SUBSTITUTE(SUBSTITUTE(Raw_Donors!N272,"$",""),",","")),0)</f>
        <v>0</v>
      </c>
      <c r="P272" s="10" t="n">
        <f aca="false">IFERROR(VALUE(SUBSTITUTE(SUBSTITUTE(Raw_Donors!O272,"$",""),",","")),0)</f>
        <v>0</v>
      </c>
      <c r="Q272" s="10" t="n">
        <f aca="false">IFERROR(VALUE(SUBSTITUTE(SUBSTITUTE(Raw_Donors!P272,"$",""),",","")),0)</f>
        <v>0</v>
      </c>
      <c r="R272" s="10" t="n">
        <f aca="false">Raw_Donors!Q272</f>
        <v>0</v>
      </c>
      <c r="S272" s="9" t="str">
        <f aca="false">Raw_Donors!R272</f>
        <v>N</v>
      </c>
      <c r="T272" s="9" t="str">
        <f aca="false">IF(Raw_Donors!S272="","",Raw_Donors!S272)</f>
        <v/>
      </c>
      <c r="U272" s="9" t="str">
        <f aca="false">IF(AND((O272+P272)&gt;0,Q272=0),"Lapsed - Follow Up","")</f>
        <v/>
      </c>
      <c r="V272" s="9" t="n">
        <f aca="false">RANK(R272,$R$2:$R$759)+COUNTIF($R$2:R272,R272)-1</f>
        <v>631</v>
      </c>
      <c r="W272" s="9" t="str">
        <f aca="false">IF(U272="Lapsed - Follow Up",COUNTIF($U$2:U272,"Lapsed - Follow Up"),"")</f>
        <v/>
      </c>
    </row>
    <row r="273" customFormat="false" ht="15" hidden="false" customHeight="true" outlineLevel="0" collapsed="false">
      <c r="A273" s="9" t="str">
        <f aca="false">Raw_Donors!A273</f>
        <v>D1271</v>
      </c>
      <c r="B273" s="9" t="str">
        <f aca="false">IF(ISNUMBER(SEARCH("-DUP",A273)),"Duplicate ID","")</f>
        <v/>
      </c>
      <c r="C273" s="9" t="n">
        <f aca="false">Raw_Donors!B273</f>
        <v>90265</v>
      </c>
      <c r="D273" s="9" t="n">
        <f aca="false">Raw_Donors!C273</f>
        <v>0</v>
      </c>
      <c r="E273" s="9" t="str">
        <f aca="false">IFERROR(IF(Raw_Donors!D273="","Unknown",Raw_Donors!D273),"Unknown")</f>
        <v>Unknown</v>
      </c>
      <c r="F273" s="9" t="str">
        <f aca="false">IFERROR(IF(Raw_Donors!E273="","Unknown",Raw_Donors!E273),"Unknown")</f>
        <v>Male</v>
      </c>
      <c r="G273" s="9" t="str">
        <f aca="false">PROPER(TRIM(Raw_Donors!F273))</f>
        <v>Individual Donor</v>
      </c>
      <c r="H273" s="9" t="str">
        <f aca="false">IFERROR(IF(Raw_Donors!G273="","N",Raw_Donors!G273),"N")</f>
        <v>N</v>
      </c>
      <c r="I273" s="9" t="str">
        <f aca="false">IF(Raw_Donors!H273="","Not Rated",Raw_Donors!H273)</f>
        <v>Not Rated</v>
      </c>
      <c r="J273" s="9" t="str">
        <f aca="false">IF(TRIM(Raw_Donors!I273)="","Unknown",TRIM(Raw_Donors!I273))</f>
        <v>HOME</v>
      </c>
      <c r="K273" s="9" t="str">
        <f aca="false">Raw_Donors!J273</f>
        <v>N</v>
      </c>
      <c r="L273" s="9" t="n">
        <f aca="false">Raw_Donors!K273</f>
        <v>4</v>
      </c>
      <c r="M273" s="10" t="n">
        <f aca="false">IFERROR(VALUE(SUBSTITUTE(SUBSTITUTE(Raw_Donors!L273,"$",""),",","")),0)</f>
        <v>50</v>
      </c>
      <c r="N273" s="10" t="n">
        <f aca="false">IFERROR(VALUE(SUBSTITUTE(SUBSTITUTE(Raw_Donors!M273,"$",""),",","")),0)</f>
        <v>0</v>
      </c>
      <c r="O273" s="10" t="n">
        <f aca="false">IFERROR(VALUE(SUBSTITUTE(SUBSTITUTE(Raw_Donors!N273,"$",""),",","")),0)</f>
        <v>0</v>
      </c>
      <c r="P273" s="10" t="n">
        <f aca="false">IFERROR(VALUE(SUBSTITUTE(SUBSTITUTE(Raw_Donors!O273,"$",""),",","")),0)</f>
        <v>0</v>
      </c>
      <c r="Q273" s="10" t="n">
        <f aca="false">IFERROR(VALUE(SUBSTITUTE(SUBSTITUTE(Raw_Donors!P273,"$",""),",","")),0)</f>
        <v>0</v>
      </c>
      <c r="R273" s="10" t="n">
        <f aca="false">Raw_Donors!Q273</f>
        <v>50</v>
      </c>
      <c r="S273" s="9" t="str">
        <f aca="false">Raw_Donors!R273</f>
        <v>Y</v>
      </c>
      <c r="T273" s="9" t="str">
        <f aca="false">IF(Raw_Donors!S273="","",Raw_Donors!S273)</f>
        <v/>
      </c>
      <c r="U273" s="9" t="str">
        <f aca="false">IF(AND((O273+P273)&gt;0,Q273=0),"Lapsed - Follow Up","")</f>
        <v/>
      </c>
      <c r="V273" s="9" t="n">
        <f aca="false">RANK(R273,$R$2:$R$759)+COUNTIF($R$2:R273,R273)-1</f>
        <v>371</v>
      </c>
      <c r="W273" s="9" t="str">
        <f aca="false">IF(U273="Lapsed - Follow Up",COUNTIF($U$2:U273,"Lapsed - Follow Up"),"")</f>
        <v/>
      </c>
    </row>
    <row r="274" customFormat="false" ht="15" hidden="false" customHeight="true" outlineLevel="0" collapsed="false">
      <c r="A274" s="9" t="str">
        <f aca="false">Raw_Donors!A274</f>
        <v>D1272</v>
      </c>
      <c r="B274" s="9" t="str">
        <f aca="false">IF(ISNUMBER(SEARCH("-DUP",A274)),"Duplicate ID","")</f>
        <v/>
      </c>
      <c r="C274" s="9" t="n">
        <f aca="false">Raw_Donors!B274</f>
        <v>37131</v>
      </c>
      <c r="D274" s="9" t="n">
        <f aca="false">Raw_Donors!C274</f>
        <v>48</v>
      </c>
      <c r="E274" s="9" t="str">
        <f aca="false">IFERROR(IF(Raw_Donors!D274="","Unknown",Raw_Donors!D274),"Unknown")</f>
        <v>Unknown</v>
      </c>
      <c r="F274" s="9" t="str">
        <f aca="false">IFERROR(IF(Raw_Donors!E274="","Unknown",Raw_Donors!E274),"Unknown")</f>
        <v>Unknown</v>
      </c>
      <c r="G274" s="9" t="str">
        <f aca="false">PROPER(TRIM(Raw_Donors!F274))</f>
        <v>Individual Donor</v>
      </c>
      <c r="H274" s="9" t="str">
        <f aca="false">IFERROR(IF(Raw_Donors!G274="","N",Raw_Donors!G274),"N")</f>
        <v>N</v>
      </c>
      <c r="I274" s="9" t="str">
        <f aca="false">IF(Raw_Donors!H274="","Not Rated",Raw_Donors!H274)</f>
        <v>Not Rated</v>
      </c>
      <c r="J274" s="9" t="str">
        <f aca="false">IF(TRIM(Raw_Donors!I274)="","Unknown",TRIM(Raw_Donors!I274))</f>
        <v>HOME</v>
      </c>
      <c r="K274" s="9" t="str">
        <f aca="false">Raw_Donors!J274</f>
        <v>N</v>
      </c>
      <c r="L274" s="9" t="n">
        <f aca="false">Raw_Donors!K274</f>
        <v>0</v>
      </c>
      <c r="M274" s="10" t="n">
        <f aca="false">IFERROR(VALUE(SUBSTITUTE(SUBSTITUTE(Raw_Donors!L274,"$",""),",","")),0)</f>
        <v>0</v>
      </c>
      <c r="N274" s="10" t="n">
        <f aca="false">IFERROR(VALUE(SUBSTITUTE(SUBSTITUTE(Raw_Donors!M274,"$",""),",","")),0)</f>
        <v>0</v>
      </c>
      <c r="O274" s="10" t="n">
        <f aca="false">IFERROR(VALUE(SUBSTITUTE(SUBSTITUTE(Raw_Donors!N274,"$",""),",","")),0)</f>
        <v>0</v>
      </c>
      <c r="P274" s="10" t="n">
        <f aca="false">IFERROR(VALUE(SUBSTITUTE(SUBSTITUTE(Raw_Donors!O274,"$",""),",","")),0)</f>
        <v>0</v>
      </c>
      <c r="Q274" s="10" t="n">
        <f aca="false">IFERROR(VALUE(SUBSTITUTE(SUBSTITUTE(Raw_Donors!P274,"$",""),",","")),0)</f>
        <v>0</v>
      </c>
      <c r="R274" s="10" t="n">
        <f aca="false">Raw_Donors!Q274</f>
        <v>246</v>
      </c>
      <c r="S274" s="9" t="str">
        <f aca="false">Raw_Donors!R274</f>
        <v>Y</v>
      </c>
      <c r="T274" s="9" t="str">
        <f aca="false">IF(Raw_Donors!S274="","",Raw_Donors!S274)</f>
        <v>1969-05-10</v>
      </c>
      <c r="U274" s="9" t="str">
        <f aca="false">IF(AND((O274+P274)&gt;0,Q274=0),"Lapsed - Follow Up","")</f>
        <v/>
      </c>
      <c r="V274" s="9" t="n">
        <f aca="false">RANK(R274,$R$2:$R$759)+COUNTIF($R$2:R274,R274)-1</f>
        <v>172</v>
      </c>
      <c r="W274" s="9" t="str">
        <f aca="false">IF(U274="Lapsed - Follow Up",COUNTIF($U$2:U274,"Lapsed - Follow Up"),"")</f>
        <v/>
      </c>
    </row>
    <row r="275" customFormat="false" ht="15" hidden="false" customHeight="true" outlineLevel="0" collapsed="false">
      <c r="A275" s="9" t="str">
        <f aca="false">Raw_Donors!A275</f>
        <v>D1273</v>
      </c>
      <c r="B275" s="9" t="str">
        <f aca="false">IF(ISNUMBER(SEARCH("-DUP",A275)),"Duplicate ID","")</f>
        <v/>
      </c>
      <c r="C275" s="9" t="n">
        <f aca="false">Raw_Donors!B275</f>
        <v>90265</v>
      </c>
      <c r="D275" s="9" t="n">
        <f aca="false">Raw_Donors!C275</f>
        <v>37</v>
      </c>
      <c r="E275" s="9" t="str">
        <f aca="false">IFERROR(IF(Raw_Donors!D275="","Unknown",Raw_Donors!D275),"Unknown")</f>
        <v>Unknown</v>
      </c>
      <c r="F275" s="9" t="str">
        <f aca="false">IFERROR(IF(Raw_Donors!E275="","Unknown",Raw_Donors!E275),"Unknown")</f>
        <v>Female</v>
      </c>
      <c r="G275" s="9" t="str">
        <f aca="false">PROPER(TRIM(Raw_Donors!F275))</f>
        <v>Individual Donor</v>
      </c>
      <c r="H275" s="9" t="str">
        <f aca="false">IFERROR(IF(Raw_Donors!G275="","N",Raw_Donors!G275),"N")</f>
        <v>N</v>
      </c>
      <c r="I275" s="9" t="str">
        <f aca="false">IF(Raw_Donors!H275="","Not Rated",Raw_Donors!H275)</f>
        <v>Not Rated</v>
      </c>
      <c r="J275" s="9" t="str">
        <f aca="false">IF(TRIM(Raw_Donors!I275)="","Unknown",TRIM(Raw_Donors!I275))</f>
        <v>HOME</v>
      </c>
      <c r="K275" s="9" t="str">
        <f aca="false">Raw_Donors!J275</f>
        <v>N</v>
      </c>
      <c r="L275" s="9" t="n">
        <f aca="false">Raw_Donors!K275</f>
        <v>0</v>
      </c>
      <c r="M275" s="10" t="n">
        <f aca="false">IFERROR(VALUE(SUBSTITUTE(SUBSTITUTE(Raw_Donors!L275,"$",""),",","")),0)</f>
        <v>0</v>
      </c>
      <c r="N275" s="10" t="n">
        <f aca="false">IFERROR(VALUE(SUBSTITUTE(SUBSTITUTE(Raw_Donors!M275,"$",""),",","")),0)</f>
        <v>0</v>
      </c>
      <c r="O275" s="10" t="n">
        <f aca="false">IFERROR(VALUE(SUBSTITUTE(SUBSTITUTE(Raw_Donors!N275,"$",""),",","")),0)</f>
        <v>0</v>
      </c>
      <c r="P275" s="10" t="n">
        <f aca="false">IFERROR(VALUE(SUBSTITUTE(SUBSTITUTE(Raw_Donors!O275,"$",""),",","")),0)</f>
        <v>0</v>
      </c>
      <c r="Q275" s="10" t="n">
        <f aca="false">IFERROR(VALUE(SUBSTITUTE(SUBSTITUTE(Raw_Donors!P275,"$",""),",","")),0)</f>
        <v>0</v>
      </c>
      <c r="R275" s="10" t="n">
        <f aca="false">Raw_Donors!Q275</f>
        <v>10</v>
      </c>
      <c r="S275" s="9" t="str">
        <f aca="false">Raw_Donors!R275</f>
        <v>Y</v>
      </c>
      <c r="T275" s="9" t="str">
        <f aca="false">IF(Raw_Donors!S275="","",Raw_Donors!S275)</f>
        <v>1980-12-19</v>
      </c>
      <c r="U275" s="9" t="str">
        <f aca="false">IF(AND((O275+P275)&gt;0,Q275=0),"Lapsed - Follow Up","")</f>
        <v/>
      </c>
      <c r="V275" s="9" t="n">
        <f aca="false">RANK(R275,$R$2:$R$759)+COUNTIF($R$2:R275,R275)-1</f>
        <v>496</v>
      </c>
      <c r="W275" s="9" t="str">
        <f aca="false">IF(U275="Lapsed - Follow Up",COUNTIF($U$2:U275,"Lapsed - Follow Up"),"")</f>
        <v/>
      </c>
    </row>
    <row r="276" customFormat="false" ht="15" hidden="false" customHeight="true" outlineLevel="0" collapsed="false">
      <c r="A276" s="9" t="str">
        <f aca="false">Raw_Donors!A276</f>
        <v>D1274</v>
      </c>
      <c r="B276" s="9" t="str">
        <f aca="false">IF(ISNUMBER(SEARCH("-DUP",A276)),"Duplicate ID","")</f>
        <v/>
      </c>
      <c r="C276" s="9" t="n">
        <f aca="false">Raw_Donors!B276</f>
        <v>54217</v>
      </c>
      <c r="D276" s="9" t="n">
        <f aca="false">Raw_Donors!C276</f>
        <v>0</v>
      </c>
      <c r="E276" s="9" t="str">
        <f aca="false">IFERROR(IF(Raw_Donors!D276="","Unknown",Raw_Donors!D276),"Unknown")</f>
        <v>Unknown</v>
      </c>
      <c r="F276" s="9" t="str">
        <f aca="false">IFERROR(IF(Raw_Donors!E276="","Unknown",Raw_Donors!E276),"Unknown")</f>
        <v>Female</v>
      </c>
      <c r="G276" s="9" t="str">
        <f aca="false">PROPER(TRIM(Raw_Donors!F276))</f>
        <v>Individual Donor</v>
      </c>
      <c r="H276" s="9" t="str">
        <f aca="false">IFERROR(IF(Raw_Donors!G276="","N",Raw_Donors!G276),"N")</f>
        <v>N</v>
      </c>
      <c r="I276" s="9" t="str">
        <f aca="false">IF(Raw_Donors!H276="","Not Rated",Raw_Donors!H276)</f>
        <v>Not Rated</v>
      </c>
      <c r="J276" s="9" t="str">
        <f aca="false">IF(TRIM(Raw_Donors!I276)="","Unknown",TRIM(Raw_Donors!I276))</f>
        <v>HOME</v>
      </c>
      <c r="K276" s="9" t="str">
        <f aca="false">Raw_Donors!J276</f>
        <v>N</v>
      </c>
      <c r="L276" s="9" t="n">
        <f aca="false">Raw_Donors!K276</f>
        <v>7</v>
      </c>
      <c r="M276" s="10" t="n">
        <f aca="false">IFERROR(VALUE(SUBSTITUTE(SUBSTITUTE(Raw_Donors!L276,"$",""),",","")),0)</f>
        <v>0</v>
      </c>
      <c r="N276" s="10" t="n">
        <f aca="false">IFERROR(VALUE(SUBSTITUTE(SUBSTITUTE(Raw_Donors!M276,"$",""),",","")),0)</f>
        <v>0</v>
      </c>
      <c r="O276" s="10" t="n">
        <f aca="false">IFERROR(VALUE(SUBSTITUTE(SUBSTITUTE(Raw_Donors!N276,"$",""),",","")),0)</f>
        <v>0</v>
      </c>
      <c r="P276" s="10" t="n">
        <f aca="false">IFERROR(VALUE(SUBSTITUTE(SUBSTITUTE(Raw_Donors!O276,"$",""),",","")),0)</f>
        <v>300</v>
      </c>
      <c r="Q276" s="10" t="n">
        <f aca="false">IFERROR(VALUE(SUBSTITUTE(SUBSTITUTE(Raw_Donors!P276,"$",""),",","")),0)</f>
        <v>0</v>
      </c>
      <c r="R276" s="10" t="n">
        <f aca="false">Raw_Donors!Q276</f>
        <v>555</v>
      </c>
      <c r="S276" s="9" t="str">
        <f aca="false">Raw_Donors!R276</f>
        <v>Y</v>
      </c>
      <c r="T276" s="9" t="str">
        <f aca="false">IF(Raw_Donors!S276="","",Raw_Donors!S276)</f>
        <v/>
      </c>
      <c r="U276" s="9" t="str">
        <f aca="false">IF(AND((O276+P276)&gt;0,Q276=0),"Lapsed - Follow Up","")</f>
        <v>Lapsed - Follow Up</v>
      </c>
      <c r="V276" s="9" t="n">
        <f aca="false">RANK(R276,$R$2:$R$759)+COUNTIF($R$2:R276,R276)-1</f>
        <v>83</v>
      </c>
      <c r="W276" s="9" t="n">
        <f aca="false">IF(U276="Lapsed - Follow Up",COUNTIF($U$2:U276,"Lapsed - Follow Up"),"")</f>
        <v>41</v>
      </c>
    </row>
    <row r="277" customFormat="false" ht="15" hidden="false" customHeight="true" outlineLevel="0" collapsed="false">
      <c r="A277" s="9" t="str">
        <f aca="false">Raw_Donors!A277</f>
        <v>D1275</v>
      </c>
      <c r="B277" s="9" t="str">
        <f aca="false">IF(ISNUMBER(SEARCH("-DUP",A277)),"Duplicate ID","")</f>
        <v/>
      </c>
      <c r="C277" s="9" t="n">
        <f aca="false">Raw_Donors!B277</f>
        <v>67741</v>
      </c>
      <c r="D277" s="9" t="n">
        <f aca="false">Raw_Donors!C277</f>
        <v>26</v>
      </c>
      <c r="E277" s="9" t="str">
        <f aca="false">IFERROR(IF(Raw_Donors!D277="","Unknown",Raw_Donors!D277),"Unknown")</f>
        <v>Unknown</v>
      </c>
      <c r="F277" s="9" t="str">
        <f aca="false">IFERROR(IF(Raw_Donors!E277="","Unknown",Raw_Donors!E277),"Unknown")</f>
        <v>Female</v>
      </c>
      <c r="G277" s="9" t="str">
        <f aca="false">PROPER(TRIM(Raw_Donors!F277))</f>
        <v>Individual Donor</v>
      </c>
      <c r="H277" s="9" t="str">
        <f aca="false">IFERROR(IF(Raw_Donors!G277="","N",Raw_Donors!G277),"N")</f>
        <v>N</v>
      </c>
      <c r="I277" s="9" t="str">
        <f aca="false">IF(Raw_Donors!H277="","Not Rated",Raw_Donors!H277)</f>
        <v>Not Rated</v>
      </c>
      <c r="J277" s="9" t="str">
        <f aca="false">IF(TRIM(Raw_Donors!I277)="","Unknown",TRIM(Raw_Donors!I277))</f>
        <v>HOME</v>
      </c>
      <c r="K277" s="9" t="str">
        <f aca="false">Raw_Donors!J277</f>
        <v>N</v>
      </c>
      <c r="L277" s="9" t="n">
        <f aca="false">Raw_Donors!K277</f>
        <v>0</v>
      </c>
      <c r="M277" s="10" t="n">
        <f aca="false">IFERROR(VALUE(SUBSTITUTE(SUBSTITUTE(Raw_Donors!L277,"$",""),",","")),0)</f>
        <v>0</v>
      </c>
      <c r="N277" s="10" t="n">
        <f aca="false">IFERROR(VALUE(SUBSTITUTE(SUBSTITUTE(Raw_Donors!M277,"$",""),",","")),0)</f>
        <v>0</v>
      </c>
      <c r="O277" s="10" t="n">
        <f aca="false">IFERROR(VALUE(SUBSTITUTE(SUBSTITUTE(Raw_Donors!N277,"$",""),",","")),0)</f>
        <v>0</v>
      </c>
      <c r="P277" s="10" t="n">
        <f aca="false">IFERROR(VALUE(SUBSTITUTE(SUBSTITUTE(Raw_Donors!O277,"$",""),",","")),0)</f>
        <v>0</v>
      </c>
      <c r="Q277" s="10" t="n">
        <f aca="false">IFERROR(VALUE(SUBSTITUTE(SUBSTITUTE(Raw_Donors!P277,"$",""),",","")),0)</f>
        <v>0</v>
      </c>
      <c r="R277" s="10" t="n">
        <f aca="false">Raw_Donors!Q277</f>
        <v>0</v>
      </c>
      <c r="S277" s="9" t="str">
        <f aca="false">Raw_Donors!R277</f>
        <v>N</v>
      </c>
      <c r="T277" s="9" t="str">
        <f aca="false">IF(Raw_Donors!S277="","",Raw_Donors!S277)</f>
        <v>1991-09-16</v>
      </c>
      <c r="U277" s="9" t="str">
        <f aca="false">IF(AND((O277+P277)&gt;0,Q277=0),"Lapsed - Follow Up","")</f>
        <v/>
      </c>
      <c r="V277" s="9" t="n">
        <f aca="false">RANK(R277,$R$2:$R$759)+COUNTIF($R$2:R277,R277)-1</f>
        <v>632</v>
      </c>
      <c r="W277" s="9" t="str">
        <f aca="false">IF(U277="Lapsed - Follow Up",COUNTIF($U$2:U277,"Lapsed - Follow Up"),"")</f>
        <v/>
      </c>
    </row>
    <row r="278" customFormat="false" ht="15" hidden="false" customHeight="true" outlineLevel="0" collapsed="false">
      <c r="A278" s="9" t="str">
        <f aca="false">Raw_Donors!A278</f>
        <v>D1276</v>
      </c>
      <c r="B278" s="9" t="str">
        <f aca="false">IF(ISNUMBER(SEARCH("-DUP",A278)),"Duplicate ID","")</f>
        <v/>
      </c>
      <c r="C278" s="9" t="n">
        <f aca="false">Raw_Donors!B278</f>
        <v>76908</v>
      </c>
      <c r="D278" s="9" t="n">
        <f aca="false">Raw_Donors!C278</f>
        <v>68</v>
      </c>
      <c r="E278" s="9" t="str">
        <f aca="false">IFERROR(IF(Raw_Donors!D278="","Unknown",Raw_Donors!D278),"Unknown")</f>
        <v>Unknown</v>
      </c>
      <c r="F278" s="9" t="str">
        <f aca="false">IFERROR(IF(Raw_Donors!E278="","Unknown",Raw_Donors!E278),"Unknown")</f>
        <v>Male</v>
      </c>
      <c r="G278" s="9" t="str">
        <f aca="false">PROPER(TRIM(Raw_Donors!F278))</f>
        <v>Individual Donor</v>
      </c>
      <c r="H278" s="9" t="str">
        <f aca="false">IFERROR(IF(Raw_Donors!G278="","N",Raw_Donors!G278),"N")</f>
        <v>N</v>
      </c>
      <c r="I278" s="9" t="str">
        <f aca="false">IF(Raw_Donors!H278="","Not Rated",Raw_Donors!H278)</f>
        <v>Not Rated</v>
      </c>
      <c r="J278" s="9" t="str">
        <f aca="false">IF(TRIM(Raw_Donors!I278)="","Unknown",TRIM(Raw_Donors!I278))</f>
        <v>HOME</v>
      </c>
      <c r="K278" s="9" t="str">
        <f aca="false">Raw_Donors!J278</f>
        <v>N</v>
      </c>
      <c r="L278" s="9" t="n">
        <f aca="false">Raw_Donors!K278</f>
        <v>0</v>
      </c>
      <c r="M278" s="10" t="n">
        <f aca="false">IFERROR(VALUE(SUBSTITUTE(SUBSTITUTE(Raw_Donors!L278,"$",""),",","")),0)</f>
        <v>0</v>
      </c>
      <c r="N278" s="10" t="n">
        <f aca="false">IFERROR(VALUE(SUBSTITUTE(SUBSTITUTE(Raw_Donors!M278,"$",""),",","")),0)</f>
        <v>0</v>
      </c>
      <c r="O278" s="10" t="n">
        <f aca="false">IFERROR(VALUE(SUBSTITUTE(SUBSTITUTE(Raw_Donors!N278,"$",""),",","")),0)</f>
        <v>0</v>
      </c>
      <c r="P278" s="10" t="n">
        <f aca="false">IFERROR(VALUE(SUBSTITUTE(SUBSTITUTE(Raw_Donors!O278,"$",""),",","")),0)</f>
        <v>0</v>
      </c>
      <c r="Q278" s="10" t="n">
        <f aca="false">IFERROR(VALUE(SUBSTITUTE(SUBSTITUTE(Raw_Donors!P278,"$",""),",","")),0)</f>
        <v>0</v>
      </c>
      <c r="R278" s="10" t="n">
        <f aca="false">Raw_Donors!Q278</f>
        <v>191</v>
      </c>
      <c r="S278" s="9" t="str">
        <f aca="false">Raw_Donors!R278</f>
        <v>Y</v>
      </c>
      <c r="T278" s="9" t="str">
        <f aca="false">IF(Raw_Donors!S278="","",Raw_Donors!S278)</f>
        <v>1949-09-08</v>
      </c>
      <c r="U278" s="9" t="str">
        <f aca="false">IF(AND((O278+P278)&gt;0,Q278=0),"Lapsed - Follow Up","")</f>
        <v/>
      </c>
      <c r="V278" s="9" t="n">
        <f aca="false">RANK(R278,$R$2:$R$759)+COUNTIF($R$2:R278,R278)-1</f>
        <v>204</v>
      </c>
      <c r="W278" s="9" t="str">
        <f aca="false">IF(U278="Lapsed - Follow Up",COUNTIF($U$2:U278,"Lapsed - Follow Up"),"")</f>
        <v/>
      </c>
    </row>
    <row r="279" customFormat="false" ht="15" hidden="false" customHeight="true" outlineLevel="0" collapsed="false">
      <c r="A279" s="9" t="str">
        <f aca="false">Raw_Donors!A279</f>
        <v>D1277</v>
      </c>
      <c r="B279" s="9" t="str">
        <f aca="false">IF(ISNUMBER(SEARCH("-DUP",A279)),"Duplicate ID","")</f>
        <v/>
      </c>
      <c r="C279" s="9" t="n">
        <f aca="false">Raw_Donors!B279</f>
        <v>70739</v>
      </c>
      <c r="D279" s="9" t="n">
        <f aca="false">Raw_Donors!C279</f>
        <v>0</v>
      </c>
      <c r="E279" s="9" t="str">
        <f aca="false">IFERROR(IF(Raw_Donors!D279="","Unknown",Raw_Donors!D279),"Unknown")</f>
        <v>Unknown</v>
      </c>
      <c r="F279" s="9" t="str">
        <f aca="false">IFERROR(IF(Raw_Donors!E279="","Unknown",Raw_Donors!E279),"Unknown")</f>
        <v>Male</v>
      </c>
      <c r="G279" s="9" t="str">
        <f aca="false">PROPER(TRIM(Raw_Donors!F279))</f>
        <v>Individual Donor</v>
      </c>
      <c r="H279" s="9" t="str">
        <f aca="false">IFERROR(IF(Raw_Donors!G279="","N",Raw_Donors!G279),"N")</f>
        <v>N</v>
      </c>
      <c r="I279" s="9" t="str">
        <f aca="false">IF(Raw_Donors!H279="","Not Rated",Raw_Donors!H279)</f>
        <v>Not Rated</v>
      </c>
      <c r="J279" s="9" t="str">
        <f aca="false">IF(TRIM(Raw_Donors!I279)="","Unknown",TRIM(Raw_Donors!I279))</f>
        <v>HOME</v>
      </c>
      <c r="K279" s="9" t="str">
        <f aca="false">Raw_Donors!J279</f>
        <v>N</v>
      </c>
      <c r="L279" s="9" t="n">
        <f aca="false">Raw_Donors!K279</f>
        <v>1</v>
      </c>
      <c r="M279" s="10" t="n">
        <f aca="false">IFERROR(VALUE(SUBSTITUTE(SUBSTITUTE(Raw_Donors!L279,"$",""),",","")),0)</f>
        <v>0</v>
      </c>
      <c r="N279" s="10" t="n">
        <f aca="false">IFERROR(VALUE(SUBSTITUTE(SUBSTITUTE(Raw_Donors!M279,"$",""),",","")),0)</f>
        <v>0</v>
      </c>
      <c r="O279" s="10" t="n">
        <f aca="false">IFERROR(VALUE(SUBSTITUTE(SUBSTITUTE(Raw_Donors!N279,"$",""),",","")),0)</f>
        <v>0</v>
      </c>
      <c r="P279" s="10" t="n">
        <f aca="false">IFERROR(VALUE(SUBSTITUTE(SUBSTITUTE(Raw_Donors!O279,"$",""),",","")),0)</f>
        <v>0</v>
      </c>
      <c r="Q279" s="10" t="n">
        <f aca="false">IFERROR(VALUE(SUBSTITUTE(SUBSTITUTE(Raw_Donors!P279,"$",""),",","")),0)</f>
        <v>0</v>
      </c>
      <c r="R279" s="10" t="n">
        <f aca="false">Raw_Donors!Q279</f>
        <v>0</v>
      </c>
      <c r="S279" s="9" t="str">
        <f aca="false">Raw_Donors!R279</f>
        <v>N</v>
      </c>
      <c r="T279" s="9" t="str">
        <f aca="false">IF(Raw_Donors!S279="","",Raw_Donors!S279)</f>
        <v/>
      </c>
      <c r="U279" s="9" t="str">
        <f aca="false">IF(AND((O279+P279)&gt;0,Q279=0),"Lapsed - Follow Up","")</f>
        <v/>
      </c>
      <c r="V279" s="9" t="n">
        <f aca="false">RANK(R279,$R$2:$R$759)+COUNTIF($R$2:R279,R279)-1</f>
        <v>633</v>
      </c>
      <c r="W279" s="9" t="str">
        <f aca="false">IF(U279="Lapsed - Follow Up",COUNTIF($U$2:U279,"Lapsed - Follow Up"),"")</f>
        <v/>
      </c>
    </row>
    <row r="280" customFormat="false" ht="15" hidden="false" customHeight="true" outlineLevel="0" collapsed="false">
      <c r="A280" s="9" t="str">
        <f aca="false">Raw_Donors!A280</f>
        <v>D1278</v>
      </c>
      <c r="B280" s="9" t="str">
        <f aca="false">IF(ISNUMBER(SEARCH("-DUP",A280)),"Duplicate ID","")</f>
        <v/>
      </c>
      <c r="C280" s="9" t="n">
        <f aca="false">Raw_Donors!B280</f>
        <v>25849</v>
      </c>
      <c r="D280" s="9" t="n">
        <f aca="false">Raw_Donors!C280</f>
        <v>0</v>
      </c>
      <c r="E280" s="9" t="str">
        <f aca="false">IFERROR(IF(Raw_Donors!D280="","Unknown",Raw_Donors!D280),"Unknown")</f>
        <v>Unknown</v>
      </c>
      <c r="F280" s="9" t="str">
        <f aca="false">IFERROR(IF(Raw_Donors!E280="","Unknown",Raw_Donors!E280),"Unknown")</f>
        <v>Male</v>
      </c>
      <c r="G280" s="9" t="str">
        <f aca="false">PROPER(TRIM(Raw_Donors!F280))</f>
        <v>Individual Donor</v>
      </c>
      <c r="H280" s="9" t="str">
        <f aca="false">IFERROR(IF(Raw_Donors!G280="","N",Raw_Donors!G280),"N")</f>
        <v>N</v>
      </c>
      <c r="I280" s="9" t="str">
        <f aca="false">IF(Raw_Donors!H280="","Not Rated",Raw_Donors!H280)</f>
        <v>Not Rated</v>
      </c>
      <c r="J280" s="9" t="str">
        <f aca="false">IF(TRIM(Raw_Donors!I280)="","Unknown",TRIM(Raw_Donors!I280))</f>
        <v>HOME</v>
      </c>
      <c r="K280" s="9" t="str">
        <f aca="false">Raw_Donors!J280</f>
        <v>Y</v>
      </c>
      <c r="L280" s="9" t="n">
        <f aca="false">Raw_Donors!K280</f>
        <v>1</v>
      </c>
      <c r="M280" s="10" t="n">
        <f aca="false">IFERROR(VALUE(SUBSTITUTE(SUBSTITUTE(Raw_Donors!L280,"$",""),",","")),0)</f>
        <v>0</v>
      </c>
      <c r="N280" s="10" t="n">
        <f aca="false">IFERROR(VALUE(SUBSTITUTE(SUBSTITUTE(Raw_Donors!M280,"$",""),",","")),0)</f>
        <v>0</v>
      </c>
      <c r="O280" s="10" t="n">
        <f aca="false">IFERROR(VALUE(SUBSTITUTE(SUBSTITUTE(Raw_Donors!N280,"$",""),",","")),0)</f>
        <v>0</v>
      </c>
      <c r="P280" s="10" t="n">
        <f aca="false">IFERROR(VALUE(SUBSTITUTE(SUBSTITUTE(Raw_Donors!O280,"$",""),",","")),0)</f>
        <v>0</v>
      </c>
      <c r="Q280" s="10" t="n">
        <f aca="false">IFERROR(VALUE(SUBSTITUTE(SUBSTITUTE(Raw_Donors!P280,"$",""),",","")),0)</f>
        <v>0</v>
      </c>
      <c r="R280" s="10" t="n">
        <f aca="false">Raw_Donors!Q280</f>
        <v>0</v>
      </c>
      <c r="S280" s="9" t="str">
        <f aca="false">Raw_Donors!R280</f>
        <v>N</v>
      </c>
      <c r="T280" s="9" t="str">
        <f aca="false">IF(Raw_Donors!S280="","",Raw_Donors!S280)</f>
        <v/>
      </c>
      <c r="U280" s="9" t="str">
        <f aca="false">IF(AND((O280+P280)&gt;0,Q280=0),"Lapsed - Follow Up","")</f>
        <v/>
      </c>
      <c r="V280" s="9" t="n">
        <f aca="false">RANK(R280,$R$2:$R$759)+COUNTIF($R$2:R280,R280)-1</f>
        <v>634</v>
      </c>
      <c r="W280" s="9" t="str">
        <f aca="false">IF(U280="Lapsed - Follow Up",COUNTIF($U$2:U280,"Lapsed - Follow Up"),"")</f>
        <v/>
      </c>
    </row>
    <row r="281" customFormat="false" ht="15" hidden="false" customHeight="true" outlineLevel="0" collapsed="false">
      <c r="A281" s="9" t="str">
        <f aca="false">Raw_Donors!A281</f>
        <v>D1279</v>
      </c>
      <c r="B281" s="9" t="str">
        <f aca="false">IF(ISNUMBER(SEARCH("-DUP",A281)),"Duplicate ID","")</f>
        <v/>
      </c>
      <c r="C281" s="9" t="n">
        <f aca="false">Raw_Donors!B281</f>
        <v>75221</v>
      </c>
      <c r="D281" s="9" t="n">
        <f aca="false">Raw_Donors!C281</f>
        <v>28</v>
      </c>
      <c r="E281" s="9" t="str">
        <f aca="false">IFERROR(IF(Raw_Donors!D281="","Unknown",Raw_Donors!D281),"Unknown")</f>
        <v>Single</v>
      </c>
      <c r="F281" s="9" t="str">
        <f aca="false">IFERROR(IF(Raw_Donors!E281="","Unknown",Raw_Donors!E281),"Unknown")</f>
        <v>Male</v>
      </c>
      <c r="G281" s="9" t="str">
        <f aca="false">PROPER(TRIM(Raw_Donors!F281))</f>
        <v>Individual Donor</v>
      </c>
      <c r="H281" s="9" t="str">
        <f aca="false">IFERROR(IF(Raw_Donors!G281="","N",Raw_Donors!G281),"N")</f>
        <v>N</v>
      </c>
      <c r="I281" s="9" t="str">
        <f aca="false">IF(Raw_Donors!H281="","Not Rated",Raw_Donors!H281)</f>
        <v>$50,000-$99,999</v>
      </c>
      <c r="J281" s="9" t="str">
        <f aca="false">IF(TRIM(Raw_Donors!I281)="","Unknown",TRIM(Raw_Donors!I281))</f>
        <v>HOME</v>
      </c>
      <c r="K281" s="9" t="str">
        <f aca="false">Raw_Donors!J281</f>
        <v>Y</v>
      </c>
      <c r="L281" s="9" t="n">
        <f aca="false">Raw_Donors!K281</f>
        <v>0</v>
      </c>
      <c r="M281" s="10" t="n">
        <f aca="false">IFERROR(VALUE(SUBSTITUTE(SUBSTITUTE(Raw_Donors!L281,"$",""),",","")),0)</f>
        <v>0</v>
      </c>
      <c r="N281" s="10" t="n">
        <f aca="false">IFERROR(VALUE(SUBSTITUTE(SUBSTITUTE(Raw_Donors!M281,"$",""),",","")),0)</f>
        <v>0</v>
      </c>
      <c r="O281" s="10" t="n">
        <f aca="false">IFERROR(VALUE(SUBSTITUTE(SUBSTITUTE(Raw_Donors!N281,"$",""),",","")),0)</f>
        <v>0</v>
      </c>
      <c r="P281" s="10" t="n">
        <f aca="false">IFERROR(VALUE(SUBSTITUTE(SUBSTITUTE(Raw_Donors!O281,"$",""),",","")),0)</f>
        <v>0</v>
      </c>
      <c r="Q281" s="10" t="n">
        <f aca="false">IFERROR(VALUE(SUBSTITUTE(SUBSTITUTE(Raw_Donors!P281,"$",""),",","")),0)</f>
        <v>0</v>
      </c>
      <c r="R281" s="10" t="n">
        <f aca="false">Raw_Donors!Q281</f>
        <v>1159</v>
      </c>
      <c r="S281" s="9" t="str">
        <f aca="false">Raw_Donors!R281</f>
        <v>Y</v>
      </c>
      <c r="T281" s="9" t="str">
        <f aca="false">IF(Raw_Donors!S281="","",Raw_Donors!S281)</f>
        <v>1989-03-17</v>
      </c>
      <c r="U281" s="9" t="str">
        <f aca="false">IF(AND((O281+P281)&gt;0,Q281=0),"Lapsed - Follow Up","")</f>
        <v/>
      </c>
      <c r="V281" s="9" t="n">
        <f aca="false">RANK(R281,$R$2:$R$759)+COUNTIF($R$2:R281,R281)-1</f>
        <v>50</v>
      </c>
      <c r="W281" s="9" t="str">
        <f aca="false">IF(U281="Lapsed - Follow Up",COUNTIF($U$2:U281,"Lapsed - Follow Up"),"")</f>
        <v/>
      </c>
    </row>
    <row r="282" customFormat="false" ht="15" hidden="false" customHeight="true" outlineLevel="0" collapsed="false">
      <c r="A282" s="9" t="str">
        <f aca="false">Raw_Donors!A282</f>
        <v>D1280</v>
      </c>
      <c r="B282" s="9" t="str">
        <f aca="false">IF(ISNUMBER(SEARCH("-DUP",A282)),"Duplicate ID","")</f>
        <v/>
      </c>
      <c r="C282" s="9" t="n">
        <f aca="false">Raw_Donors!B282</f>
        <v>90265</v>
      </c>
      <c r="D282" s="9" t="n">
        <f aca="false">Raw_Donors!C282</f>
        <v>0</v>
      </c>
      <c r="E282" s="9" t="str">
        <f aca="false">IFERROR(IF(Raw_Donors!D282="","Unknown",Raw_Donors!D282),"Unknown")</f>
        <v>Unknown</v>
      </c>
      <c r="F282" s="9" t="str">
        <f aca="false">IFERROR(IF(Raw_Donors!E282="","Unknown",Raw_Donors!E282),"Unknown")</f>
        <v>Female</v>
      </c>
      <c r="G282" s="9" t="str">
        <f aca="false">PROPER(TRIM(Raw_Donors!F282))</f>
        <v>Individual Donor</v>
      </c>
      <c r="H282" s="9" t="str">
        <f aca="false">IFERROR(IF(Raw_Donors!G282="","N",Raw_Donors!G282),"N")</f>
        <v>N</v>
      </c>
      <c r="I282" s="9" t="str">
        <f aca="false">IF(Raw_Donors!H282="","Not Rated",Raw_Donors!H282)</f>
        <v>Not Rated</v>
      </c>
      <c r="J282" s="9" t="str">
        <f aca="false">IF(TRIM(Raw_Donors!I282)="","Unknown",TRIM(Raw_Donors!I282))</f>
        <v>Unknown</v>
      </c>
      <c r="K282" s="9" t="str">
        <f aca="false">Raw_Donors!J282</f>
        <v>N</v>
      </c>
      <c r="L282" s="9" t="n">
        <f aca="false">Raw_Donors!K282</f>
        <v>10</v>
      </c>
      <c r="M282" s="10" t="n">
        <f aca="false">IFERROR(VALUE(SUBSTITUTE(SUBSTITUTE(Raw_Donors!L282,"$",""),",","")),0)</f>
        <v>0</v>
      </c>
      <c r="N282" s="10" t="n">
        <f aca="false">IFERROR(VALUE(SUBSTITUTE(SUBSTITUTE(Raw_Donors!M282,"$",""),",","")),0)</f>
        <v>0</v>
      </c>
      <c r="O282" s="10" t="n">
        <f aca="false">IFERROR(VALUE(SUBSTITUTE(SUBSTITUTE(Raw_Donors!N282,"$",""),",","")),0)</f>
        <v>0</v>
      </c>
      <c r="P282" s="10" t="n">
        <f aca="false">IFERROR(VALUE(SUBSTITUTE(SUBSTITUTE(Raw_Donors!O282,"$",""),",","")),0)</f>
        <v>0</v>
      </c>
      <c r="Q282" s="10" t="n">
        <f aca="false">IFERROR(VALUE(SUBSTITUTE(SUBSTITUTE(Raw_Donors!P282,"$",""),",","")),0)</f>
        <v>0</v>
      </c>
      <c r="R282" s="10" t="n">
        <f aca="false">Raw_Donors!Q282</f>
        <v>1805</v>
      </c>
      <c r="S282" s="9" t="str">
        <f aca="false">Raw_Donors!R282</f>
        <v>Y</v>
      </c>
      <c r="T282" s="9" t="str">
        <f aca="false">IF(Raw_Donors!S282="","",Raw_Donors!S282)</f>
        <v/>
      </c>
      <c r="U282" s="9" t="str">
        <f aca="false">IF(AND((O282+P282)&gt;0,Q282=0),"Lapsed - Follow Up","")</f>
        <v/>
      </c>
      <c r="V282" s="9" t="n">
        <f aca="false">RANK(R282,$R$2:$R$759)+COUNTIF($R$2:R282,R282)-1</f>
        <v>32</v>
      </c>
      <c r="W282" s="9" t="str">
        <f aca="false">IF(U282="Lapsed - Follow Up",COUNTIF($U$2:U282,"Lapsed - Follow Up"),"")</f>
        <v/>
      </c>
    </row>
    <row r="283" customFormat="false" ht="15" hidden="false" customHeight="true" outlineLevel="0" collapsed="false">
      <c r="A283" s="9" t="str">
        <f aca="false">Raw_Donors!A283</f>
        <v>D1281</v>
      </c>
      <c r="B283" s="9" t="str">
        <f aca="false">IF(ISNUMBER(SEARCH("-DUP",A283)),"Duplicate ID","")</f>
        <v/>
      </c>
      <c r="C283" s="9" t="n">
        <f aca="false">Raw_Donors!B283</f>
        <v>66032</v>
      </c>
      <c r="D283" s="9" t="n">
        <f aca="false">Raw_Donors!C283</f>
        <v>70</v>
      </c>
      <c r="E283" s="9" t="str">
        <f aca="false">IFERROR(IF(Raw_Donors!D283="","Unknown",Raw_Donors!D283),"Unknown")</f>
        <v>Unknown</v>
      </c>
      <c r="F283" s="9" t="str">
        <f aca="false">IFERROR(IF(Raw_Donors!E283="","Unknown",Raw_Donors!E283),"Unknown")</f>
        <v>Male</v>
      </c>
      <c r="G283" s="9" t="str">
        <f aca="false">PROPER(TRIM(Raw_Donors!F283))</f>
        <v>Individual Donor</v>
      </c>
      <c r="H283" s="9" t="str">
        <f aca="false">IFERROR(IF(Raw_Donors!G283="","N",Raw_Donors!G283),"N")</f>
        <v>Y</v>
      </c>
      <c r="I283" s="9" t="str">
        <f aca="false">IF(Raw_Donors!H283="","Not Rated",Raw_Donors!H283)</f>
        <v>Not Rated</v>
      </c>
      <c r="J283" s="9" t="str">
        <f aca="false">IF(TRIM(Raw_Donors!I283)="","Unknown",TRIM(Raw_Donors!I283))</f>
        <v>HOME</v>
      </c>
      <c r="K283" s="9" t="str">
        <f aca="false">Raw_Donors!J283</f>
        <v>N</v>
      </c>
      <c r="L283" s="9" t="n">
        <f aca="false">Raw_Donors!K283</f>
        <v>1</v>
      </c>
      <c r="M283" s="10" t="n">
        <f aca="false">IFERROR(VALUE(SUBSTITUTE(SUBSTITUTE(Raw_Donors!L283,"$",""),",","")),0)</f>
        <v>0</v>
      </c>
      <c r="N283" s="10" t="n">
        <f aca="false">IFERROR(VALUE(SUBSTITUTE(SUBSTITUTE(Raw_Donors!M283,"$",""),",","")),0)</f>
        <v>0</v>
      </c>
      <c r="O283" s="10" t="n">
        <f aca="false">IFERROR(VALUE(SUBSTITUTE(SUBSTITUTE(Raw_Donors!N283,"$",""),",","")),0)</f>
        <v>0</v>
      </c>
      <c r="P283" s="10" t="n">
        <f aca="false">IFERROR(VALUE(SUBSTITUTE(SUBSTITUTE(Raw_Donors!O283,"$",""),",","")),0)</f>
        <v>0</v>
      </c>
      <c r="Q283" s="10" t="n">
        <f aca="false">IFERROR(VALUE(SUBSTITUTE(SUBSTITUTE(Raw_Donors!P283,"$",""),",","")),0)</f>
        <v>1</v>
      </c>
      <c r="R283" s="10" t="n">
        <f aca="false">Raw_Donors!Q283</f>
        <v>1335</v>
      </c>
      <c r="S283" s="9" t="str">
        <f aca="false">Raw_Donors!R283</f>
        <v>Y</v>
      </c>
      <c r="T283" s="9" t="str">
        <f aca="false">IF(Raw_Donors!S283="","",Raw_Donors!S283)</f>
        <v>1947-12-01</v>
      </c>
      <c r="U283" s="9" t="str">
        <f aca="false">IF(AND((O283+P283)&gt;0,Q283=0),"Lapsed - Follow Up","")</f>
        <v/>
      </c>
      <c r="V283" s="9" t="n">
        <f aca="false">RANK(R283,$R$2:$R$759)+COUNTIF($R$2:R283,R283)-1</f>
        <v>44</v>
      </c>
      <c r="W283" s="9" t="str">
        <f aca="false">IF(U283="Lapsed - Follow Up",COUNTIF($U$2:U283,"Lapsed - Follow Up"),"")</f>
        <v/>
      </c>
    </row>
    <row r="284" customFormat="false" ht="15" hidden="false" customHeight="true" outlineLevel="0" collapsed="false">
      <c r="A284" s="9" t="str">
        <f aca="false">Raw_Donors!A284</f>
        <v>D1282</v>
      </c>
      <c r="B284" s="9" t="str">
        <f aca="false">IF(ISNUMBER(SEARCH("-DUP",A284)),"Duplicate ID","")</f>
        <v/>
      </c>
      <c r="C284" s="9" t="n">
        <f aca="false">Raw_Donors!B284</f>
        <v>53803</v>
      </c>
      <c r="D284" s="9" t="n">
        <f aca="false">Raw_Donors!C284</f>
        <v>34</v>
      </c>
      <c r="E284" s="9" t="str">
        <f aca="false">IFERROR(IF(Raw_Donors!D284="","Unknown",Raw_Donors!D284),"Unknown")</f>
        <v>Unknown</v>
      </c>
      <c r="F284" s="9" t="str">
        <f aca="false">IFERROR(IF(Raw_Donors!E284="","Unknown",Raw_Donors!E284),"Unknown")</f>
        <v>Male</v>
      </c>
      <c r="G284" s="9" t="str">
        <f aca="false">PROPER(TRIM(Raw_Donors!F284))</f>
        <v>Individual Donor</v>
      </c>
      <c r="H284" s="9" t="str">
        <f aca="false">IFERROR(IF(Raw_Donors!G284="","N",Raw_Donors!G284),"N")</f>
        <v>N</v>
      </c>
      <c r="I284" s="9" t="str">
        <f aca="false">IF(Raw_Donors!H284="","Not Rated",Raw_Donors!H284)</f>
        <v>Not Rated</v>
      </c>
      <c r="J284" s="9" t="str">
        <f aca="false">IF(TRIM(Raw_Donors!I284)="","Unknown",TRIM(Raw_Donors!I284))</f>
        <v>HOME</v>
      </c>
      <c r="K284" s="9" t="str">
        <f aca="false">Raw_Donors!J284</f>
        <v>N</v>
      </c>
      <c r="L284" s="9" t="n">
        <f aca="false">Raw_Donors!K284</f>
        <v>0</v>
      </c>
      <c r="M284" s="10" t="n">
        <f aca="false">IFERROR(VALUE(SUBSTITUTE(SUBSTITUTE(Raw_Donors!L284,"$",""),",","")),0)</f>
        <v>0</v>
      </c>
      <c r="N284" s="10" t="n">
        <f aca="false">IFERROR(VALUE(SUBSTITUTE(SUBSTITUTE(Raw_Donors!M284,"$",""),",","")),0)</f>
        <v>0</v>
      </c>
      <c r="O284" s="10" t="n">
        <f aca="false">IFERROR(VALUE(SUBSTITUTE(SUBSTITUTE(Raw_Donors!N284,"$",""),",","")),0)</f>
        <v>0</v>
      </c>
      <c r="P284" s="10" t="n">
        <f aca="false">IFERROR(VALUE(SUBSTITUTE(SUBSTITUTE(Raw_Donors!O284,"$",""),",","")),0)</f>
        <v>0</v>
      </c>
      <c r="Q284" s="10" t="n">
        <f aca="false">IFERROR(VALUE(SUBSTITUTE(SUBSTITUTE(Raw_Donors!P284,"$",""),",","")),0)</f>
        <v>0</v>
      </c>
      <c r="R284" s="10" t="n">
        <f aca="false">Raw_Donors!Q284</f>
        <v>0</v>
      </c>
      <c r="S284" s="9" t="str">
        <f aca="false">Raw_Donors!R284</f>
        <v>N</v>
      </c>
      <c r="T284" s="9" t="str">
        <f aca="false">IF(Raw_Donors!S284="","",Raw_Donors!S284)</f>
        <v>1983-08-05</v>
      </c>
      <c r="U284" s="9" t="str">
        <f aca="false">IF(AND((O284+P284)&gt;0,Q284=0),"Lapsed - Follow Up","")</f>
        <v/>
      </c>
      <c r="V284" s="9" t="n">
        <f aca="false">RANK(R284,$R$2:$R$759)+COUNTIF($R$2:R284,R284)-1</f>
        <v>635</v>
      </c>
      <c r="W284" s="9" t="str">
        <f aca="false">IF(U284="Lapsed - Follow Up",COUNTIF($U$2:U284,"Lapsed - Follow Up"),"")</f>
        <v/>
      </c>
    </row>
    <row r="285" customFormat="false" ht="15" hidden="false" customHeight="true" outlineLevel="0" collapsed="false">
      <c r="A285" s="9" t="str">
        <f aca="false">Raw_Donors!A285</f>
        <v>D1283</v>
      </c>
      <c r="B285" s="9" t="str">
        <f aca="false">IF(ISNUMBER(SEARCH("-DUP",A285)),"Duplicate ID","")</f>
        <v/>
      </c>
      <c r="C285" s="9" t="n">
        <f aca="false">Raw_Donors!B285</f>
        <v>90265</v>
      </c>
      <c r="D285" s="9" t="n">
        <f aca="false">Raw_Donors!C285</f>
        <v>30</v>
      </c>
      <c r="E285" s="9" t="str">
        <f aca="false">IFERROR(IF(Raw_Donors!D285="","Unknown",Raw_Donors!D285),"Unknown")</f>
        <v>Unknown</v>
      </c>
      <c r="F285" s="9" t="str">
        <f aca="false">IFERROR(IF(Raw_Donors!E285="","Unknown",Raw_Donors!E285),"Unknown")</f>
        <v>Female</v>
      </c>
      <c r="G285" s="9" t="str">
        <f aca="false">PROPER(TRIM(Raw_Donors!F285))</f>
        <v>Community Partner</v>
      </c>
      <c r="H285" s="9" t="str">
        <f aca="false">IFERROR(IF(Raw_Donors!G285="","N",Raw_Donors!G285),"N")</f>
        <v>Y</v>
      </c>
      <c r="I285" s="9" t="str">
        <f aca="false">IF(Raw_Donors!H285="","Not Rated",Raw_Donors!H285)</f>
        <v>Not Rated</v>
      </c>
      <c r="J285" s="9" t="str">
        <f aca="false">IF(TRIM(Raw_Donors!I285)="","Unknown",TRIM(Raw_Donors!I285))</f>
        <v>HOME</v>
      </c>
      <c r="K285" s="9" t="str">
        <f aca="false">Raw_Donors!J285</f>
        <v>Y</v>
      </c>
      <c r="L285" s="9" t="n">
        <f aca="false">Raw_Donors!K285</f>
        <v>1</v>
      </c>
      <c r="M285" s="10" t="n">
        <f aca="false">IFERROR(VALUE(SUBSTITUTE(SUBSTITUTE(Raw_Donors!L285,"$",""),",","")),0)</f>
        <v>0</v>
      </c>
      <c r="N285" s="10" t="n">
        <f aca="false">IFERROR(VALUE(SUBSTITUTE(SUBSTITUTE(Raw_Donors!M285,"$",""),",","")),0)</f>
        <v>0</v>
      </c>
      <c r="O285" s="10" t="n">
        <f aca="false">IFERROR(VALUE(SUBSTITUTE(SUBSTITUTE(Raw_Donors!N285,"$",""),",","")),0)</f>
        <v>5</v>
      </c>
      <c r="P285" s="10" t="n">
        <f aca="false">IFERROR(VALUE(SUBSTITUTE(SUBSTITUTE(Raw_Donors!O285,"$",""),",","")),0)</f>
        <v>0</v>
      </c>
      <c r="Q285" s="10" t="n">
        <f aca="false">IFERROR(VALUE(SUBSTITUTE(SUBSTITUTE(Raw_Donors!P285,"$",""),",","")),0)</f>
        <v>0</v>
      </c>
      <c r="R285" s="10" t="n">
        <f aca="false">Raw_Donors!Q285</f>
        <v>5</v>
      </c>
      <c r="S285" s="9" t="str">
        <f aca="false">Raw_Donors!R285</f>
        <v>Y</v>
      </c>
      <c r="T285" s="9" t="str">
        <f aca="false">IF(Raw_Donors!S285="","",Raw_Donors!S285)</f>
        <v>1987-03-11</v>
      </c>
      <c r="U285" s="9" t="str">
        <f aca="false">IF(AND((O285+P285)&gt;0,Q285=0),"Lapsed - Follow Up","")</f>
        <v>Lapsed - Follow Up</v>
      </c>
      <c r="V285" s="9" t="n">
        <f aca="false">RANK(R285,$R$2:$R$759)+COUNTIF($R$2:R285,R285)-1</f>
        <v>517</v>
      </c>
      <c r="W285" s="9" t="n">
        <f aca="false">IF(U285="Lapsed - Follow Up",COUNTIF($U$2:U285,"Lapsed - Follow Up"),"")</f>
        <v>42</v>
      </c>
    </row>
    <row r="286" customFormat="false" ht="15" hidden="false" customHeight="true" outlineLevel="0" collapsed="false">
      <c r="A286" s="9" t="str">
        <f aca="false">Raw_Donors!A286</f>
        <v>D1284</v>
      </c>
      <c r="B286" s="9" t="str">
        <f aca="false">IF(ISNUMBER(SEARCH("-DUP",A286)),"Duplicate ID","")</f>
        <v/>
      </c>
      <c r="C286" s="9" t="n">
        <f aca="false">Raw_Donors!B286</f>
        <v>39206</v>
      </c>
      <c r="D286" s="9" t="n">
        <f aca="false">Raw_Donors!C286</f>
        <v>0</v>
      </c>
      <c r="E286" s="9" t="str">
        <f aca="false">IFERROR(IF(Raw_Donors!D286="","Unknown",Raw_Donors!D286),"Unknown")</f>
        <v>Single</v>
      </c>
      <c r="F286" s="9" t="str">
        <f aca="false">IFERROR(IF(Raw_Donors!E286="","Unknown",Raw_Donors!E286),"Unknown")</f>
        <v>Male</v>
      </c>
      <c r="G286" s="9" t="str">
        <f aca="false">PROPER(TRIM(Raw_Donors!F286))</f>
        <v>Individual Donor</v>
      </c>
      <c r="H286" s="9" t="str">
        <f aca="false">IFERROR(IF(Raw_Donors!G286="","N",Raw_Donors!G286),"N")</f>
        <v>N</v>
      </c>
      <c r="I286" s="9" t="str">
        <f aca="false">IF(Raw_Donors!H286="","Not Rated",Raw_Donors!H286)</f>
        <v>$500,000-$999,999</v>
      </c>
      <c r="J286" s="9" t="str">
        <f aca="false">IF(TRIM(Raw_Donors!I286)="","Unknown",TRIM(Raw_Donors!I286))</f>
        <v>Unknown</v>
      </c>
      <c r="K286" s="9" t="str">
        <f aca="false">Raw_Donors!J286</f>
        <v>N</v>
      </c>
      <c r="L286" s="9" t="n">
        <f aca="false">Raw_Donors!K286</f>
        <v>0</v>
      </c>
      <c r="M286" s="10" t="n">
        <f aca="false">IFERROR(VALUE(SUBSTITUTE(SUBSTITUTE(Raw_Donors!L286,"$",""),",","")),0)</f>
        <v>0</v>
      </c>
      <c r="N286" s="10" t="n">
        <f aca="false">IFERROR(VALUE(SUBSTITUTE(SUBSTITUTE(Raw_Donors!M286,"$",""),",","")),0)</f>
        <v>0</v>
      </c>
      <c r="O286" s="10" t="n">
        <f aca="false">IFERROR(VALUE(SUBSTITUTE(SUBSTITUTE(Raw_Donors!N286,"$",""),",","")),0)</f>
        <v>0</v>
      </c>
      <c r="P286" s="10" t="n">
        <f aca="false">IFERROR(VALUE(SUBSTITUTE(SUBSTITUTE(Raw_Donors!O286,"$",""),",","")),0)</f>
        <v>8772</v>
      </c>
      <c r="Q286" s="10" t="n">
        <f aca="false">IFERROR(VALUE(SUBSTITUTE(SUBSTITUTE(Raw_Donors!P286,"$",""),",","")),0)</f>
        <v>0</v>
      </c>
      <c r="R286" s="10" t="n">
        <f aca="false">Raw_Donors!Q286</f>
        <v>8772</v>
      </c>
      <c r="S286" s="9" t="str">
        <f aca="false">Raw_Donors!R286</f>
        <v>Y</v>
      </c>
      <c r="T286" s="9" t="str">
        <f aca="false">IF(Raw_Donors!S286="","",Raw_Donors!S286)</f>
        <v/>
      </c>
      <c r="U286" s="9" t="str">
        <f aca="false">IF(AND((O286+P286)&gt;0,Q286=0),"Lapsed - Follow Up","")</f>
        <v>Lapsed - Follow Up</v>
      </c>
      <c r="V286" s="9" t="n">
        <f aca="false">RANK(R286,$R$2:$R$759)+COUNTIF($R$2:R286,R286)-1</f>
        <v>11</v>
      </c>
      <c r="W286" s="9" t="n">
        <f aca="false">IF(U286="Lapsed - Follow Up",COUNTIF($U$2:U286,"Lapsed - Follow Up"),"")</f>
        <v>43</v>
      </c>
    </row>
    <row r="287" customFormat="false" ht="15" hidden="false" customHeight="true" outlineLevel="0" collapsed="false">
      <c r="A287" s="9" t="str">
        <f aca="false">Raw_Donors!A287</f>
        <v>D1285</v>
      </c>
      <c r="B287" s="9" t="str">
        <f aca="false">IF(ISNUMBER(SEARCH("-DUP",A287)),"Duplicate ID","")</f>
        <v/>
      </c>
      <c r="C287" s="9" t="n">
        <f aca="false">Raw_Donors!B287</f>
        <v>35073</v>
      </c>
      <c r="D287" s="9" t="n">
        <f aca="false">Raw_Donors!C287</f>
        <v>0</v>
      </c>
      <c r="E287" s="9" t="str">
        <f aca="false">IFERROR(IF(Raw_Donors!D287="","Unknown",Raw_Donors!D287),"Unknown")</f>
        <v>Unknown</v>
      </c>
      <c r="F287" s="9" t="str">
        <f aca="false">IFERROR(IF(Raw_Donors!E287="","Unknown",Raw_Donors!E287),"Unknown")</f>
        <v>Female</v>
      </c>
      <c r="G287" s="9" t="str">
        <f aca="false">PROPER(TRIM(Raw_Donors!F287))</f>
        <v>Individual Donor</v>
      </c>
      <c r="H287" s="9" t="str">
        <f aca="false">IFERROR(IF(Raw_Donors!G287="","N",Raw_Donors!G287),"N")</f>
        <v>N</v>
      </c>
      <c r="I287" s="9" t="str">
        <f aca="false">IF(Raw_Donors!H287="","Not Rated",Raw_Donors!H287)</f>
        <v>Not Rated</v>
      </c>
      <c r="J287" s="9" t="str">
        <f aca="false">IF(TRIM(Raw_Donors!I287)="","Unknown",TRIM(Raw_Donors!I287))</f>
        <v>HOME</v>
      </c>
      <c r="K287" s="9" t="str">
        <f aca="false">Raw_Donors!J287</f>
        <v>N</v>
      </c>
      <c r="L287" s="9" t="n">
        <f aca="false">Raw_Donors!K287</f>
        <v>1</v>
      </c>
      <c r="M287" s="10" t="n">
        <f aca="false">IFERROR(VALUE(SUBSTITUTE(SUBSTITUTE(Raw_Donors!L287,"$",""),",","")),0)</f>
        <v>0</v>
      </c>
      <c r="N287" s="10" t="n">
        <f aca="false">IFERROR(VALUE(SUBSTITUTE(SUBSTITUTE(Raw_Donors!M287,"$",""),",","")),0)</f>
        <v>0</v>
      </c>
      <c r="O287" s="10" t="n">
        <f aca="false">IFERROR(VALUE(SUBSTITUTE(SUBSTITUTE(Raw_Donors!N287,"$",""),",","")),0)</f>
        <v>0</v>
      </c>
      <c r="P287" s="10" t="n">
        <f aca="false">IFERROR(VALUE(SUBSTITUTE(SUBSTITUTE(Raw_Donors!O287,"$",""),",","")),0)</f>
        <v>0</v>
      </c>
      <c r="Q287" s="10" t="n">
        <f aca="false">IFERROR(VALUE(SUBSTITUTE(SUBSTITUTE(Raw_Donors!P287,"$",""),",","")),0)</f>
        <v>0</v>
      </c>
      <c r="R287" s="10" t="n">
        <f aca="false">Raw_Donors!Q287</f>
        <v>15</v>
      </c>
      <c r="S287" s="9" t="str">
        <f aca="false">Raw_Donors!R287</f>
        <v>Y</v>
      </c>
      <c r="T287" s="9" t="str">
        <f aca="false">IF(Raw_Donors!S287="","",Raw_Donors!S287)</f>
        <v/>
      </c>
      <c r="U287" s="9" t="str">
        <f aca="false">IF(AND((O287+P287)&gt;0,Q287=0),"Lapsed - Follow Up","")</f>
        <v/>
      </c>
      <c r="V287" s="9" t="n">
        <f aca="false">RANK(R287,$R$2:$R$759)+COUNTIF($R$2:R287,R287)-1</f>
        <v>483</v>
      </c>
      <c r="W287" s="9" t="str">
        <f aca="false">IF(U287="Lapsed - Follow Up",COUNTIF($U$2:U287,"Lapsed - Follow Up"),"")</f>
        <v/>
      </c>
    </row>
    <row r="288" customFormat="false" ht="15" hidden="false" customHeight="true" outlineLevel="0" collapsed="false">
      <c r="A288" s="9" t="str">
        <f aca="false">Raw_Donors!A288</f>
        <v>D1286</v>
      </c>
      <c r="B288" s="9" t="str">
        <f aca="false">IF(ISNUMBER(SEARCH("-DUP",A288)),"Duplicate ID","")</f>
        <v/>
      </c>
      <c r="C288" s="9" t="n">
        <f aca="false">Raw_Donors!B288</f>
        <v>28692</v>
      </c>
      <c r="D288" s="9" t="n">
        <f aca="false">Raw_Donors!C288</f>
        <v>0</v>
      </c>
      <c r="E288" s="9" t="str">
        <f aca="false">IFERROR(IF(Raw_Donors!D288="","Unknown",Raw_Donors!D288),"Unknown")</f>
        <v>Married</v>
      </c>
      <c r="F288" s="9" t="str">
        <f aca="false">IFERROR(IF(Raw_Donors!E288="","Unknown",Raw_Donors!E288),"Unknown")</f>
        <v>Female</v>
      </c>
      <c r="G288" s="9" t="str">
        <f aca="false">PROPER(TRIM(Raw_Donors!F288))</f>
        <v>Individual Donor</v>
      </c>
      <c r="H288" s="9" t="str">
        <f aca="false">IFERROR(IF(Raw_Donors!G288="","N",Raw_Donors!G288),"N")</f>
        <v>Y</v>
      </c>
      <c r="I288" s="9" t="str">
        <f aca="false">IF(Raw_Donors!H288="","Not Rated",Raw_Donors!H288)</f>
        <v>Not Rated</v>
      </c>
      <c r="J288" s="9" t="str">
        <f aca="false">IF(TRIM(Raw_Donors!I288)="","Unknown",TRIM(Raw_Donors!I288))</f>
        <v>HOME</v>
      </c>
      <c r="K288" s="9" t="str">
        <f aca="false">Raw_Donors!J288</f>
        <v>N</v>
      </c>
      <c r="L288" s="9" t="n">
        <f aca="false">Raw_Donors!K288</f>
        <v>1</v>
      </c>
      <c r="M288" s="10" t="n">
        <f aca="false">IFERROR(VALUE(SUBSTITUTE(SUBSTITUTE(Raw_Donors!L288,"$",""),",","")),0)</f>
        <v>0</v>
      </c>
      <c r="N288" s="10" t="n">
        <f aca="false">IFERROR(VALUE(SUBSTITUTE(SUBSTITUTE(Raw_Donors!M288,"$",""),",","")),0)</f>
        <v>0</v>
      </c>
      <c r="O288" s="10" t="n">
        <f aca="false">IFERROR(VALUE(SUBSTITUTE(SUBSTITUTE(Raw_Donors!N288,"$",""),",","")),0)</f>
        <v>130</v>
      </c>
      <c r="P288" s="10" t="n">
        <f aca="false">IFERROR(VALUE(SUBSTITUTE(SUBSTITUTE(Raw_Donors!O288,"$",""),",","")),0)</f>
        <v>0</v>
      </c>
      <c r="Q288" s="10" t="n">
        <f aca="false">IFERROR(VALUE(SUBSTITUTE(SUBSTITUTE(Raw_Donors!P288,"$",""),",","")),0)</f>
        <v>60</v>
      </c>
      <c r="R288" s="10" t="n">
        <f aca="false">Raw_Donors!Q288</f>
        <v>190</v>
      </c>
      <c r="S288" s="9" t="str">
        <f aca="false">Raw_Donors!R288</f>
        <v>Y</v>
      </c>
      <c r="T288" s="9" t="str">
        <f aca="false">IF(Raw_Donors!S288="","",Raw_Donors!S288)</f>
        <v/>
      </c>
      <c r="U288" s="9" t="str">
        <f aca="false">IF(AND((O288+P288)&gt;0,Q288=0),"Lapsed - Follow Up","")</f>
        <v/>
      </c>
      <c r="V288" s="9" t="n">
        <f aca="false">RANK(R288,$R$2:$R$759)+COUNTIF($R$2:R288,R288)-1</f>
        <v>205</v>
      </c>
      <c r="W288" s="9" t="str">
        <f aca="false">IF(U288="Lapsed - Follow Up",COUNTIF($U$2:U288,"Lapsed - Follow Up"),"")</f>
        <v/>
      </c>
    </row>
    <row r="289" customFormat="false" ht="15" hidden="false" customHeight="true" outlineLevel="0" collapsed="false">
      <c r="A289" s="9" t="str">
        <f aca="false">Raw_Donors!A289</f>
        <v>D1287</v>
      </c>
      <c r="B289" s="9" t="str">
        <f aca="false">IF(ISNUMBER(SEARCH("-DUP",A289)),"Duplicate ID","")</f>
        <v/>
      </c>
      <c r="C289" s="9" t="n">
        <f aca="false">Raw_Donors!B289</f>
        <v>52651</v>
      </c>
      <c r="D289" s="9" t="n">
        <f aca="false">Raw_Donors!C289</f>
        <v>0</v>
      </c>
      <c r="E289" s="9" t="str">
        <f aca="false">IFERROR(IF(Raw_Donors!D289="","Unknown",Raw_Donors!D289),"Unknown")</f>
        <v>Married</v>
      </c>
      <c r="F289" s="9" t="str">
        <f aca="false">IFERROR(IF(Raw_Donors!E289="","Unknown",Raw_Donors!E289),"Unknown")</f>
        <v>Female</v>
      </c>
      <c r="G289" s="9" t="str">
        <f aca="false">PROPER(TRIM(Raw_Donors!F289))</f>
        <v>Individual Donor</v>
      </c>
      <c r="H289" s="9" t="str">
        <f aca="false">IFERROR(IF(Raw_Donors!G289="","N",Raw_Donors!G289),"N")</f>
        <v>N</v>
      </c>
      <c r="I289" s="9" t="str">
        <f aca="false">IF(Raw_Donors!H289="","Not Rated",Raw_Donors!H289)</f>
        <v>Not Rated</v>
      </c>
      <c r="J289" s="9" t="str">
        <f aca="false">IF(TRIM(Raw_Donors!I289)="","Unknown",TRIM(Raw_Donors!I289))</f>
        <v>HOME</v>
      </c>
      <c r="K289" s="9" t="str">
        <f aca="false">Raw_Donors!J289</f>
        <v>N</v>
      </c>
      <c r="L289" s="9" t="n">
        <f aca="false">Raw_Donors!K289</f>
        <v>1</v>
      </c>
      <c r="M289" s="10" t="n">
        <f aca="false">IFERROR(VALUE(SUBSTITUTE(SUBSTITUTE(Raw_Donors!L289,"$",""),",","")),0)</f>
        <v>0</v>
      </c>
      <c r="N289" s="10" t="n">
        <f aca="false">IFERROR(VALUE(SUBSTITUTE(SUBSTITUTE(Raw_Donors!M289,"$",""),",","")),0)</f>
        <v>0</v>
      </c>
      <c r="O289" s="10" t="n">
        <f aca="false">IFERROR(VALUE(SUBSTITUTE(SUBSTITUTE(Raw_Donors!N289,"$",""),",","")),0)</f>
        <v>0</v>
      </c>
      <c r="P289" s="10" t="n">
        <f aca="false">IFERROR(VALUE(SUBSTITUTE(SUBSTITUTE(Raw_Donors!O289,"$",""),",","")),0)</f>
        <v>0</v>
      </c>
      <c r="Q289" s="10" t="n">
        <f aca="false">IFERROR(VALUE(SUBSTITUTE(SUBSTITUTE(Raw_Donors!P289,"$",""),",","")),0)</f>
        <v>0</v>
      </c>
      <c r="R289" s="10" t="n">
        <f aca="false">Raw_Donors!Q289</f>
        <v>50</v>
      </c>
      <c r="S289" s="9" t="str">
        <f aca="false">Raw_Donors!R289</f>
        <v>Y</v>
      </c>
      <c r="T289" s="9" t="str">
        <f aca="false">IF(Raw_Donors!S289="","",Raw_Donors!S289)</f>
        <v/>
      </c>
      <c r="U289" s="9" t="str">
        <f aca="false">IF(AND((O289+P289)&gt;0,Q289=0),"Lapsed - Follow Up","")</f>
        <v/>
      </c>
      <c r="V289" s="9" t="n">
        <f aca="false">RANK(R289,$R$2:$R$759)+COUNTIF($R$2:R289,R289)-1</f>
        <v>372</v>
      </c>
      <c r="W289" s="9" t="str">
        <f aca="false">IF(U289="Lapsed - Follow Up",COUNTIF($U$2:U289,"Lapsed - Follow Up"),"")</f>
        <v/>
      </c>
    </row>
    <row r="290" customFormat="false" ht="15" hidden="false" customHeight="true" outlineLevel="0" collapsed="false">
      <c r="A290" s="9" t="str">
        <f aca="false">Raw_Donors!A290</f>
        <v>D1288</v>
      </c>
      <c r="B290" s="9" t="str">
        <f aca="false">IF(ISNUMBER(SEARCH("-DUP",A290)),"Duplicate ID","")</f>
        <v/>
      </c>
      <c r="C290" s="9" t="n">
        <f aca="false">Raw_Donors!B290</f>
        <v>28352</v>
      </c>
      <c r="D290" s="9" t="n">
        <f aca="false">Raw_Donors!C290</f>
        <v>54</v>
      </c>
      <c r="E290" s="9" t="str">
        <f aca="false">IFERROR(IF(Raw_Donors!D290="","Unknown",Raw_Donors!D290),"Unknown")</f>
        <v>Unknown</v>
      </c>
      <c r="F290" s="9" t="str">
        <f aca="false">IFERROR(IF(Raw_Donors!E290="","Unknown",Raw_Donors!E290),"Unknown")</f>
        <v>Female</v>
      </c>
      <c r="G290" s="9" t="str">
        <f aca="false">PROPER(TRIM(Raw_Donors!F290))</f>
        <v>Individual Donor</v>
      </c>
      <c r="H290" s="9" t="str">
        <f aca="false">IFERROR(IF(Raw_Donors!G290="","N",Raw_Donors!G290),"N")</f>
        <v>N</v>
      </c>
      <c r="I290" s="9" t="str">
        <f aca="false">IF(Raw_Donors!H290="","Not Rated",Raw_Donors!H290)</f>
        <v>Not Rated</v>
      </c>
      <c r="J290" s="9" t="str">
        <f aca="false">IF(TRIM(Raw_Donors!I290)="","Unknown",TRIM(Raw_Donors!I290))</f>
        <v>HOME</v>
      </c>
      <c r="K290" s="9" t="str">
        <f aca="false">Raw_Donors!J290</f>
        <v>N</v>
      </c>
      <c r="L290" s="9" t="n">
        <f aca="false">Raw_Donors!K290</f>
        <v>0</v>
      </c>
      <c r="M290" s="10" t="n">
        <f aca="false">IFERROR(VALUE(SUBSTITUTE(SUBSTITUTE(Raw_Donors!L290,"$",""),",","")),0)</f>
        <v>0</v>
      </c>
      <c r="N290" s="10" t="n">
        <f aca="false">IFERROR(VALUE(SUBSTITUTE(SUBSTITUTE(Raw_Donors!M290,"$",""),",","")),0)</f>
        <v>640</v>
      </c>
      <c r="O290" s="10" t="n">
        <f aca="false">IFERROR(VALUE(SUBSTITUTE(SUBSTITUTE(Raw_Donors!N290,"$",""),",","")),0)</f>
        <v>0</v>
      </c>
      <c r="P290" s="10" t="n">
        <f aca="false">IFERROR(VALUE(SUBSTITUTE(SUBSTITUTE(Raw_Donors!O290,"$",""),",","")),0)</f>
        <v>1000</v>
      </c>
      <c r="Q290" s="10" t="n">
        <f aca="false">IFERROR(VALUE(SUBSTITUTE(SUBSTITUTE(Raw_Donors!P290,"$",""),",","")),0)</f>
        <v>0</v>
      </c>
      <c r="R290" s="10" t="n">
        <f aca="false">Raw_Donors!Q290</f>
        <v>1640</v>
      </c>
      <c r="S290" s="9" t="str">
        <f aca="false">Raw_Donors!R290</f>
        <v>Y</v>
      </c>
      <c r="T290" s="9" t="str">
        <f aca="false">IF(Raw_Donors!S290="","",Raw_Donors!S290)</f>
        <v>1963-05-20</v>
      </c>
      <c r="U290" s="9" t="str">
        <f aca="false">IF(AND((O290+P290)&gt;0,Q290=0),"Lapsed - Follow Up","")</f>
        <v>Lapsed - Follow Up</v>
      </c>
      <c r="V290" s="9" t="n">
        <f aca="false">RANK(R290,$R$2:$R$759)+COUNTIF($R$2:R290,R290)-1</f>
        <v>36</v>
      </c>
      <c r="W290" s="9" t="n">
        <f aca="false">IF(U290="Lapsed - Follow Up",COUNTIF($U$2:U290,"Lapsed - Follow Up"),"")</f>
        <v>44</v>
      </c>
    </row>
    <row r="291" customFormat="false" ht="15" hidden="false" customHeight="true" outlineLevel="0" collapsed="false">
      <c r="A291" s="9" t="str">
        <f aca="false">Raw_Donors!A291</f>
        <v>D1289</v>
      </c>
      <c r="B291" s="9" t="str">
        <f aca="false">IF(ISNUMBER(SEARCH("-DUP",A291)),"Duplicate ID","")</f>
        <v/>
      </c>
      <c r="C291" s="9" t="n">
        <f aca="false">Raw_Donors!B291</f>
        <v>90265</v>
      </c>
      <c r="D291" s="9" t="n">
        <f aca="false">Raw_Donors!C291</f>
        <v>41</v>
      </c>
      <c r="E291" s="9" t="str">
        <f aca="false">IFERROR(IF(Raw_Donors!D291="","Unknown",Raw_Donors!D291),"Unknown")</f>
        <v>Unknown</v>
      </c>
      <c r="F291" s="9" t="str">
        <f aca="false">IFERROR(IF(Raw_Donors!E291="","Unknown",Raw_Donors!E291),"Unknown")</f>
        <v>Female</v>
      </c>
      <c r="G291" s="9" t="str">
        <f aca="false">PROPER(TRIM(Raw_Donors!F291))</f>
        <v>Community Partner</v>
      </c>
      <c r="H291" s="9" t="str">
        <f aca="false">IFERROR(IF(Raw_Donors!G291="","N",Raw_Donors!G291),"N")</f>
        <v>Y</v>
      </c>
      <c r="I291" s="9" t="str">
        <f aca="false">IF(Raw_Donors!H291="","Not Rated",Raw_Donors!H291)</f>
        <v>Not Rated</v>
      </c>
      <c r="J291" s="9" t="str">
        <f aca="false">IF(TRIM(Raw_Donors!I291)="","Unknown",TRIM(Raw_Donors!I291))</f>
        <v>Unknown</v>
      </c>
      <c r="K291" s="9" t="str">
        <f aca="false">Raw_Donors!J291</f>
        <v>Y</v>
      </c>
      <c r="L291" s="9" t="n">
        <f aca="false">Raw_Donors!K291</f>
        <v>1</v>
      </c>
      <c r="M291" s="10" t="n">
        <f aca="false">IFERROR(VALUE(SUBSTITUTE(SUBSTITUTE(Raw_Donors!L291,"$",""),",","")),0)</f>
        <v>0</v>
      </c>
      <c r="N291" s="10" t="n">
        <f aca="false">IFERROR(VALUE(SUBSTITUTE(SUBSTITUTE(Raw_Donors!M291,"$",""),",","")),0)</f>
        <v>0</v>
      </c>
      <c r="O291" s="10" t="n">
        <f aca="false">IFERROR(VALUE(SUBSTITUTE(SUBSTITUTE(Raw_Donors!N291,"$",""),",","")),0)</f>
        <v>0</v>
      </c>
      <c r="P291" s="10" t="n">
        <f aca="false">IFERROR(VALUE(SUBSTITUTE(SUBSTITUTE(Raw_Donors!O291,"$",""),",","")),0)</f>
        <v>0</v>
      </c>
      <c r="Q291" s="10" t="n">
        <f aca="false">IFERROR(VALUE(SUBSTITUTE(SUBSTITUTE(Raw_Donors!P291,"$",""),",","")),0)</f>
        <v>0</v>
      </c>
      <c r="R291" s="10" t="n">
        <f aca="false">Raw_Donors!Q291</f>
        <v>0</v>
      </c>
      <c r="S291" s="9" t="str">
        <f aca="false">Raw_Donors!R291</f>
        <v>N</v>
      </c>
      <c r="T291" s="9" t="str">
        <f aca="false">IF(Raw_Donors!S291="","",Raw_Donors!S291)</f>
        <v>1976-09-16</v>
      </c>
      <c r="U291" s="9" t="str">
        <f aca="false">IF(AND((O291+P291)&gt;0,Q291=0),"Lapsed - Follow Up","")</f>
        <v/>
      </c>
      <c r="V291" s="9" t="n">
        <f aca="false">RANK(R291,$R$2:$R$759)+COUNTIF($R$2:R291,R291)-1</f>
        <v>636</v>
      </c>
      <c r="W291" s="9" t="str">
        <f aca="false">IF(U291="Lapsed - Follow Up",COUNTIF($U$2:U291,"Lapsed - Follow Up"),"")</f>
        <v/>
      </c>
    </row>
    <row r="292" customFormat="false" ht="15" hidden="false" customHeight="true" outlineLevel="0" collapsed="false">
      <c r="A292" s="9" t="str">
        <f aca="false">Raw_Donors!A292</f>
        <v>D1290</v>
      </c>
      <c r="B292" s="9" t="str">
        <f aca="false">IF(ISNUMBER(SEARCH("-DUP",A292)),"Duplicate ID","")</f>
        <v/>
      </c>
      <c r="C292" s="9" t="n">
        <f aca="false">Raw_Donors!B292</f>
        <v>63632</v>
      </c>
      <c r="D292" s="9" t="n">
        <f aca="false">Raw_Donors!C292</f>
        <v>0</v>
      </c>
      <c r="E292" s="9" t="str">
        <f aca="false">IFERROR(IF(Raw_Donors!D292="","Unknown",Raw_Donors!D292),"Unknown")</f>
        <v>Single</v>
      </c>
      <c r="F292" s="9" t="str">
        <f aca="false">IFERROR(IF(Raw_Donors!E292="","Unknown",Raw_Donors!E292),"Unknown")</f>
        <v>Female</v>
      </c>
      <c r="G292" s="9" t="str">
        <f aca="false">PROPER(TRIM(Raw_Donors!F292))</f>
        <v>Individual Donor</v>
      </c>
      <c r="H292" s="9" t="str">
        <f aca="false">IFERROR(IF(Raw_Donors!G292="","N",Raw_Donors!G292),"N")</f>
        <v>N</v>
      </c>
      <c r="I292" s="9" t="str">
        <f aca="false">IF(Raw_Donors!H292="","Not Rated",Raw_Donors!H292)</f>
        <v>Not Rated</v>
      </c>
      <c r="J292" s="9" t="str">
        <f aca="false">IF(TRIM(Raw_Donors!I292)="","Unknown",TRIM(Raw_Donors!I292))</f>
        <v>HOME</v>
      </c>
      <c r="K292" s="9" t="str">
        <f aca="false">Raw_Donors!J292</f>
        <v>N</v>
      </c>
      <c r="L292" s="9" t="n">
        <f aca="false">Raw_Donors!K292</f>
        <v>1</v>
      </c>
      <c r="M292" s="10" t="n">
        <f aca="false">IFERROR(VALUE(SUBSTITUTE(SUBSTITUTE(Raw_Donors!L292,"$",""),",","")),0)</f>
        <v>0</v>
      </c>
      <c r="N292" s="10" t="n">
        <f aca="false">IFERROR(VALUE(SUBSTITUTE(SUBSTITUTE(Raw_Donors!M292,"$",""),",","")),0)</f>
        <v>0</v>
      </c>
      <c r="O292" s="10" t="n">
        <f aca="false">IFERROR(VALUE(SUBSTITUTE(SUBSTITUTE(Raw_Donors!N292,"$",""),",","")),0)</f>
        <v>0</v>
      </c>
      <c r="P292" s="10" t="n">
        <f aca="false">IFERROR(VALUE(SUBSTITUTE(SUBSTITUTE(Raw_Donors!O292,"$",""),",","")),0)</f>
        <v>0</v>
      </c>
      <c r="Q292" s="10" t="n">
        <f aca="false">IFERROR(VALUE(SUBSTITUTE(SUBSTITUTE(Raw_Donors!P292,"$",""),",","")),0)</f>
        <v>0</v>
      </c>
      <c r="R292" s="10" t="n">
        <f aca="false">Raw_Donors!Q292</f>
        <v>300</v>
      </c>
      <c r="S292" s="9" t="str">
        <f aca="false">Raw_Donors!R292</f>
        <v>Y</v>
      </c>
      <c r="T292" s="9" t="str">
        <f aca="false">IF(Raw_Donors!S292="","",Raw_Donors!S292)</f>
        <v/>
      </c>
      <c r="U292" s="9" t="str">
        <f aca="false">IF(AND((O292+P292)&gt;0,Q292=0),"Lapsed - Follow Up","")</f>
        <v/>
      </c>
      <c r="V292" s="9" t="n">
        <f aca="false">RANK(R292,$R$2:$R$759)+COUNTIF($R$2:R292,R292)-1</f>
        <v>143</v>
      </c>
      <c r="W292" s="9" t="str">
        <f aca="false">IF(U292="Lapsed - Follow Up",COUNTIF($U$2:U292,"Lapsed - Follow Up"),"")</f>
        <v/>
      </c>
    </row>
    <row r="293" customFormat="false" ht="15" hidden="false" customHeight="true" outlineLevel="0" collapsed="false">
      <c r="A293" s="9" t="str">
        <f aca="false">Raw_Donors!A293</f>
        <v>D1291</v>
      </c>
      <c r="B293" s="9" t="str">
        <f aca="false">IF(ISNUMBER(SEARCH("-DUP",A293)),"Duplicate ID","")</f>
        <v/>
      </c>
      <c r="C293" s="9" t="n">
        <f aca="false">Raw_Donors!B293</f>
        <v>70356</v>
      </c>
      <c r="D293" s="9" t="n">
        <f aca="false">Raw_Donors!C293</f>
        <v>0</v>
      </c>
      <c r="E293" s="9" t="str">
        <f aca="false">IFERROR(IF(Raw_Donors!D293="","Unknown",Raw_Donors!D293),"Unknown")</f>
        <v>Unknown</v>
      </c>
      <c r="F293" s="9" t="str">
        <f aca="false">IFERROR(IF(Raw_Donors!E293="","Unknown",Raw_Donors!E293),"Unknown")</f>
        <v>Male</v>
      </c>
      <c r="G293" s="9" t="str">
        <f aca="false">PROPER(TRIM(Raw_Donors!F293))</f>
        <v>Community Partner</v>
      </c>
      <c r="H293" s="9" t="str">
        <f aca="false">IFERROR(IF(Raw_Donors!G293="","N",Raw_Donors!G293),"N")</f>
        <v>Y</v>
      </c>
      <c r="I293" s="9" t="str">
        <f aca="false">IF(Raw_Donors!H293="","Not Rated",Raw_Donors!H293)</f>
        <v>Not Rated</v>
      </c>
      <c r="J293" s="9" t="str">
        <f aca="false">IF(TRIM(Raw_Donors!I293)="","Unknown",TRIM(Raw_Donors!I293))</f>
        <v>HOME</v>
      </c>
      <c r="K293" s="9" t="str">
        <f aca="false">Raw_Donors!J293</f>
        <v>N</v>
      </c>
      <c r="L293" s="9" t="n">
        <f aca="false">Raw_Donors!K293</f>
        <v>1</v>
      </c>
      <c r="M293" s="10" t="n">
        <f aca="false">IFERROR(VALUE(SUBSTITUTE(SUBSTITUTE(Raw_Donors!L293,"$",""),",","")),0)</f>
        <v>0</v>
      </c>
      <c r="N293" s="10" t="n">
        <f aca="false">IFERROR(VALUE(SUBSTITUTE(SUBSTITUTE(Raw_Donors!M293,"$",""),",","")),0)</f>
        <v>0</v>
      </c>
      <c r="O293" s="10" t="n">
        <f aca="false">IFERROR(VALUE(SUBSTITUTE(SUBSTITUTE(Raw_Donors!N293,"$",""),",","")),0)</f>
        <v>0</v>
      </c>
      <c r="P293" s="10" t="n">
        <f aca="false">IFERROR(VALUE(SUBSTITUTE(SUBSTITUTE(Raw_Donors!O293,"$",""),",","")),0)</f>
        <v>0</v>
      </c>
      <c r="Q293" s="10" t="n">
        <f aca="false">IFERROR(VALUE(SUBSTITUTE(SUBSTITUTE(Raw_Donors!P293,"$",""),",","")),0)</f>
        <v>0</v>
      </c>
      <c r="R293" s="10" t="n">
        <f aca="false">Raw_Donors!Q293</f>
        <v>60</v>
      </c>
      <c r="S293" s="9" t="str">
        <f aca="false">Raw_Donors!R293</f>
        <v>Y</v>
      </c>
      <c r="T293" s="9" t="str">
        <f aca="false">IF(Raw_Donors!S293="","",Raw_Donors!S293)</f>
        <v/>
      </c>
      <c r="U293" s="9" t="str">
        <f aca="false">IF(AND((O293+P293)&gt;0,Q293=0),"Lapsed - Follow Up","")</f>
        <v/>
      </c>
      <c r="V293" s="9" t="n">
        <f aca="false">RANK(R293,$R$2:$R$759)+COUNTIF($R$2:R293,R293)-1</f>
        <v>352</v>
      </c>
      <c r="W293" s="9" t="str">
        <f aca="false">IF(U293="Lapsed - Follow Up",COUNTIF($U$2:U293,"Lapsed - Follow Up"),"")</f>
        <v/>
      </c>
    </row>
    <row r="294" customFormat="false" ht="15" hidden="false" customHeight="true" outlineLevel="0" collapsed="false">
      <c r="A294" s="9" t="str">
        <f aca="false">Raw_Donors!A294</f>
        <v>D1292</v>
      </c>
      <c r="B294" s="9" t="str">
        <f aca="false">IF(ISNUMBER(SEARCH("-DUP",A294)),"Duplicate ID","")</f>
        <v/>
      </c>
      <c r="C294" s="9" t="n">
        <f aca="false">Raw_Donors!B294</f>
        <v>29171</v>
      </c>
      <c r="D294" s="9" t="n">
        <f aca="false">Raw_Donors!C294</f>
        <v>0</v>
      </c>
      <c r="E294" s="9" t="str">
        <f aca="false">IFERROR(IF(Raw_Donors!D294="","Unknown",Raw_Donors!D294),"Unknown")</f>
        <v>Single</v>
      </c>
      <c r="F294" s="9" t="str">
        <f aca="false">IFERROR(IF(Raw_Donors!E294="","Unknown",Raw_Donors!E294),"Unknown")</f>
        <v>Female</v>
      </c>
      <c r="G294" s="9" t="str">
        <f aca="false">PROPER(TRIM(Raw_Donors!F294))</f>
        <v>Individual Donor</v>
      </c>
      <c r="H294" s="9" t="str">
        <f aca="false">IFERROR(IF(Raw_Donors!G294="","N",Raw_Donors!G294),"N")</f>
        <v>Y</v>
      </c>
      <c r="I294" s="9" t="str">
        <f aca="false">IF(Raw_Donors!H294="","Not Rated",Raw_Donors!H294)</f>
        <v>Not Rated</v>
      </c>
      <c r="J294" s="9" t="str">
        <f aca="false">IF(TRIM(Raw_Donors!I294)="","Unknown",TRIM(Raw_Donors!I294))</f>
        <v>HOME</v>
      </c>
      <c r="K294" s="9" t="str">
        <f aca="false">Raw_Donors!J294</f>
        <v>N</v>
      </c>
      <c r="L294" s="9" t="n">
        <f aca="false">Raw_Donors!K294</f>
        <v>0</v>
      </c>
      <c r="M294" s="10" t="n">
        <f aca="false">IFERROR(VALUE(SUBSTITUTE(SUBSTITUTE(Raw_Donors!L294,"$",""),",","")),0)</f>
        <v>0</v>
      </c>
      <c r="N294" s="10" t="n">
        <f aca="false">IFERROR(VALUE(SUBSTITUTE(SUBSTITUTE(Raw_Donors!M294,"$",""),",","")),0)</f>
        <v>0</v>
      </c>
      <c r="O294" s="10" t="n">
        <f aca="false">IFERROR(VALUE(SUBSTITUTE(SUBSTITUTE(Raw_Donors!N294,"$",""),",","")),0)</f>
        <v>0</v>
      </c>
      <c r="P294" s="10" t="n">
        <f aca="false">IFERROR(VALUE(SUBSTITUTE(SUBSTITUTE(Raw_Donors!O294,"$",""),",","")),0)</f>
        <v>0</v>
      </c>
      <c r="Q294" s="10" t="n">
        <f aca="false">IFERROR(VALUE(SUBSTITUTE(SUBSTITUTE(Raw_Donors!P294,"$",""),",","")),0)</f>
        <v>0</v>
      </c>
      <c r="R294" s="10" t="n">
        <f aca="false">Raw_Donors!Q294</f>
        <v>5</v>
      </c>
      <c r="S294" s="9" t="str">
        <f aca="false">Raw_Donors!R294</f>
        <v>Y</v>
      </c>
      <c r="T294" s="9" t="str">
        <f aca="false">IF(Raw_Donors!S294="","",Raw_Donors!S294)</f>
        <v/>
      </c>
      <c r="U294" s="9" t="str">
        <f aca="false">IF(AND((O294+P294)&gt;0,Q294=0),"Lapsed - Follow Up","")</f>
        <v/>
      </c>
      <c r="V294" s="9" t="n">
        <f aca="false">RANK(R294,$R$2:$R$759)+COUNTIF($R$2:R294,R294)-1</f>
        <v>518</v>
      </c>
      <c r="W294" s="9" t="str">
        <f aca="false">IF(U294="Lapsed - Follow Up",COUNTIF($U$2:U294,"Lapsed - Follow Up"),"")</f>
        <v/>
      </c>
    </row>
    <row r="295" customFormat="false" ht="15" hidden="false" customHeight="true" outlineLevel="0" collapsed="false">
      <c r="A295" s="9" t="str">
        <f aca="false">Raw_Donors!A295</f>
        <v>D1293</v>
      </c>
      <c r="B295" s="9" t="str">
        <f aca="false">IF(ISNUMBER(SEARCH("-DUP",A295)),"Duplicate ID","")</f>
        <v/>
      </c>
      <c r="C295" s="9" t="n">
        <f aca="false">Raw_Donors!B295</f>
        <v>90265</v>
      </c>
      <c r="D295" s="9" t="n">
        <f aca="false">Raw_Donors!C295</f>
        <v>0</v>
      </c>
      <c r="E295" s="9" t="str">
        <f aca="false">IFERROR(IF(Raw_Donors!D295="","Unknown",Raw_Donors!D295),"Unknown")</f>
        <v>Unknown</v>
      </c>
      <c r="F295" s="9" t="str">
        <f aca="false">IFERROR(IF(Raw_Donors!E295="","Unknown",Raw_Donors!E295),"Unknown")</f>
        <v>Female</v>
      </c>
      <c r="G295" s="9" t="str">
        <f aca="false">PROPER(TRIM(Raw_Donors!F295))</f>
        <v>Individual Donor</v>
      </c>
      <c r="H295" s="9" t="str">
        <f aca="false">IFERROR(IF(Raw_Donors!G295="","N",Raw_Donors!G295),"N")</f>
        <v>N</v>
      </c>
      <c r="I295" s="9" t="str">
        <f aca="false">IF(Raw_Donors!H295="","Not Rated",Raw_Donors!H295)</f>
        <v>$50,000-$99,999</v>
      </c>
      <c r="J295" s="9" t="str">
        <f aca="false">IF(TRIM(Raw_Donors!I295)="","Unknown",TRIM(Raw_Donors!I295))</f>
        <v>HOME</v>
      </c>
      <c r="K295" s="9" t="str">
        <f aca="false">Raw_Donors!J295</f>
        <v>N</v>
      </c>
      <c r="L295" s="9" t="n">
        <f aca="false">Raw_Donors!K295</f>
        <v>2</v>
      </c>
      <c r="M295" s="10" t="n">
        <f aca="false">IFERROR(VALUE(SUBSTITUTE(SUBSTITUTE(Raw_Donors!L295,"$",""),",","")),0)</f>
        <v>0</v>
      </c>
      <c r="N295" s="10" t="n">
        <f aca="false">IFERROR(VALUE(SUBSTITUTE(SUBSTITUTE(Raw_Donors!M295,"$",""),",","")),0)</f>
        <v>0</v>
      </c>
      <c r="O295" s="10" t="n">
        <f aca="false">IFERROR(VALUE(SUBSTITUTE(SUBSTITUTE(Raw_Donors!N295,"$",""),",","")),0)</f>
        <v>1</v>
      </c>
      <c r="P295" s="10" t="n">
        <f aca="false">IFERROR(VALUE(SUBSTITUTE(SUBSTITUTE(Raw_Donors!O295,"$",""),",","")),0)</f>
        <v>0</v>
      </c>
      <c r="Q295" s="10" t="n">
        <f aca="false">IFERROR(VALUE(SUBSTITUTE(SUBSTITUTE(Raw_Donors!P295,"$",""),",","")),0)</f>
        <v>0</v>
      </c>
      <c r="R295" s="10" t="n">
        <f aca="false">Raw_Donors!Q295</f>
        <v>1</v>
      </c>
      <c r="S295" s="9" t="str">
        <f aca="false">Raw_Donors!R295</f>
        <v>Y</v>
      </c>
      <c r="T295" s="9" t="str">
        <f aca="false">IF(Raw_Donors!S295="","",Raw_Donors!S295)</f>
        <v/>
      </c>
      <c r="U295" s="9" t="str">
        <f aca="false">IF(AND((O295+P295)&gt;0,Q295=0),"Lapsed - Follow Up","")</f>
        <v>Lapsed - Follow Up</v>
      </c>
      <c r="V295" s="9" t="n">
        <f aca="false">RANK(R295,$R$2:$R$759)+COUNTIF($R$2:R295,R295)-1</f>
        <v>536</v>
      </c>
      <c r="W295" s="9" t="n">
        <f aca="false">IF(U295="Lapsed - Follow Up",COUNTIF($U$2:U295,"Lapsed - Follow Up"),"")</f>
        <v>45</v>
      </c>
    </row>
    <row r="296" customFormat="false" ht="15" hidden="false" customHeight="true" outlineLevel="0" collapsed="false">
      <c r="A296" s="9" t="str">
        <f aca="false">Raw_Donors!A296</f>
        <v>D1294</v>
      </c>
      <c r="B296" s="9" t="str">
        <f aca="false">IF(ISNUMBER(SEARCH("-DUP",A296)),"Duplicate ID","")</f>
        <v/>
      </c>
      <c r="C296" s="9" t="n">
        <f aca="false">Raw_Donors!B296</f>
        <v>73753</v>
      </c>
      <c r="D296" s="9" t="n">
        <f aca="false">Raw_Donors!C296</f>
        <v>34</v>
      </c>
      <c r="E296" s="9" t="str">
        <f aca="false">IFERROR(IF(Raw_Donors!D296="","Unknown",Raw_Donors!D296),"Unknown")</f>
        <v>Unknown</v>
      </c>
      <c r="F296" s="9" t="str">
        <f aca="false">IFERROR(IF(Raw_Donors!E296="","Unknown",Raw_Donors!E296),"Unknown")</f>
        <v>Female</v>
      </c>
      <c r="G296" s="9" t="str">
        <f aca="false">PROPER(TRIM(Raw_Donors!F296))</f>
        <v>Individual Donor</v>
      </c>
      <c r="H296" s="9" t="str">
        <f aca="false">IFERROR(IF(Raw_Donors!G296="","N",Raw_Donors!G296),"N")</f>
        <v>N</v>
      </c>
      <c r="I296" s="9" t="str">
        <f aca="false">IF(Raw_Donors!H296="","Not Rated",Raw_Donors!H296)</f>
        <v>Not Rated</v>
      </c>
      <c r="J296" s="9" t="str">
        <f aca="false">IF(TRIM(Raw_Donors!I296)="","Unknown",TRIM(Raw_Donors!I296))</f>
        <v>HOME</v>
      </c>
      <c r="K296" s="9" t="str">
        <f aca="false">Raw_Donors!J296</f>
        <v>N</v>
      </c>
      <c r="L296" s="9" t="n">
        <f aca="false">Raw_Donors!K296</f>
        <v>0</v>
      </c>
      <c r="M296" s="10" t="n">
        <f aca="false">IFERROR(VALUE(SUBSTITUTE(SUBSTITUTE(Raw_Donors!L296,"$",""),",","")),0)</f>
        <v>0</v>
      </c>
      <c r="N296" s="10" t="n">
        <f aca="false">IFERROR(VALUE(SUBSTITUTE(SUBSTITUTE(Raw_Donors!M296,"$",""),",","")),0)</f>
        <v>0</v>
      </c>
      <c r="O296" s="10" t="n">
        <f aca="false">IFERROR(VALUE(SUBSTITUTE(SUBSTITUTE(Raw_Donors!N296,"$",""),",","")),0)</f>
        <v>0</v>
      </c>
      <c r="P296" s="10" t="n">
        <f aca="false">IFERROR(VALUE(SUBSTITUTE(SUBSTITUTE(Raw_Donors!O296,"$",""),",","")),0)</f>
        <v>0</v>
      </c>
      <c r="Q296" s="10" t="n">
        <f aca="false">IFERROR(VALUE(SUBSTITUTE(SUBSTITUTE(Raw_Donors!P296,"$",""),",","")),0)</f>
        <v>1</v>
      </c>
      <c r="R296" s="10" t="n">
        <f aca="false">Raw_Donors!Q296</f>
        <v>15</v>
      </c>
      <c r="S296" s="9" t="str">
        <f aca="false">Raw_Donors!R296</f>
        <v>Y</v>
      </c>
      <c r="T296" s="9" t="str">
        <f aca="false">IF(Raw_Donors!S296="","",Raw_Donors!S296)</f>
        <v>1983-06-17</v>
      </c>
      <c r="U296" s="9" t="str">
        <f aca="false">IF(AND((O296+P296)&gt;0,Q296=0),"Lapsed - Follow Up","")</f>
        <v/>
      </c>
      <c r="V296" s="9" t="n">
        <f aca="false">RANK(R296,$R$2:$R$759)+COUNTIF($R$2:R296,R296)-1</f>
        <v>484</v>
      </c>
      <c r="W296" s="9" t="str">
        <f aca="false">IF(U296="Lapsed - Follow Up",COUNTIF($U$2:U296,"Lapsed - Follow Up"),"")</f>
        <v/>
      </c>
    </row>
    <row r="297" customFormat="false" ht="15" hidden="false" customHeight="true" outlineLevel="0" collapsed="false">
      <c r="A297" s="9" t="str">
        <f aca="false">Raw_Donors!A297</f>
        <v>D1295</v>
      </c>
      <c r="B297" s="9" t="str">
        <f aca="false">IF(ISNUMBER(SEARCH("-DUP",A297)),"Duplicate ID","")</f>
        <v/>
      </c>
      <c r="C297" s="9" t="n">
        <f aca="false">Raw_Donors!B297</f>
        <v>98847</v>
      </c>
      <c r="D297" s="9" t="n">
        <f aca="false">Raw_Donors!C297</f>
        <v>0</v>
      </c>
      <c r="E297" s="9" t="str">
        <f aca="false">IFERROR(IF(Raw_Donors!D297="","Unknown",Raw_Donors!D297),"Unknown")</f>
        <v>Unknown</v>
      </c>
      <c r="F297" s="9" t="str">
        <f aca="false">IFERROR(IF(Raw_Donors!E297="","Unknown",Raw_Donors!E297),"Unknown")</f>
        <v>Female</v>
      </c>
      <c r="G297" s="9" t="str">
        <f aca="false">PROPER(TRIM(Raw_Donors!F297))</f>
        <v>Individual Donor</v>
      </c>
      <c r="H297" s="9" t="str">
        <f aca="false">IFERROR(IF(Raw_Donors!G297="","N",Raw_Donors!G297),"N")</f>
        <v>Y</v>
      </c>
      <c r="I297" s="9" t="str">
        <f aca="false">IF(Raw_Donors!H297="","Not Rated",Raw_Donors!H297)</f>
        <v>Not Rated</v>
      </c>
      <c r="J297" s="9" t="str">
        <f aca="false">IF(TRIM(Raw_Donors!I297)="","Unknown",TRIM(Raw_Donors!I297))</f>
        <v>HOME</v>
      </c>
      <c r="K297" s="9" t="str">
        <f aca="false">Raw_Donors!J297</f>
        <v>N</v>
      </c>
      <c r="L297" s="9" t="n">
        <f aca="false">Raw_Donors!K297</f>
        <v>3</v>
      </c>
      <c r="M297" s="10" t="n">
        <f aca="false">IFERROR(VALUE(SUBSTITUTE(SUBSTITUTE(Raw_Donors!L297,"$",""),",","")),0)</f>
        <v>25</v>
      </c>
      <c r="N297" s="10" t="n">
        <f aca="false">IFERROR(VALUE(SUBSTITUTE(SUBSTITUTE(Raw_Donors!M297,"$",""),",","")),0)</f>
        <v>0</v>
      </c>
      <c r="O297" s="10" t="n">
        <f aca="false">IFERROR(VALUE(SUBSTITUTE(SUBSTITUTE(Raw_Donors!N297,"$",""),",","")),0)</f>
        <v>0</v>
      </c>
      <c r="P297" s="10" t="n">
        <f aca="false">IFERROR(VALUE(SUBSTITUTE(SUBSTITUTE(Raw_Donors!O297,"$",""),",","")),0)</f>
        <v>0</v>
      </c>
      <c r="Q297" s="10" t="n">
        <f aca="false">IFERROR(VALUE(SUBSTITUTE(SUBSTITUTE(Raw_Donors!P297,"$",""),",","")),0)</f>
        <v>0</v>
      </c>
      <c r="R297" s="10" t="n">
        <f aca="false">Raw_Donors!Q297</f>
        <v>25</v>
      </c>
      <c r="S297" s="9" t="str">
        <f aca="false">Raw_Donors!R297</f>
        <v>Y</v>
      </c>
      <c r="T297" s="9" t="str">
        <f aca="false">IF(Raw_Donors!S297="","",Raw_Donors!S297)</f>
        <v/>
      </c>
      <c r="U297" s="9" t="str">
        <f aca="false">IF(AND((O297+P297)&gt;0,Q297=0),"Lapsed - Follow Up","")</f>
        <v/>
      </c>
      <c r="V297" s="9" t="n">
        <f aca="false">RANK(R297,$R$2:$R$759)+COUNTIF($R$2:R297,R297)-1</f>
        <v>440</v>
      </c>
      <c r="W297" s="9" t="str">
        <f aca="false">IF(U297="Lapsed - Follow Up",COUNTIF($U$2:U297,"Lapsed - Follow Up"),"")</f>
        <v/>
      </c>
    </row>
    <row r="298" customFormat="false" ht="15" hidden="false" customHeight="true" outlineLevel="0" collapsed="false">
      <c r="A298" s="9" t="str">
        <f aca="false">Raw_Donors!A298</f>
        <v>D1296</v>
      </c>
      <c r="B298" s="9" t="str">
        <f aca="false">IF(ISNUMBER(SEARCH("-DUP",A298)),"Duplicate ID","")</f>
        <v/>
      </c>
      <c r="C298" s="9" t="n">
        <f aca="false">Raw_Donors!B298</f>
        <v>12170</v>
      </c>
      <c r="D298" s="9" t="n">
        <f aca="false">Raw_Donors!C298</f>
        <v>40</v>
      </c>
      <c r="E298" s="9" t="str">
        <f aca="false">IFERROR(IF(Raw_Donors!D298="","Unknown",Raw_Donors!D298),"Unknown")</f>
        <v>Unknown</v>
      </c>
      <c r="F298" s="9" t="str">
        <f aca="false">IFERROR(IF(Raw_Donors!E298="","Unknown",Raw_Donors!E298),"Unknown")</f>
        <v>Male</v>
      </c>
      <c r="G298" s="9" t="str">
        <f aca="false">PROPER(TRIM(Raw_Donors!F298))</f>
        <v>Community Partner</v>
      </c>
      <c r="H298" s="9" t="str">
        <f aca="false">IFERROR(IF(Raw_Donors!G298="","N",Raw_Donors!G298),"N")</f>
        <v>Y</v>
      </c>
      <c r="I298" s="9" t="str">
        <f aca="false">IF(Raw_Donors!H298="","Not Rated",Raw_Donors!H298)</f>
        <v>$25,000-$49,999</v>
      </c>
      <c r="J298" s="9" t="str">
        <f aca="false">IF(TRIM(Raw_Donors!I298)="","Unknown",TRIM(Raw_Donors!I298))</f>
        <v>HOME</v>
      </c>
      <c r="K298" s="9" t="str">
        <f aca="false">Raw_Donors!J298</f>
        <v>Y</v>
      </c>
      <c r="L298" s="9" t="n">
        <f aca="false">Raw_Donors!K298</f>
        <v>0</v>
      </c>
      <c r="M298" s="10" t="n">
        <f aca="false">IFERROR(VALUE(SUBSTITUTE(SUBSTITUTE(Raw_Donors!L298,"$",""),",","")),0)</f>
        <v>0</v>
      </c>
      <c r="N298" s="10" t="n">
        <f aca="false">IFERROR(VALUE(SUBSTITUTE(SUBSTITUTE(Raw_Donors!M298,"$",""),",","")),0)</f>
        <v>0</v>
      </c>
      <c r="O298" s="10" t="n">
        <f aca="false">IFERROR(VALUE(SUBSTITUTE(SUBSTITUTE(Raw_Donors!N298,"$",""),",","")),0)</f>
        <v>0</v>
      </c>
      <c r="P298" s="10" t="n">
        <f aca="false">IFERROR(VALUE(SUBSTITUTE(SUBSTITUTE(Raw_Donors!O298,"$",""),",","")),0)</f>
        <v>0</v>
      </c>
      <c r="Q298" s="10" t="n">
        <f aca="false">IFERROR(VALUE(SUBSTITUTE(SUBSTITUTE(Raw_Donors!P298,"$",""),",","")),0)</f>
        <v>0</v>
      </c>
      <c r="R298" s="10" t="n">
        <f aca="false">Raw_Donors!Q298</f>
        <v>610</v>
      </c>
      <c r="S298" s="9" t="str">
        <f aca="false">Raw_Donors!R298</f>
        <v>Y</v>
      </c>
      <c r="T298" s="9" t="str">
        <f aca="false">IF(Raw_Donors!S298="","",Raw_Donors!S298)</f>
        <v>1977-03-16</v>
      </c>
      <c r="U298" s="9" t="str">
        <f aca="false">IF(AND((O298+P298)&gt;0,Q298=0),"Lapsed - Follow Up","")</f>
        <v/>
      </c>
      <c r="V298" s="9" t="n">
        <f aca="false">RANK(R298,$R$2:$R$759)+COUNTIF($R$2:R298,R298)-1</f>
        <v>77</v>
      </c>
      <c r="W298" s="9" t="str">
        <f aca="false">IF(U298="Lapsed - Follow Up",COUNTIF($U$2:U298,"Lapsed - Follow Up"),"")</f>
        <v/>
      </c>
    </row>
    <row r="299" customFormat="false" ht="15" hidden="false" customHeight="true" outlineLevel="0" collapsed="false">
      <c r="A299" s="9" t="str">
        <f aca="false">Raw_Donors!A299</f>
        <v>D1297</v>
      </c>
      <c r="B299" s="9" t="str">
        <f aca="false">IF(ISNUMBER(SEARCH("-DUP",A299)),"Duplicate ID","")</f>
        <v/>
      </c>
      <c r="C299" s="9" t="n">
        <f aca="false">Raw_Donors!B299</f>
        <v>64674</v>
      </c>
      <c r="D299" s="9" t="n">
        <f aca="false">Raw_Donors!C299</f>
        <v>75</v>
      </c>
      <c r="E299" s="9" t="str">
        <f aca="false">IFERROR(IF(Raw_Donors!D299="","Unknown",Raw_Donors!D299),"Unknown")</f>
        <v>Unknown</v>
      </c>
      <c r="F299" s="9" t="str">
        <f aca="false">IFERROR(IF(Raw_Donors!E299="","Unknown",Raw_Donors!E299),"Unknown")</f>
        <v>Male</v>
      </c>
      <c r="G299" s="9" t="str">
        <f aca="false">PROPER(TRIM(Raw_Donors!F299))</f>
        <v>Community Partner</v>
      </c>
      <c r="H299" s="9" t="str">
        <f aca="false">IFERROR(IF(Raw_Donors!G299="","N",Raw_Donors!G299),"N")</f>
        <v>N</v>
      </c>
      <c r="I299" s="9" t="str">
        <f aca="false">IF(Raw_Donors!H299="","Not Rated",Raw_Donors!H299)</f>
        <v>Not Rated</v>
      </c>
      <c r="J299" s="9" t="str">
        <f aca="false">IF(TRIM(Raw_Donors!I299)="","Unknown",TRIM(Raw_Donors!I299))</f>
        <v>HOME</v>
      </c>
      <c r="K299" s="9" t="str">
        <f aca="false">Raw_Donors!J299</f>
        <v>N</v>
      </c>
      <c r="L299" s="9" t="n">
        <f aca="false">Raw_Donors!K299</f>
        <v>3</v>
      </c>
      <c r="M299" s="10" t="n">
        <f aca="false">IFERROR(VALUE(SUBSTITUTE(SUBSTITUTE(Raw_Donors!L299,"$",""),",","")),0)</f>
        <v>0</v>
      </c>
      <c r="N299" s="10" t="n">
        <f aca="false">IFERROR(VALUE(SUBSTITUTE(SUBSTITUTE(Raw_Donors!M299,"$",""),",","")),0)</f>
        <v>0</v>
      </c>
      <c r="O299" s="10" t="n">
        <f aca="false">IFERROR(VALUE(SUBSTITUTE(SUBSTITUTE(Raw_Donors!N299,"$",""),",","")),0)</f>
        <v>0</v>
      </c>
      <c r="P299" s="10" t="n">
        <f aca="false">IFERROR(VALUE(SUBSTITUTE(SUBSTITUTE(Raw_Donors!O299,"$",""),",","")),0)</f>
        <v>0</v>
      </c>
      <c r="Q299" s="10" t="n">
        <f aca="false">IFERROR(VALUE(SUBSTITUTE(SUBSTITUTE(Raw_Donors!P299,"$",""),",","")),0)</f>
        <v>630</v>
      </c>
      <c r="R299" s="10" t="n">
        <f aca="false">Raw_Donors!Q299</f>
        <v>630</v>
      </c>
      <c r="S299" s="9" t="str">
        <f aca="false">Raw_Donors!R299</f>
        <v>Y</v>
      </c>
      <c r="T299" s="9" t="str">
        <f aca="false">IF(Raw_Donors!S299="","",Raw_Donors!S299)</f>
        <v>1942-05-01</v>
      </c>
      <c r="U299" s="9" t="str">
        <f aca="false">IF(AND((O299+P299)&gt;0,Q299=0),"Lapsed - Follow Up","")</f>
        <v/>
      </c>
      <c r="V299" s="9" t="n">
        <f aca="false">RANK(R299,$R$2:$R$759)+COUNTIF($R$2:R299,R299)-1</f>
        <v>75</v>
      </c>
      <c r="W299" s="9" t="str">
        <f aca="false">IF(U299="Lapsed - Follow Up",COUNTIF($U$2:U299,"Lapsed - Follow Up"),"")</f>
        <v/>
      </c>
    </row>
    <row r="300" customFormat="false" ht="15" hidden="false" customHeight="true" outlineLevel="0" collapsed="false">
      <c r="A300" s="9" t="str">
        <f aca="false">Raw_Donors!A300</f>
        <v>D1298</v>
      </c>
      <c r="B300" s="9" t="str">
        <f aca="false">IF(ISNUMBER(SEARCH("-DUP",A300)),"Duplicate ID","")</f>
        <v/>
      </c>
      <c r="C300" s="9" t="n">
        <f aca="false">Raw_Donors!B300</f>
        <v>40927</v>
      </c>
      <c r="D300" s="9" t="n">
        <f aca="false">Raw_Donors!C300</f>
        <v>0</v>
      </c>
      <c r="E300" s="9" t="str">
        <f aca="false">IFERROR(IF(Raw_Donors!D300="","Unknown",Raw_Donors!D300),"Unknown")</f>
        <v>Unknown</v>
      </c>
      <c r="F300" s="9" t="str">
        <f aca="false">IFERROR(IF(Raw_Donors!E300="","Unknown",Raw_Donors!E300),"Unknown")</f>
        <v>Female</v>
      </c>
      <c r="G300" s="9" t="str">
        <f aca="false">PROPER(TRIM(Raw_Donors!F300))</f>
        <v>Individual Donor</v>
      </c>
      <c r="H300" s="9" t="str">
        <f aca="false">IFERROR(IF(Raw_Donors!G300="","N",Raw_Donors!G300),"N")</f>
        <v>N</v>
      </c>
      <c r="I300" s="9" t="str">
        <f aca="false">IF(Raw_Donors!H300="","Not Rated",Raw_Donors!H300)</f>
        <v>Not Rated</v>
      </c>
      <c r="J300" s="9" t="str">
        <f aca="false">IF(TRIM(Raw_Donors!I300)="","Unknown",TRIM(Raw_Donors!I300))</f>
        <v>HOME</v>
      </c>
      <c r="K300" s="9" t="str">
        <f aca="false">Raw_Donors!J300</f>
        <v>N</v>
      </c>
      <c r="L300" s="9" t="n">
        <f aca="false">Raw_Donors!K300</f>
        <v>2</v>
      </c>
      <c r="M300" s="10" t="n">
        <f aca="false">IFERROR(VALUE(SUBSTITUTE(SUBSTITUTE(Raw_Donors!L300,"$",""),",","")),0)</f>
        <v>0</v>
      </c>
      <c r="N300" s="10" t="n">
        <f aca="false">IFERROR(VALUE(SUBSTITUTE(SUBSTITUTE(Raw_Donors!M300,"$",""),",","")),0)</f>
        <v>0</v>
      </c>
      <c r="O300" s="10" t="n">
        <f aca="false">IFERROR(VALUE(SUBSTITUTE(SUBSTITUTE(Raw_Donors!N300,"$",""),",","")),0)</f>
        <v>0</v>
      </c>
      <c r="P300" s="10" t="n">
        <f aca="false">IFERROR(VALUE(SUBSTITUTE(SUBSTITUTE(Raw_Donors!O300,"$",""),",","")),0)</f>
        <v>0</v>
      </c>
      <c r="Q300" s="10" t="n">
        <f aca="false">IFERROR(VALUE(SUBSTITUTE(SUBSTITUTE(Raw_Donors!P300,"$",""),",","")),0)</f>
        <v>0</v>
      </c>
      <c r="R300" s="10" t="n">
        <f aca="false">Raw_Donors!Q300</f>
        <v>0</v>
      </c>
      <c r="S300" s="9" t="str">
        <f aca="false">Raw_Donors!R300</f>
        <v>N</v>
      </c>
      <c r="T300" s="9" t="str">
        <f aca="false">IF(Raw_Donors!S300="","",Raw_Donors!S300)</f>
        <v/>
      </c>
      <c r="U300" s="9" t="str">
        <f aca="false">IF(AND((O300+P300)&gt;0,Q300=0),"Lapsed - Follow Up","")</f>
        <v/>
      </c>
      <c r="V300" s="9" t="n">
        <f aca="false">RANK(R300,$R$2:$R$759)+COUNTIF($R$2:R300,R300)-1</f>
        <v>637</v>
      </c>
      <c r="W300" s="9" t="str">
        <f aca="false">IF(U300="Lapsed - Follow Up",COUNTIF($U$2:U300,"Lapsed - Follow Up"),"")</f>
        <v/>
      </c>
    </row>
    <row r="301" customFormat="false" ht="15" hidden="false" customHeight="true" outlineLevel="0" collapsed="false">
      <c r="A301" s="9" t="str">
        <f aca="false">Raw_Donors!A301</f>
        <v>D1299</v>
      </c>
      <c r="B301" s="9" t="str">
        <f aca="false">IF(ISNUMBER(SEARCH("-DUP",A301)),"Duplicate ID","")</f>
        <v/>
      </c>
      <c r="C301" s="9" t="n">
        <f aca="false">Raw_Donors!B301</f>
        <v>15370</v>
      </c>
      <c r="D301" s="9" t="n">
        <f aca="false">Raw_Donors!C301</f>
        <v>34</v>
      </c>
      <c r="E301" s="9" t="str">
        <f aca="false">IFERROR(IF(Raw_Donors!D301="","Unknown",Raw_Donors!D301),"Unknown")</f>
        <v>Unknown</v>
      </c>
      <c r="F301" s="9" t="str">
        <f aca="false">IFERROR(IF(Raw_Donors!E301="","Unknown",Raw_Donors!E301),"Unknown")</f>
        <v>Female</v>
      </c>
      <c r="G301" s="9" t="str">
        <f aca="false">PROPER(TRIM(Raw_Donors!F301))</f>
        <v>Individual Donor</v>
      </c>
      <c r="H301" s="9" t="str">
        <f aca="false">IFERROR(IF(Raw_Donors!G301="","N",Raw_Donors!G301),"N")</f>
        <v>N</v>
      </c>
      <c r="I301" s="9" t="str">
        <f aca="false">IF(Raw_Donors!H301="","Not Rated",Raw_Donors!H301)</f>
        <v>Not Rated</v>
      </c>
      <c r="J301" s="9" t="str">
        <f aca="false">IF(TRIM(Raw_Donors!I301)="","Unknown",TRIM(Raw_Donors!I301))</f>
        <v>HOME</v>
      </c>
      <c r="K301" s="9" t="str">
        <f aca="false">Raw_Donors!J301</f>
        <v>N</v>
      </c>
      <c r="L301" s="9" t="n">
        <f aca="false">Raw_Donors!K301</f>
        <v>0</v>
      </c>
      <c r="M301" s="10" t="n">
        <f aca="false">IFERROR(VALUE(SUBSTITUTE(SUBSTITUTE(Raw_Donors!L301,"$",""),",","")),0)</f>
        <v>0</v>
      </c>
      <c r="N301" s="10" t="n">
        <f aca="false">IFERROR(VALUE(SUBSTITUTE(SUBSTITUTE(Raw_Donors!M301,"$",""),",","")),0)</f>
        <v>0</v>
      </c>
      <c r="O301" s="10" t="n">
        <f aca="false">IFERROR(VALUE(SUBSTITUTE(SUBSTITUTE(Raw_Donors!N301,"$",""),",","")),0)</f>
        <v>0</v>
      </c>
      <c r="P301" s="10" t="n">
        <f aca="false">IFERROR(VALUE(SUBSTITUTE(SUBSTITUTE(Raw_Donors!O301,"$",""),",","")),0)</f>
        <v>0</v>
      </c>
      <c r="Q301" s="10" t="n">
        <f aca="false">IFERROR(VALUE(SUBSTITUTE(SUBSTITUTE(Raw_Donors!P301,"$",""),",","")),0)</f>
        <v>0</v>
      </c>
      <c r="R301" s="10" t="n">
        <f aca="false">Raw_Donors!Q301</f>
        <v>330</v>
      </c>
      <c r="S301" s="9" t="str">
        <f aca="false">Raw_Donors!R301</f>
        <v>Y</v>
      </c>
      <c r="T301" s="9" t="str">
        <f aca="false">IF(Raw_Donors!S301="","",Raw_Donors!S301)</f>
        <v>1983-09-20</v>
      </c>
      <c r="U301" s="9" t="str">
        <f aca="false">IF(AND((O301+P301)&gt;0,Q301=0),"Lapsed - Follow Up","")</f>
        <v/>
      </c>
      <c r="V301" s="9" t="n">
        <f aca="false">RANK(R301,$R$2:$R$759)+COUNTIF($R$2:R301,R301)-1</f>
        <v>131</v>
      </c>
      <c r="W301" s="9" t="str">
        <f aca="false">IF(U301="Lapsed - Follow Up",COUNTIF($U$2:U301,"Lapsed - Follow Up"),"")</f>
        <v/>
      </c>
    </row>
    <row r="302" customFormat="false" ht="15" hidden="false" customHeight="true" outlineLevel="0" collapsed="false">
      <c r="A302" s="9" t="str">
        <f aca="false">Raw_Donors!A302</f>
        <v>D1300</v>
      </c>
      <c r="B302" s="9" t="str">
        <f aca="false">IF(ISNUMBER(SEARCH("-DUP",A302)),"Duplicate ID","")</f>
        <v/>
      </c>
      <c r="C302" s="9" t="n">
        <f aca="false">Raw_Donors!B302</f>
        <v>71677</v>
      </c>
      <c r="D302" s="9" t="n">
        <f aca="false">Raw_Donors!C302</f>
        <v>35</v>
      </c>
      <c r="E302" s="9" t="str">
        <f aca="false">IFERROR(IF(Raw_Donors!D302="","Unknown",Raw_Donors!D302),"Unknown")</f>
        <v>Unknown</v>
      </c>
      <c r="F302" s="9" t="str">
        <f aca="false">IFERROR(IF(Raw_Donors!E302="","Unknown",Raw_Donors!E302),"Unknown")</f>
        <v>Female</v>
      </c>
      <c r="G302" s="9" t="str">
        <f aca="false">PROPER(TRIM(Raw_Donors!F302))</f>
        <v>Individual Donor</v>
      </c>
      <c r="H302" s="9" t="str">
        <f aca="false">IFERROR(IF(Raw_Donors!G302="","N",Raw_Donors!G302),"N")</f>
        <v>N</v>
      </c>
      <c r="I302" s="9" t="str">
        <f aca="false">IF(Raw_Donors!H302="","Not Rated",Raw_Donors!H302)</f>
        <v>$1-$24,999</v>
      </c>
      <c r="J302" s="9" t="str">
        <f aca="false">IF(TRIM(Raw_Donors!I302)="","Unknown",TRIM(Raw_Donors!I302))</f>
        <v>HOME</v>
      </c>
      <c r="K302" s="9" t="str">
        <f aca="false">Raw_Donors!J302</f>
        <v>Y</v>
      </c>
      <c r="L302" s="9" t="n">
        <f aca="false">Raw_Donors!K302</f>
        <v>0</v>
      </c>
      <c r="M302" s="10" t="n">
        <f aca="false">IFERROR(VALUE(SUBSTITUTE(SUBSTITUTE(Raw_Donors!L302,"$",""),",","")),0)</f>
        <v>0</v>
      </c>
      <c r="N302" s="10" t="n">
        <f aca="false">IFERROR(VALUE(SUBSTITUTE(SUBSTITUTE(Raw_Donors!M302,"$",""),",","")),0)</f>
        <v>0</v>
      </c>
      <c r="O302" s="10" t="n">
        <f aca="false">IFERROR(VALUE(SUBSTITUTE(SUBSTITUTE(Raw_Donors!N302,"$",""),",","")),0)</f>
        <v>0</v>
      </c>
      <c r="P302" s="10" t="n">
        <f aca="false">IFERROR(VALUE(SUBSTITUTE(SUBSTITUTE(Raw_Donors!O302,"$",""),",","")),0)</f>
        <v>26</v>
      </c>
      <c r="Q302" s="10" t="n">
        <f aca="false">IFERROR(VALUE(SUBSTITUTE(SUBSTITUTE(Raw_Donors!P302,"$",""),",","")),0)</f>
        <v>0</v>
      </c>
      <c r="R302" s="10" t="n">
        <f aca="false">Raw_Donors!Q302</f>
        <v>209</v>
      </c>
      <c r="S302" s="9" t="str">
        <f aca="false">Raw_Donors!R302</f>
        <v>Y</v>
      </c>
      <c r="T302" s="9" t="str">
        <f aca="false">IF(Raw_Donors!S302="","",Raw_Donors!S302)</f>
        <v>1982-09-13</v>
      </c>
      <c r="U302" s="9" t="str">
        <f aca="false">IF(AND((O302+P302)&gt;0,Q302=0),"Lapsed - Follow Up","")</f>
        <v>Lapsed - Follow Up</v>
      </c>
      <c r="V302" s="9" t="n">
        <f aca="false">RANK(R302,$R$2:$R$759)+COUNTIF($R$2:R302,R302)-1</f>
        <v>193</v>
      </c>
      <c r="W302" s="9" t="n">
        <f aca="false">IF(U302="Lapsed - Follow Up",COUNTIF($U$2:U302,"Lapsed - Follow Up"),"")</f>
        <v>46</v>
      </c>
    </row>
    <row r="303" customFormat="false" ht="15" hidden="false" customHeight="true" outlineLevel="0" collapsed="false">
      <c r="A303" s="9" t="str">
        <f aca="false">Raw_Donors!A303</f>
        <v>D1301</v>
      </c>
      <c r="B303" s="9" t="str">
        <f aca="false">IF(ISNUMBER(SEARCH("-DUP",A303)),"Duplicate ID","")</f>
        <v/>
      </c>
      <c r="C303" s="9" t="n">
        <f aca="false">Raw_Donors!B303</f>
        <v>8079</v>
      </c>
      <c r="D303" s="9" t="n">
        <f aca="false">Raw_Donors!C303</f>
        <v>0</v>
      </c>
      <c r="E303" s="9" t="str">
        <f aca="false">IFERROR(IF(Raw_Donors!D303="","Unknown",Raw_Donors!D303),"Unknown")</f>
        <v>Unknown</v>
      </c>
      <c r="F303" s="9" t="str">
        <f aca="false">IFERROR(IF(Raw_Donors!E303="","Unknown",Raw_Donors!E303),"Unknown")</f>
        <v>Male</v>
      </c>
      <c r="G303" s="9" t="str">
        <f aca="false">PROPER(TRIM(Raw_Donors!F303))</f>
        <v>Community Partner</v>
      </c>
      <c r="H303" s="9" t="str">
        <f aca="false">IFERROR(IF(Raw_Donors!G303="","N",Raw_Donors!G303),"N")</f>
        <v>N</v>
      </c>
      <c r="I303" s="9" t="str">
        <f aca="false">IF(Raw_Donors!H303="","Not Rated",Raw_Donors!H303)</f>
        <v>Not Rated</v>
      </c>
      <c r="J303" s="9" t="str">
        <f aca="false">IF(TRIM(Raw_Donors!I303)="","Unknown",TRIM(Raw_Donors!I303))</f>
        <v>Unknown</v>
      </c>
      <c r="K303" s="9" t="str">
        <f aca="false">Raw_Donors!J303</f>
        <v>N</v>
      </c>
      <c r="L303" s="9" t="n">
        <f aca="false">Raw_Donors!K303</f>
        <v>0</v>
      </c>
      <c r="M303" s="10" t="n">
        <f aca="false">IFERROR(VALUE(SUBSTITUTE(SUBSTITUTE(Raw_Donors!L303,"$",""),",","")),0)</f>
        <v>15</v>
      </c>
      <c r="N303" s="10" t="n">
        <f aca="false">IFERROR(VALUE(SUBSTITUTE(SUBSTITUTE(Raw_Donors!M303,"$",""),",","")),0)</f>
        <v>0</v>
      </c>
      <c r="O303" s="10" t="n">
        <f aca="false">IFERROR(VALUE(SUBSTITUTE(SUBSTITUTE(Raw_Donors!N303,"$",""),",","")),0)</f>
        <v>0</v>
      </c>
      <c r="P303" s="10" t="n">
        <f aca="false">IFERROR(VALUE(SUBSTITUTE(SUBSTITUTE(Raw_Donors!O303,"$",""),",","")),0)</f>
        <v>0</v>
      </c>
      <c r="Q303" s="10" t="n">
        <f aca="false">IFERROR(VALUE(SUBSTITUTE(SUBSTITUTE(Raw_Donors!P303,"$",""),",","")),0)</f>
        <v>0</v>
      </c>
      <c r="R303" s="10" t="n">
        <f aca="false">Raw_Donors!Q303</f>
        <v>15</v>
      </c>
      <c r="S303" s="9" t="str">
        <f aca="false">Raw_Donors!R303</f>
        <v>Y</v>
      </c>
      <c r="T303" s="9" t="str">
        <f aca="false">IF(Raw_Donors!S303="","",Raw_Donors!S303)</f>
        <v/>
      </c>
      <c r="U303" s="9" t="str">
        <f aca="false">IF(AND((O303+P303)&gt;0,Q303=0),"Lapsed - Follow Up","")</f>
        <v/>
      </c>
      <c r="V303" s="9" t="n">
        <f aca="false">RANK(R303,$R$2:$R$759)+COUNTIF($R$2:R303,R303)-1</f>
        <v>485</v>
      </c>
      <c r="W303" s="9" t="str">
        <f aca="false">IF(U303="Lapsed - Follow Up",COUNTIF($U$2:U303,"Lapsed - Follow Up"),"")</f>
        <v/>
      </c>
    </row>
    <row r="304" customFormat="false" ht="15" hidden="false" customHeight="true" outlineLevel="0" collapsed="false">
      <c r="A304" s="9" t="str">
        <f aca="false">Raw_Donors!A304</f>
        <v>D1302</v>
      </c>
      <c r="B304" s="9" t="str">
        <f aca="false">IF(ISNUMBER(SEARCH("-DUP",A304)),"Duplicate ID","")</f>
        <v/>
      </c>
      <c r="C304" s="9" t="n">
        <f aca="false">Raw_Donors!B304</f>
        <v>10259</v>
      </c>
      <c r="D304" s="9" t="n">
        <f aca="false">Raw_Donors!C304</f>
        <v>0</v>
      </c>
      <c r="E304" s="9" t="str">
        <f aca="false">IFERROR(IF(Raw_Donors!D304="","Unknown",Raw_Donors!D304),"Unknown")</f>
        <v>Unknown</v>
      </c>
      <c r="F304" s="9" t="str">
        <f aca="false">IFERROR(IF(Raw_Donors!E304="","Unknown",Raw_Donors!E304),"Unknown")</f>
        <v>Female</v>
      </c>
      <c r="G304" s="9" t="str">
        <f aca="false">PROPER(TRIM(Raw_Donors!F304))</f>
        <v>Individual Donor</v>
      </c>
      <c r="H304" s="9" t="str">
        <f aca="false">IFERROR(IF(Raw_Donors!G304="","N",Raw_Donors!G304),"N")</f>
        <v>N</v>
      </c>
      <c r="I304" s="9" t="str">
        <f aca="false">IF(Raw_Donors!H304="","Not Rated",Raw_Donors!H304)</f>
        <v>Not Rated</v>
      </c>
      <c r="J304" s="9" t="str">
        <f aca="false">IF(TRIM(Raw_Donors!I304)="","Unknown",TRIM(Raw_Donors!I304))</f>
        <v>Unknown</v>
      </c>
      <c r="K304" s="9" t="str">
        <f aca="false">Raw_Donors!J304</f>
        <v>N</v>
      </c>
      <c r="L304" s="9" t="n">
        <f aca="false">Raw_Donors!K304</f>
        <v>2</v>
      </c>
      <c r="M304" s="10" t="n">
        <f aca="false">IFERROR(VALUE(SUBSTITUTE(SUBSTITUTE(Raw_Donors!L304,"$",""),",","")),0)</f>
        <v>0</v>
      </c>
      <c r="N304" s="10" t="n">
        <f aca="false">IFERROR(VALUE(SUBSTITUTE(SUBSTITUTE(Raw_Donors!M304,"$",""),",","")),0)</f>
        <v>0</v>
      </c>
      <c r="O304" s="10" t="n">
        <f aca="false">IFERROR(VALUE(SUBSTITUTE(SUBSTITUTE(Raw_Donors!N304,"$",""),",","")),0)</f>
        <v>20</v>
      </c>
      <c r="P304" s="10" t="n">
        <f aca="false">IFERROR(VALUE(SUBSTITUTE(SUBSTITUTE(Raw_Donors!O304,"$",""),",","")),0)</f>
        <v>0</v>
      </c>
      <c r="Q304" s="10" t="n">
        <f aca="false">IFERROR(VALUE(SUBSTITUTE(SUBSTITUTE(Raw_Donors!P304,"$",""),",","")),0)</f>
        <v>0</v>
      </c>
      <c r="R304" s="10" t="n">
        <f aca="false">Raw_Donors!Q304</f>
        <v>225</v>
      </c>
      <c r="S304" s="9" t="str">
        <f aca="false">Raw_Donors!R304</f>
        <v>Y</v>
      </c>
      <c r="T304" s="9" t="str">
        <f aca="false">IF(Raw_Donors!S304="","",Raw_Donors!S304)</f>
        <v/>
      </c>
      <c r="U304" s="9" t="str">
        <f aca="false">IF(AND((O304+P304)&gt;0,Q304=0),"Lapsed - Follow Up","")</f>
        <v>Lapsed - Follow Up</v>
      </c>
      <c r="V304" s="9" t="n">
        <f aca="false">RANK(R304,$R$2:$R$759)+COUNTIF($R$2:R304,R304)-1</f>
        <v>184</v>
      </c>
      <c r="W304" s="9" t="n">
        <f aca="false">IF(U304="Lapsed - Follow Up",COUNTIF($U$2:U304,"Lapsed - Follow Up"),"")</f>
        <v>47</v>
      </c>
    </row>
    <row r="305" customFormat="false" ht="15" hidden="false" customHeight="true" outlineLevel="0" collapsed="false">
      <c r="A305" s="9" t="str">
        <f aca="false">Raw_Donors!A305</f>
        <v>D1303</v>
      </c>
      <c r="B305" s="9" t="str">
        <f aca="false">IF(ISNUMBER(SEARCH("-DUP",A305)),"Duplicate ID","")</f>
        <v/>
      </c>
      <c r="C305" s="9" t="n">
        <f aca="false">Raw_Donors!B305</f>
        <v>79845</v>
      </c>
      <c r="D305" s="9" t="n">
        <f aca="false">Raw_Donors!C305</f>
        <v>0</v>
      </c>
      <c r="E305" s="9" t="str">
        <f aca="false">IFERROR(IF(Raw_Donors!D305="","Unknown",Raw_Donors!D305),"Unknown")</f>
        <v>Married</v>
      </c>
      <c r="F305" s="9" t="str">
        <f aca="false">IFERROR(IF(Raw_Donors!E305="","Unknown",Raw_Donors!E305),"Unknown")</f>
        <v>Female</v>
      </c>
      <c r="G305" s="9" t="str">
        <f aca="false">PROPER(TRIM(Raw_Donors!F305))</f>
        <v>Individual Donor</v>
      </c>
      <c r="H305" s="9" t="str">
        <f aca="false">IFERROR(IF(Raw_Donors!G305="","N",Raw_Donors!G305),"N")</f>
        <v>N</v>
      </c>
      <c r="I305" s="9" t="str">
        <f aca="false">IF(Raw_Donors!H305="","Not Rated",Raw_Donors!H305)</f>
        <v>Not Rated</v>
      </c>
      <c r="J305" s="9" t="str">
        <f aca="false">IF(TRIM(Raw_Donors!I305)="","Unknown",TRIM(Raw_Donors!I305))</f>
        <v>HOME</v>
      </c>
      <c r="K305" s="9" t="str">
        <f aca="false">Raw_Donors!J305</f>
        <v>N</v>
      </c>
      <c r="L305" s="9" t="n">
        <f aca="false">Raw_Donors!K305</f>
        <v>0</v>
      </c>
      <c r="M305" s="10" t="n">
        <f aca="false">IFERROR(VALUE(SUBSTITUTE(SUBSTITUTE(Raw_Donors!L305,"$",""),",","")),0)</f>
        <v>0</v>
      </c>
      <c r="N305" s="10" t="n">
        <f aca="false">IFERROR(VALUE(SUBSTITUTE(SUBSTITUTE(Raw_Donors!M305,"$",""),",","")),0)</f>
        <v>0</v>
      </c>
      <c r="O305" s="10" t="n">
        <f aca="false">IFERROR(VALUE(SUBSTITUTE(SUBSTITUTE(Raw_Donors!N305,"$",""),",","")),0)</f>
        <v>0</v>
      </c>
      <c r="P305" s="10" t="n">
        <f aca="false">IFERROR(VALUE(SUBSTITUTE(SUBSTITUTE(Raw_Donors!O305,"$",""),",","")),0)</f>
        <v>0</v>
      </c>
      <c r="Q305" s="10" t="n">
        <f aca="false">IFERROR(VALUE(SUBSTITUTE(SUBSTITUTE(Raw_Donors!P305,"$",""),",","")),0)</f>
        <v>0</v>
      </c>
      <c r="R305" s="10" t="n">
        <f aca="false">Raw_Donors!Q305</f>
        <v>0</v>
      </c>
      <c r="S305" s="9" t="str">
        <f aca="false">Raw_Donors!R305</f>
        <v>N</v>
      </c>
      <c r="T305" s="9" t="str">
        <f aca="false">IF(Raw_Donors!S305="","",Raw_Donors!S305)</f>
        <v/>
      </c>
      <c r="U305" s="9" t="str">
        <f aca="false">IF(AND((O305+P305)&gt;0,Q305=0),"Lapsed - Follow Up","")</f>
        <v/>
      </c>
      <c r="V305" s="9" t="n">
        <f aca="false">RANK(R305,$R$2:$R$759)+COUNTIF($R$2:R305,R305)-1</f>
        <v>638</v>
      </c>
      <c r="W305" s="9" t="str">
        <f aca="false">IF(U305="Lapsed - Follow Up",COUNTIF($U$2:U305,"Lapsed - Follow Up"),"")</f>
        <v/>
      </c>
    </row>
    <row r="306" customFormat="false" ht="15" hidden="false" customHeight="true" outlineLevel="0" collapsed="false">
      <c r="A306" s="9" t="str">
        <f aca="false">Raw_Donors!A306</f>
        <v>D1304</v>
      </c>
      <c r="B306" s="9" t="str">
        <f aca="false">IF(ISNUMBER(SEARCH("-DUP",A306)),"Duplicate ID","")</f>
        <v/>
      </c>
      <c r="C306" s="9" t="n">
        <f aca="false">Raw_Donors!B306</f>
        <v>34972</v>
      </c>
      <c r="D306" s="9" t="n">
        <f aca="false">Raw_Donors!C306</f>
        <v>0</v>
      </c>
      <c r="E306" s="9" t="str">
        <f aca="false">IFERROR(IF(Raw_Donors!D306="","Unknown",Raw_Donors!D306),"Unknown")</f>
        <v>Unknown</v>
      </c>
      <c r="F306" s="9" t="str">
        <f aca="false">IFERROR(IF(Raw_Donors!E306="","Unknown",Raw_Donors!E306),"Unknown")</f>
        <v>Female</v>
      </c>
      <c r="G306" s="9" t="str">
        <f aca="false">PROPER(TRIM(Raw_Donors!F306))</f>
        <v>Community Partner</v>
      </c>
      <c r="H306" s="9" t="str">
        <f aca="false">IFERROR(IF(Raw_Donors!G306="","N",Raw_Donors!G306),"N")</f>
        <v>N</v>
      </c>
      <c r="I306" s="9" t="str">
        <f aca="false">IF(Raw_Donors!H306="","Not Rated",Raw_Donors!H306)</f>
        <v>Not Rated</v>
      </c>
      <c r="J306" s="9" t="str">
        <f aca="false">IF(TRIM(Raw_Donors!I306)="","Unknown",TRIM(Raw_Donors!I306))</f>
        <v>Unknown</v>
      </c>
      <c r="K306" s="9" t="str">
        <f aca="false">Raw_Donors!J306</f>
        <v>N</v>
      </c>
      <c r="L306" s="9" t="n">
        <f aca="false">Raw_Donors!K306</f>
        <v>0</v>
      </c>
      <c r="M306" s="10" t="n">
        <f aca="false">IFERROR(VALUE(SUBSTITUTE(SUBSTITUTE(Raw_Donors!L306,"$",""),",","")),0)</f>
        <v>0</v>
      </c>
      <c r="N306" s="10" t="n">
        <f aca="false">IFERROR(VALUE(SUBSTITUTE(SUBSTITUTE(Raw_Donors!M306,"$",""),",","")),0)</f>
        <v>0</v>
      </c>
      <c r="O306" s="10" t="n">
        <f aca="false">IFERROR(VALUE(SUBSTITUTE(SUBSTITUTE(Raw_Donors!N306,"$",""),",","")),0)</f>
        <v>0</v>
      </c>
      <c r="P306" s="10" t="n">
        <f aca="false">IFERROR(VALUE(SUBSTITUTE(SUBSTITUTE(Raw_Donors!O306,"$",""),",","")),0)</f>
        <v>0</v>
      </c>
      <c r="Q306" s="10" t="n">
        <f aca="false">IFERROR(VALUE(SUBSTITUTE(SUBSTITUTE(Raw_Donors!P306,"$",""),",","")),0)</f>
        <v>0</v>
      </c>
      <c r="R306" s="10" t="n">
        <f aca="false">Raw_Donors!Q306</f>
        <v>1500</v>
      </c>
      <c r="S306" s="9" t="str">
        <f aca="false">Raw_Donors!R306</f>
        <v>Y</v>
      </c>
      <c r="T306" s="9" t="str">
        <f aca="false">IF(Raw_Donors!S306="","",Raw_Donors!S306)</f>
        <v/>
      </c>
      <c r="U306" s="9" t="str">
        <f aca="false">IF(AND((O306+P306)&gt;0,Q306=0),"Lapsed - Follow Up","")</f>
        <v/>
      </c>
      <c r="V306" s="9" t="n">
        <f aca="false">RANK(R306,$R$2:$R$759)+COUNTIF($R$2:R306,R306)-1</f>
        <v>41</v>
      </c>
      <c r="W306" s="9" t="str">
        <f aca="false">IF(U306="Lapsed - Follow Up",COUNTIF($U$2:U306,"Lapsed - Follow Up"),"")</f>
        <v/>
      </c>
    </row>
    <row r="307" customFormat="false" ht="15" hidden="false" customHeight="true" outlineLevel="0" collapsed="false">
      <c r="A307" s="9" t="str">
        <f aca="false">Raw_Donors!A307</f>
        <v>D1305</v>
      </c>
      <c r="B307" s="9" t="str">
        <f aca="false">IF(ISNUMBER(SEARCH("-DUP",A307)),"Duplicate ID","")</f>
        <v/>
      </c>
      <c r="C307" s="9" t="n">
        <f aca="false">Raw_Donors!B307</f>
        <v>13738</v>
      </c>
      <c r="D307" s="9" t="n">
        <f aca="false">Raw_Donors!C307</f>
        <v>0</v>
      </c>
      <c r="E307" s="9" t="str">
        <f aca="false">IFERROR(IF(Raw_Donors!D307="","Unknown",Raw_Donors!D307),"Unknown")</f>
        <v>Unknown</v>
      </c>
      <c r="F307" s="9" t="str">
        <f aca="false">IFERROR(IF(Raw_Donors!E307="","Unknown",Raw_Donors!E307),"Unknown")</f>
        <v>Male</v>
      </c>
      <c r="G307" s="9" t="str">
        <f aca="false">PROPER(TRIM(Raw_Donors!F307))</f>
        <v>Individual Donor</v>
      </c>
      <c r="H307" s="9" t="str">
        <f aca="false">IFERROR(IF(Raw_Donors!G307="","N",Raw_Donors!G307),"N")</f>
        <v>N</v>
      </c>
      <c r="I307" s="9" t="str">
        <f aca="false">IF(Raw_Donors!H307="","Not Rated",Raw_Donors!H307)</f>
        <v>Not Rated</v>
      </c>
      <c r="J307" s="9" t="str">
        <f aca="false">IF(TRIM(Raw_Donors!I307)="","Unknown",TRIM(Raw_Donors!I307))</f>
        <v>HOME</v>
      </c>
      <c r="K307" s="9" t="str">
        <f aca="false">Raw_Donors!J307</f>
        <v>N</v>
      </c>
      <c r="L307" s="9" t="n">
        <f aca="false">Raw_Donors!K307</f>
        <v>3</v>
      </c>
      <c r="M307" s="10" t="n">
        <f aca="false">IFERROR(VALUE(SUBSTITUTE(SUBSTITUTE(Raw_Donors!L307,"$",""),",","")),0)</f>
        <v>0</v>
      </c>
      <c r="N307" s="10" t="n">
        <f aca="false">IFERROR(VALUE(SUBSTITUTE(SUBSTITUTE(Raw_Donors!M307,"$",""),",","")),0)</f>
        <v>0</v>
      </c>
      <c r="O307" s="10" t="n">
        <f aca="false">IFERROR(VALUE(SUBSTITUTE(SUBSTITUTE(Raw_Donors!N307,"$",""),",","")),0)</f>
        <v>70</v>
      </c>
      <c r="P307" s="10" t="n">
        <f aca="false">IFERROR(VALUE(SUBSTITUTE(SUBSTITUTE(Raw_Donors!O307,"$",""),",","")),0)</f>
        <v>0</v>
      </c>
      <c r="Q307" s="10" t="n">
        <f aca="false">IFERROR(VALUE(SUBSTITUTE(SUBSTITUTE(Raw_Donors!P307,"$",""),",","")),0)</f>
        <v>0</v>
      </c>
      <c r="R307" s="10" t="n">
        <f aca="false">Raw_Donors!Q307</f>
        <v>70</v>
      </c>
      <c r="S307" s="9" t="str">
        <f aca="false">Raw_Donors!R307</f>
        <v>Y</v>
      </c>
      <c r="T307" s="9" t="str">
        <f aca="false">IF(Raw_Donors!S307="","",Raw_Donors!S307)</f>
        <v/>
      </c>
      <c r="U307" s="9" t="str">
        <f aca="false">IF(AND((O307+P307)&gt;0,Q307=0),"Lapsed - Follow Up","")</f>
        <v>Lapsed - Follow Up</v>
      </c>
      <c r="V307" s="9" t="n">
        <f aca="false">RANK(R307,$R$2:$R$759)+COUNTIF($R$2:R307,R307)-1</f>
        <v>340</v>
      </c>
      <c r="W307" s="9" t="n">
        <f aca="false">IF(U307="Lapsed - Follow Up",COUNTIF($U$2:U307,"Lapsed - Follow Up"),"")</f>
        <v>48</v>
      </c>
    </row>
    <row r="308" customFormat="false" ht="15" hidden="false" customHeight="true" outlineLevel="0" collapsed="false">
      <c r="A308" s="9" t="str">
        <f aca="false">Raw_Donors!A308</f>
        <v>D1306</v>
      </c>
      <c r="B308" s="9" t="str">
        <f aca="false">IF(ISNUMBER(SEARCH("-DUP",A308)),"Duplicate ID","")</f>
        <v/>
      </c>
      <c r="C308" s="9" t="n">
        <f aca="false">Raw_Donors!B308</f>
        <v>36543</v>
      </c>
      <c r="D308" s="9" t="n">
        <f aca="false">Raw_Donors!C308</f>
        <v>47</v>
      </c>
      <c r="E308" s="9" t="str">
        <f aca="false">IFERROR(IF(Raw_Donors!D308="","Unknown",Raw_Donors!D308),"Unknown")</f>
        <v>Unknown</v>
      </c>
      <c r="F308" s="9" t="str">
        <f aca="false">IFERROR(IF(Raw_Donors!E308="","Unknown",Raw_Donors!E308),"Unknown")</f>
        <v>Female</v>
      </c>
      <c r="G308" s="9" t="str">
        <f aca="false">PROPER(TRIM(Raw_Donors!F308))</f>
        <v>Community Partner</v>
      </c>
      <c r="H308" s="9" t="str">
        <f aca="false">IFERROR(IF(Raw_Donors!G308="","N",Raw_Donors!G308),"N")</f>
        <v>N</v>
      </c>
      <c r="I308" s="9" t="str">
        <f aca="false">IF(Raw_Donors!H308="","Not Rated",Raw_Donors!H308)</f>
        <v>Not Rated</v>
      </c>
      <c r="J308" s="9" t="str">
        <f aca="false">IF(TRIM(Raw_Donors!I308)="","Unknown",TRIM(Raw_Donors!I308))</f>
        <v>HOME</v>
      </c>
      <c r="K308" s="9" t="str">
        <f aca="false">Raw_Donors!J308</f>
        <v>N</v>
      </c>
      <c r="L308" s="9" t="n">
        <f aca="false">Raw_Donors!K308</f>
        <v>0</v>
      </c>
      <c r="M308" s="10" t="n">
        <f aca="false">IFERROR(VALUE(SUBSTITUTE(SUBSTITUTE(Raw_Donors!L308,"$",""),",","")),0)</f>
        <v>0</v>
      </c>
      <c r="N308" s="10" t="n">
        <f aca="false">IFERROR(VALUE(SUBSTITUTE(SUBSTITUTE(Raw_Donors!M308,"$",""),",","")),0)</f>
        <v>328</v>
      </c>
      <c r="O308" s="10" t="n">
        <f aca="false">IFERROR(VALUE(SUBSTITUTE(SUBSTITUTE(Raw_Donors!N308,"$",""),",","")),0)</f>
        <v>0</v>
      </c>
      <c r="P308" s="10" t="n">
        <f aca="false">IFERROR(VALUE(SUBSTITUTE(SUBSTITUTE(Raw_Donors!O308,"$",""),",","")),0)</f>
        <v>0</v>
      </c>
      <c r="Q308" s="10" t="n">
        <f aca="false">IFERROR(VALUE(SUBSTITUTE(SUBSTITUTE(Raw_Donors!P308,"$",""),",","")),0)</f>
        <v>0</v>
      </c>
      <c r="R308" s="10" t="n">
        <f aca="false">Raw_Donors!Q308</f>
        <v>328</v>
      </c>
      <c r="S308" s="9" t="str">
        <f aca="false">Raw_Donors!R308</f>
        <v>Y</v>
      </c>
      <c r="T308" s="9" t="str">
        <f aca="false">IF(Raw_Donors!S308="","",Raw_Donors!S308)</f>
        <v>1970-08-11</v>
      </c>
      <c r="U308" s="9" t="str">
        <f aca="false">IF(AND((O308+P308)&gt;0,Q308=0),"Lapsed - Follow Up","")</f>
        <v/>
      </c>
      <c r="V308" s="9" t="n">
        <f aca="false">RANK(R308,$R$2:$R$759)+COUNTIF($R$2:R308,R308)-1</f>
        <v>132</v>
      </c>
      <c r="W308" s="9" t="str">
        <f aca="false">IF(U308="Lapsed - Follow Up",COUNTIF($U$2:U308,"Lapsed - Follow Up"),"")</f>
        <v/>
      </c>
    </row>
    <row r="309" customFormat="false" ht="15" hidden="false" customHeight="true" outlineLevel="0" collapsed="false">
      <c r="A309" s="9" t="str">
        <f aca="false">Raw_Donors!A309</f>
        <v>D1307</v>
      </c>
      <c r="B309" s="9" t="str">
        <f aca="false">IF(ISNUMBER(SEARCH("-DUP",A309)),"Duplicate ID","")</f>
        <v/>
      </c>
      <c r="C309" s="9" t="n">
        <f aca="false">Raw_Donors!B309</f>
        <v>73855</v>
      </c>
      <c r="D309" s="9" t="n">
        <f aca="false">Raw_Donors!C309</f>
        <v>37</v>
      </c>
      <c r="E309" s="9" t="str">
        <f aca="false">IFERROR(IF(Raw_Donors!D309="","Unknown",Raw_Donors!D309),"Unknown")</f>
        <v>Unknown</v>
      </c>
      <c r="F309" s="9" t="str">
        <f aca="false">IFERROR(IF(Raw_Donors!E309="","Unknown",Raw_Donors!E309),"Unknown")</f>
        <v>Male</v>
      </c>
      <c r="G309" s="9" t="str">
        <f aca="false">PROPER(TRIM(Raw_Donors!F309))</f>
        <v>Individual Donor</v>
      </c>
      <c r="H309" s="9" t="str">
        <f aca="false">IFERROR(IF(Raw_Donors!G309="","N",Raw_Donors!G309),"N")</f>
        <v>Y</v>
      </c>
      <c r="I309" s="9" t="str">
        <f aca="false">IF(Raw_Donors!H309="","Not Rated",Raw_Donors!H309)</f>
        <v>Not Rated</v>
      </c>
      <c r="J309" s="9" t="str">
        <f aca="false">IF(TRIM(Raw_Donors!I309)="","Unknown",TRIM(Raw_Donors!I309))</f>
        <v>HOME</v>
      </c>
      <c r="K309" s="9" t="str">
        <f aca="false">Raw_Donors!J309</f>
        <v>Y</v>
      </c>
      <c r="L309" s="9" t="n">
        <f aca="false">Raw_Donors!K309</f>
        <v>0</v>
      </c>
      <c r="M309" s="10" t="n">
        <f aca="false">IFERROR(VALUE(SUBSTITUTE(SUBSTITUTE(Raw_Donors!L309,"$",""),",","")),0)</f>
        <v>0</v>
      </c>
      <c r="N309" s="10" t="n">
        <f aca="false">IFERROR(VALUE(SUBSTITUTE(SUBSTITUTE(Raw_Donors!M309,"$",""),",","")),0)</f>
        <v>100</v>
      </c>
      <c r="O309" s="10" t="n">
        <f aca="false">IFERROR(VALUE(SUBSTITUTE(SUBSTITUTE(Raw_Donors!N309,"$",""),",","")),0)</f>
        <v>0</v>
      </c>
      <c r="P309" s="10" t="n">
        <f aca="false">IFERROR(VALUE(SUBSTITUTE(SUBSTITUTE(Raw_Donors!O309,"$",""),",","")),0)</f>
        <v>0</v>
      </c>
      <c r="Q309" s="10" t="n">
        <f aca="false">IFERROR(VALUE(SUBSTITUTE(SUBSTITUTE(Raw_Donors!P309,"$",""),",","")),0)</f>
        <v>0</v>
      </c>
      <c r="R309" s="10" t="n">
        <f aca="false">Raw_Donors!Q309</f>
        <v>300</v>
      </c>
      <c r="S309" s="9" t="str">
        <f aca="false">Raw_Donors!R309</f>
        <v>Y</v>
      </c>
      <c r="T309" s="9" t="str">
        <f aca="false">IF(Raw_Donors!S309="","",Raw_Donors!S309)</f>
        <v>1980-05-14</v>
      </c>
      <c r="U309" s="9" t="str">
        <f aca="false">IF(AND((O309+P309)&gt;0,Q309=0),"Lapsed - Follow Up","")</f>
        <v/>
      </c>
      <c r="V309" s="9" t="n">
        <f aca="false">RANK(R309,$R$2:$R$759)+COUNTIF($R$2:R309,R309)-1</f>
        <v>144</v>
      </c>
      <c r="W309" s="9" t="str">
        <f aca="false">IF(U309="Lapsed - Follow Up",COUNTIF($U$2:U309,"Lapsed - Follow Up"),"")</f>
        <v/>
      </c>
    </row>
    <row r="310" customFormat="false" ht="15" hidden="false" customHeight="true" outlineLevel="0" collapsed="false">
      <c r="A310" s="9" t="str">
        <f aca="false">Raw_Donors!A310</f>
        <v>D1308</v>
      </c>
      <c r="B310" s="9" t="str">
        <f aca="false">IF(ISNUMBER(SEARCH("-DUP",A310)),"Duplicate ID","")</f>
        <v/>
      </c>
      <c r="C310" s="9" t="n">
        <f aca="false">Raw_Donors!B310</f>
        <v>90408</v>
      </c>
      <c r="D310" s="9" t="n">
        <f aca="false">Raw_Donors!C310</f>
        <v>0</v>
      </c>
      <c r="E310" s="9" t="str">
        <f aca="false">IFERROR(IF(Raw_Donors!D310="","Unknown",Raw_Donors!D310),"Unknown")</f>
        <v>Unknown</v>
      </c>
      <c r="F310" s="9" t="str">
        <f aca="false">IFERROR(IF(Raw_Donors!E310="","Unknown",Raw_Donors!E310),"Unknown")</f>
        <v>Male</v>
      </c>
      <c r="G310" s="9" t="str">
        <f aca="false">PROPER(TRIM(Raw_Donors!F310))</f>
        <v>Individual Donor</v>
      </c>
      <c r="H310" s="9" t="str">
        <f aca="false">IFERROR(IF(Raw_Donors!G310="","N",Raw_Donors!G310),"N")</f>
        <v>N</v>
      </c>
      <c r="I310" s="9" t="str">
        <f aca="false">IF(Raw_Donors!H310="","Not Rated",Raw_Donors!H310)</f>
        <v>Not Rated</v>
      </c>
      <c r="J310" s="9" t="str">
        <f aca="false">IF(TRIM(Raw_Donors!I310)="","Unknown",TRIM(Raw_Donors!I310))</f>
        <v>HOME</v>
      </c>
      <c r="K310" s="9" t="str">
        <f aca="false">Raw_Donors!J310</f>
        <v>N</v>
      </c>
      <c r="L310" s="9" t="n">
        <f aca="false">Raw_Donors!K310</f>
        <v>3</v>
      </c>
      <c r="M310" s="10" t="n">
        <f aca="false">IFERROR(VALUE(SUBSTITUTE(SUBSTITUTE(Raw_Donors!L310,"$",""),",","")),0)</f>
        <v>25</v>
      </c>
      <c r="N310" s="10" t="n">
        <f aca="false">IFERROR(VALUE(SUBSTITUTE(SUBSTITUTE(Raw_Donors!M310,"$",""),",","")),0)</f>
        <v>0</v>
      </c>
      <c r="O310" s="10" t="n">
        <f aca="false">IFERROR(VALUE(SUBSTITUTE(SUBSTITUTE(Raw_Donors!N310,"$",""),",","")),0)</f>
        <v>0</v>
      </c>
      <c r="P310" s="10" t="n">
        <f aca="false">IFERROR(VALUE(SUBSTITUTE(SUBSTITUTE(Raw_Donors!O310,"$",""),",","")),0)</f>
        <v>0</v>
      </c>
      <c r="Q310" s="10" t="n">
        <f aca="false">IFERROR(VALUE(SUBSTITUTE(SUBSTITUTE(Raw_Donors!P310,"$",""),",","")),0)</f>
        <v>0</v>
      </c>
      <c r="R310" s="10" t="n">
        <f aca="false">Raw_Donors!Q310</f>
        <v>25</v>
      </c>
      <c r="S310" s="9" t="str">
        <f aca="false">Raw_Donors!R310</f>
        <v>Y</v>
      </c>
      <c r="T310" s="9" t="str">
        <f aca="false">IF(Raw_Donors!S310="","",Raw_Donors!S310)</f>
        <v/>
      </c>
      <c r="U310" s="9" t="str">
        <f aca="false">IF(AND((O310+P310)&gt;0,Q310=0),"Lapsed - Follow Up","")</f>
        <v/>
      </c>
      <c r="V310" s="9" t="n">
        <f aca="false">RANK(R310,$R$2:$R$759)+COUNTIF($R$2:R310,R310)-1</f>
        <v>441</v>
      </c>
      <c r="W310" s="9" t="str">
        <f aca="false">IF(U310="Lapsed - Follow Up",COUNTIF($U$2:U310,"Lapsed - Follow Up"),"")</f>
        <v/>
      </c>
    </row>
    <row r="311" customFormat="false" ht="15" hidden="false" customHeight="true" outlineLevel="0" collapsed="false">
      <c r="A311" s="9" t="str">
        <f aca="false">Raw_Donors!A311</f>
        <v>D1309</v>
      </c>
      <c r="B311" s="9" t="str">
        <f aca="false">IF(ISNUMBER(SEARCH("-DUP",A311)),"Duplicate ID","")</f>
        <v/>
      </c>
      <c r="C311" s="9" t="n">
        <f aca="false">Raw_Donors!B311</f>
        <v>3575</v>
      </c>
      <c r="D311" s="9" t="n">
        <f aca="false">Raw_Donors!C311</f>
        <v>0</v>
      </c>
      <c r="E311" s="9" t="str">
        <f aca="false">IFERROR(IF(Raw_Donors!D311="","Unknown",Raw_Donors!D311),"Unknown")</f>
        <v>Married</v>
      </c>
      <c r="F311" s="9" t="str">
        <f aca="false">IFERROR(IF(Raw_Donors!E311="","Unknown",Raw_Donors!E311),"Unknown")</f>
        <v>Male</v>
      </c>
      <c r="G311" s="9" t="str">
        <f aca="false">PROPER(TRIM(Raw_Donors!F311))</f>
        <v>Individual Donor</v>
      </c>
      <c r="H311" s="9" t="str">
        <f aca="false">IFERROR(IF(Raw_Donors!G311="","N",Raw_Donors!G311),"N")</f>
        <v>N</v>
      </c>
      <c r="I311" s="9" t="str">
        <f aca="false">IF(Raw_Donors!H311="","Not Rated",Raw_Donors!H311)</f>
        <v>Not Rated</v>
      </c>
      <c r="J311" s="9" t="str">
        <f aca="false">IF(TRIM(Raw_Donors!I311)="","Unknown",TRIM(Raw_Donors!I311))</f>
        <v>HOME</v>
      </c>
      <c r="K311" s="9" t="str">
        <f aca="false">Raw_Donors!J311</f>
        <v>N</v>
      </c>
      <c r="L311" s="9" t="n">
        <f aca="false">Raw_Donors!K311</f>
        <v>8</v>
      </c>
      <c r="M311" s="10" t="n">
        <f aca="false">IFERROR(VALUE(SUBSTITUTE(SUBSTITUTE(Raw_Donors!L311,"$",""),",","")),0)</f>
        <v>0</v>
      </c>
      <c r="N311" s="10" t="n">
        <f aca="false">IFERROR(VALUE(SUBSTITUTE(SUBSTITUTE(Raw_Donors!M311,"$",""),",","")),0)</f>
        <v>0</v>
      </c>
      <c r="O311" s="10" t="n">
        <f aca="false">IFERROR(VALUE(SUBSTITUTE(SUBSTITUTE(Raw_Donors!N311,"$",""),",","")),0)</f>
        <v>0</v>
      </c>
      <c r="P311" s="10" t="n">
        <f aca="false">IFERROR(VALUE(SUBSTITUTE(SUBSTITUTE(Raw_Donors!O311,"$",""),",","")),0)</f>
        <v>0</v>
      </c>
      <c r="Q311" s="10" t="n">
        <f aca="false">IFERROR(VALUE(SUBSTITUTE(SUBSTITUTE(Raw_Donors!P311,"$",""),",","")),0)</f>
        <v>0</v>
      </c>
      <c r="R311" s="10" t="n">
        <f aca="false">Raw_Donors!Q311</f>
        <v>2040</v>
      </c>
      <c r="S311" s="9" t="str">
        <f aca="false">Raw_Donors!R311</f>
        <v>Y</v>
      </c>
      <c r="T311" s="9" t="str">
        <f aca="false">IF(Raw_Donors!S311="","",Raw_Donors!S311)</f>
        <v/>
      </c>
      <c r="U311" s="9" t="str">
        <f aca="false">IF(AND((O311+P311)&gt;0,Q311=0),"Lapsed - Follow Up","")</f>
        <v/>
      </c>
      <c r="V311" s="9" t="n">
        <f aca="false">RANK(R311,$R$2:$R$759)+COUNTIF($R$2:R311,R311)-1</f>
        <v>28</v>
      </c>
      <c r="W311" s="9" t="str">
        <f aca="false">IF(U311="Lapsed - Follow Up",COUNTIF($U$2:U311,"Lapsed - Follow Up"),"")</f>
        <v/>
      </c>
    </row>
    <row r="312" customFormat="false" ht="15" hidden="false" customHeight="true" outlineLevel="0" collapsed="false">
      <c r="A312" s="9" t="str">
        <f aca="false">Raw_Donors!A312</f>
        <v>D1310</v>
      </c>
      <c r="B312" s="9" t="str">
        <f aca="false">IF(ISNUMBER(SEARCH("-DUP",A312)),"Duplicate ID","")</f>
        <v/>
      </c>
      <c r="C312" s="9" t="n">
        <f aca="false">Raw_Donors!B312</f>
        <v>9806</v>
      </c>
      <c r="D312" s="9" t="n">
        <f aca="false">Raw_Donors!C312</f>
        <v>0</v>
      </c>
      <c r="E312" s="9" t="str">
        <f aca="false">IFERROR(IF(Raw_Donors!D312="","Unknown",Raw_Donors!D312),"Unknown")</f>
        <v>Unknown</v>
      </c>
      <c r="F312" s="9" t="str">
        <f aca="false">IFERROR(IF(Raw_Donors!E312="","Unknown",Raw_Donors!E312),"Unknown")</f>
        <v>Female</v>
      </c>
      <c r="G312" s="9" t="str">
        <f aca="false">PROPER(TRIM(Raw_Donors!F312))</f>
        <v>Individual Donor</v>
      </c>
      <c r="H312" s="9" t="str">
        <f aca="false">IFERROR(IF(Raw_Donors!G312="","N",Raw_Donors!G312),"N")</f>
        <v>N</v>
      </c>
      <c r="I312" s="9" t="str">
        <f aca="false">IF(Raw_Donors!H312="","Not Rated",Raw_Donors!H312)</f>
        <v>Not Rated</v>
      </c>
      <c r="J312" s="9" t="str">
        <f aca="false">IF(TRIM(Raw_Donors!I312)="","Unknown",TRIM(Raw_Donors!I312))</f>
        <v>HOME</v>
      </c>
      <c r="K312" s="9" t="str">
        <f aca="false">Raw_Donors!J312</f>
        <v>N</v>
      </c>
      <c r="L312" s="9" t="n">
        <f aca="false">Raw_Donors!K312</f>
        <v>1</v>
      </c>
      <c r="M312" s="10" t="n">
        <f aca="false">IFERROR(VALUE(SUBSTITUTE(SUBSTITUTE(Raw_Donors!L312,"$",""),",","")),0)</f>
        <v>0</v>
      </c>
      <c r="N312" s="10" t="n">
        <f aca="false">IFERROR(VALUE(SUBSTITUTE(SUBSTITUTE(Raw_Donors!M312,"$",""),",","")),0)</f>
        <v>0</v>
      </c>
      <c r="O312" s="10" t="n">
        <f aca="false">IFERROR(VALUE(SUBSTITUTE(SUBSTITUTE(Raw_Donors!N312,"$",""),",","")),0)</f>
        <v>0</v>
      </c>
      <c r="P312" s="10" t="n">
        <f aca="false">IFERROR(VALUE(SUBSTITUTE(SUBSTITUTE(Raw_Donors!O312,"$",""),",","")),0)</f>
        <v>0</v>
      </c>
      <c r="Q312" s="10" t="n">
        <f aca="false">IFERROR(VALUE(SUBSTITUTE(SUBSTITUTE(Raw_Donors!P312,"$",""),",","")),0)</f>
        <v>0</v>
      </c>
      <c r="R312" s="10" t="n">
        <f aca="false">Raw_Donors!Q312</f>
        <v>50</v>
      </c>
      <c r="S312" s="9" t="str">
        <f aca="false">Raw_Donors!R312</f>
        <v>Y</v>
      </c>
      <c r="T312" s="9" t="str">
        <f aca="false">IF(Raw_Donors!S312="","",Raw_Donors!S312)</f>
        <v/>
      </c>
      <c r="U312" s="9" t="str">
        <f aca="false">IF(AND((O312+P312)&gt;0,Q312=0),"Lapsed - Follow Up","")</f>
        <v/>
      </c>
      <c r="V312" s="9" t="n">
        <f aca="false">RANK(R312,$R$2:$R$759)+COUNTIF($R$2:R312,R312)-1</f>
        <v>373</v>
      </c>
      <c r="W312" s="9" t="str">
        <f aca="false">IF(U312="Lapsed - Follow Up",COUNTIF($U$2:U312,"Lapsed - Follow Up"),"")</f>
        <v/>
      </c>
    </row>
    <row r="313" customFormat="false" ht="15" hidden="false" customHeight="true" outlineLevel="0" collapsed="false">
      <c r="A313" s="9" t="str">
        <f aca="false">Raw_Donors!A313</f>
        <v>D1311</v>
      </c>
      <c r="B313" s="9" t="str">
        <f aca="false">IF(ISNUMBER(SEARCH("-DUP",A313)),"Duplicate ID","")</f>
        <v/>
      </c>
      <c r="C313" s="9" t="n">
        <f aca="false">Raw_Donors!B313</f>
        <v>45835</v>
      </c>
      <c r="D313" s="9" t="n">
        <f aca="false">Raw_Donors!C313</f>
        <v>41</v>
      </c>
      <c r="E313" s="9" t="str">
        <f aca="false">IFERROR(IF(Raw_Donors!D313="","Unknown",Raw_Donors!D313),"Unknown")</f>
        <v>Unknown</v>
      </c>
      <c r="F313" s="9" t="str">
        <f aca="false">IFERROR(IF(Raw_Donors!E313="","Unknown",Raw_Donors!E313),"Unknown")</f>
        <v>Female</v>
      </c>
      <c r="G313" s="9" t="str">
        <f aca="false">PROPER(TRIM(Raw_Donors!F313))</f>
        <v>Community Partner</v>
      </c>
      <c r="H313" s="9" t="str">
        <f aca="false">IFERROR(IF(Raw_Donors!G313="","N",Raw_Donors!G313),"N")</f>
        <v>Y</v>
      </c>
      <c r="I313" s="9" t="str">
        <f aca="false">IF(Raw_Donors!H313="","Not Rated",Raw_Donors!H313)</f>
        <v>Not Rated</v>
      </c>
      <c r="J313" s="9" t="str">
        <f aca="false">IF(TRIM(Raw_Donors!I313)="","Unknown",TRIM(Raw_Donors!I313))</f>
        <v>BUSN</v>
      </c>
      <c r="K313" s="9" t="str">
        <f aca="false">Raw_Donors!J313</f>
        <v>N</v>
      </c>
      <c r="L313" s="9" t="n">
        <f aca="false">Raw_Donors!K313</f>
        <v>0</v>
      </c>
      <c r="M313" s="10" t="n">
        <f aca="false">IFERROR(VALUE(SUBSTITUTE(SUBSTITUTE(Raw_Donors!L313,"$",""),",","")),0)</f>
        <v>0</v>
      </c>
      <c r="N313" s="10" t="n">
        <f aca="false">IFERROR(VALUE(SUBSTITUTE(SUBSTITUTE(Raw_Donors!M313,"$",""),",","")),0)</f>
        <v>50</v>
      </c>
      <c r="O313" s="10" t="n">
        <f aca="false">IFERROR(VALUE(SUBSTITUTE(SUBSTITUTE(Raw_Donors!N313,"$",""),",","")),0)</f>
        <v>0</v>
      </c>
      <c r="P313" s="10" t="n">
        <f aca="false">IFERROR(VALUE(SUBSTITUTE(SUBSTITUTE(Raw_Donors!O313,"$",""),",","")),0)</f>
        <v>0</v>
      </c>
      <c r="Q313" s="10" t="n">
        <f aca="false">IFERROR(VALUE(SUBSTITUTE(SUBSTITUTE(Raw_Donors!P313,"$",""),",","")),0)</f>
        <v>0</v>
      </c>
      <c r="R313" s="10" t="n">
        <f aca="false">Raw_Donors!Q313</f>
        <v>50</v>
      </c>
      <c r="S313" s="9" t="str">
        <f aca="false">Raw_Donors!R313</f>
        <v>Y</v>
      </c>
      <c r="T313" s="9" t="str">
        <f aca="false">IF(Raw_Donors!S313="","",Raw_Donors!S313)</f>
        <v>1976-09-14</v>
      </c>
      <c r="U313" s="9" t="str">
        <f aca="false">IF(AND((O313+P313)&gt;0,Q313=0),"Lapsed - Follow Up","")</f>
        <v/>
      </c>
      <c r="V313" s="9" t="n">
        <f aca="false">RANK(R313,$R$2:$R$759)+COUNTIF($R$2:R313,R313)-1</f>
        <v>374</v>
      </c>
      <c r="W313" s="9" t="str">
        <f aca="false">IF(U313="Lapsed - Follow Up",COUNTIF($U$2:U313,"Lapsed - Follow Up"),"")</f>
        <v/>
      </c>
    </row>
    <row r="314" customFormat="false" ht="15" hidden="false" customHeight="true" outlineLevel="0" collapsed="false">
      <c r="A314" s="9" t="str">
        <f aca="false">Raw_Donors!A314</f>
        <v>D1312</v>
      </c>
      <c r="B314" s="9" t="str">
        <f aca="false">IF(ISNUMBER(SEARCH("-DUP",A314)),"Duplicate ID","")</f>
        <v/>
      </c>
      <c r="C314" s="9" t="n">
        <f aca="false">Raw_Donors!B314</f>
        <v>13350</v>
      </c>
      <c r="D314" s="9" t="n">
        <f aca="false">Raw_Donors!C314</f>
        <v>0</v>
      </c>
      <c r="E314" s="9" t="str">
        <f aca="false">IFERROR(IF(Raw_Donors!D314="","Unknown",Raw_Donors!D314),"Unknown")</f>
        <v>Married</v>
      </c>
      <c r="F314" s="9" t="str">
        <f aca="false">IFERROR(IF(Raw_Donors!E314="","Unknown",Raw_Donors!E314),"Unknown")</f>
        <v>Female</v>
      </c>
      <c r="G314" s="9" t="str">
        <f aca="false">PROPER(TRIM(Raw_Donors!F314))</f>
        <v>Individual Donor</v>
      </c>
      <c r="H314" s="9" t="str">
        <f aca="false">IFERROR(IF(Raw_Donors!G314="","N",Raw_Donors!G314),"N")</f>
        <v>N</v>
      </c>
      <c r="I314" s="9" t="str">
        <f aca="false">IF(Raw_Donors!H314="","Not Rated",Raw_Donors!H314)</f>
        <v>Not Rated</v>
      </c>
      <c r="J314" s="9" t="str">
        <f aca="false">IF(TRIM(Raw_Donors!I314)="","Unknown",TRIM(Raw_Donors!I314))</f>
        <v>HOME</v>
      </c>
      <c r="K314" s="9" t="str">
        <f aca="false">Raw_Donors!J314</f>
        <v>N</v>
      </c>
      <c r="L314" s="9" t="n">
        <f aca="false">Raw_Donors!K314</f>
        <v>0</v>
      </c>
      <c r="M314" s="10" t="n">
        <f aca="false">IFERROR(VALUE(SUBSTITUTE(SUBSTITUTE(Raw_Donors!L314,"$",""),",","")),0)</f>
        <v>0</v>
      </c>
      <c r="N314" s="10" t="n">
        <f aca="false">IFERROR(VALUE(SUBSTITUTE(SUBSTITUTE(Raw_Donors!M314,"$",""),",","")),0)</f>
        <v>0</v>
      </c>
      <c r="O314" s="10" t="n">
        <f aca="false">IFERROR(VALUE(SUBSTITUTE(SUBSTITUTE(Raw_Donors!N314,"$",""),",","")),0)</f>
        <v>0</v>
      </c>
      <c r="P314" s="10" t="n">
        <f aca="false">IFERROR(VALUE(SUBSTITUTE(SUBSTITUTE(Raw_Donors!O314,"$",""),",","")),0)</f>
        <v>0</v>
      </c>
      <c r="Q314" s="10" t="n">
        <f aca="false">IFERROR(VALUE(SUBSTITUTE(SUBSTITUTE(Raw_Donors!P314,"$",""),",","")),0)</f>
        <v>60</v>
      </c>
      <c r="R314" s="10" t="n">
        <f aca="false">Raw_Donors!Q314</f>
        <v>60</v>
      </c>
      <c r="S314" s="9" t="str">
        <f aca="false">Raw_Donors!R314</f>
        <v>Y</v>
      </c>
      <c r="T314" s="9" t="str">
        <f aca="false">IF(Raw_Donors!S314="","",Raw_Donors!S314)</f>
        <v/>
      </c>
      <c r="U314" s="9" t="str">
        <f aca="false">IF(AND((O314+P314)&gt;0,Q314=0),"Lapsed - Follow Up","")</f>
        <v/>
      </c>
      <c r="V314" s="9" t="n">
        <f aca="false">RANK(R314,$R$2:$R$759)+COUNTIF($R$2:R314,R314)-1</f>
        <v>353</v>
      </c>
      <c r="W314" s="9" t="str">
        <f aca="false">IF(U314="Lapsed - Follow Up",COUNTIF($U$2:U314,"Lapsed - Follow Up"),"")</f>
        <v/>
      </c>
    </row>
    <row r="315" customFormat="false" ht="15" hidden="false" customHeight="true" outlineLevel="0" collapsed="false">
      <c r="A315" s="9" t="str">
        <f aca="false">Raw_Donors!A315</f>
        <v>D1313</v>
      </c>
      <c r="B315" s="9" t="str">
        <f aca="false">IF(ISNUMBER(SEARCH("-DUP",A315)),"Duplicate ID","")</f>
        <v/>
      </c>
      <c r="C315" s="9" t="n">
        <f aca="false">Raw_Donors!B315</f>
        <v>55375</v>
      </c>
      <c r="D315" s="9" t="n">
        <f aca="false">Raw_Donors!C315</f>
        <v>0</v>
      </c>
      <c r="E315" s="9" t="str">
        <f aca="false">IFERROR(IF(Raw_Donors!D315="","Unknown",Raw_Donors!D315),"Unknown")</f>
        <v>Unknown</v>
      </c>
      <c r="F315" s="9" t="str">
        <f aca="false">IFERROR(IF(Raw_Donors!E315="","Unknown",Raw_Donors!E315),"Unknown")</f>
        <v>Female</v>
      </c>
      <c r="G315" s="9" t="str">
        <f aca="false">PROPER(TRIM(Raw_Donors!F315))</f>
        <v>Individual Donor</v>
      </c>
      <c r="H315" s="9" t="str">
        <f aca="false">IFERROR(IF(Raw_Donors!G315="","N",Raw_Donors!G315),"N")</f>
        <v>N</v>
      </c>
      <c r="I315" s="9" t="str">
        <f aca="false">IF(Raw_Donors!H315="","Not Rated",Raw_Donors!H315)</f>
        <v>Not Rated</v>
      </c>
      <c r="J315" s="9" t="str">
        <f aca="false">IF(TRIM(Raw_Donors!I315)="","Unknown",TRIM(Raw_Donors!I315))</f>
        <v>HOME</v>
      </c>
      <c r="K315" s="9" t="str">
        <f aca="false">Raw_Donors!J315</f>
        <v>Y</v>
      </c>
      <c r="L315" s="9" t="n">
        <f aca="false">Raw_Donors!K315</f>
        <v>1</v>
      </c>
      <c r="M315" s="10" t="n">
        <f aca="false">IFERROR(VALUE(SUBSTITUTE(SUBSTITUTE(Raw_Donors!L315,"$",""),",","")),0)</f>
        <v>0</v>
      </c>
      <c r="N315" s="10" t="n">
        <f aca="false">IFERROR(VALUE(SUBSTITUTE(SUBSTITUTE(Raw_Donors!M315,"$",""),",","")),0)</f>
        <v>0</v>
      </c>
      <c r="O315" s="10" t="n">
        <f aca="false">IFERROR(VALUE(SUBSTITUTE(SUBSTITUTE(Raw_Donors!N315,"$",""),",","")),0)</f>
        <v>0</v>
      </c>
      <c r="P315" s="10" t="n">
        <f aca="false">IFERROR(VALUE(SUBSTITUTE(SUBSTITUTE(Raw_Donors!O315,"$",""),",","")),0)</f>
        <v>0</v>
      </c>
      <c r="Q315" s="10" t="n">
        <f aca="false">IFERROR(VALUE(SUBSTITUTE(SUBSTITUTE(Raw_Donors!P315,"$",""),",","")),0)</f>
        <v>0</v>
      </c>
      <c r="R315" s="10" t="n">
        <f aca="false">Raw_Donors!Q315</f>
        <v>0</v>
      </c>
      <c r="S315" s="9" t="str">
        <f aca="false">Raw_Donors!R315</f>
        <v>N</v>
      </c>
      <c r="T315" s="9" t="str">
        <f aca="false">IF(Raw_Donors!S315="","",Raw_Donors!S315)</f>
        <v/>
      </c>
      <c r="U315" s="9" t="str">
        <f aca="false">IF(AND((O315+P315)&gt;0,Q315=0),"Lapsed - Follow Up","")</f>
        <v/>
      </c>
      <c r="V315" s="9" t="n">
        <f aca="false">RANK(R315,$R$2:$R$759)+COUNTIF($R$2:R315,R315)-1</f>
        <v>639</v>
      </c>
      <c r="W315" s="9" t="str">
        <f aca="false">IF(U315="Lapsed - Follow Up",COUNTIF($U$2:U315,"Lapsed - Follow Up"),"")</f>
        <v/>
      </c>
    </row>
    <row r="316" customFormat="false" ht="15" hidden="false" customHeight="true" outlineLevel="0" collapsed="false">
      <c r="A316" s="9" t="str">
        <f aca="false">Raw_Donors!A316</f>
        <v>D1314</v>
      </c>
      <c r="B316" s="9" t="str">
        <f aca="false">IF(ISNUMBER(SEARCH("-DUP",A316)),"Duplicate ID","")</f>
        <v/>
      </c>
      <c r="C316" s="9" t="n">
        <f aca="false">Raw_Donors!B316</f>
        <v>16311</v>
      </c>
      <c r="D316" s="9" t="n">
        <f aca="false">Raw_Donors!C316</f>
        <v>37</v>
      </c>
      <c r="E316" s="9" t="str">
        <f aca="false">IFERROR(IF(Raw_Donors!D316="","Unknown",Raw_Donors!D316),"Unknown")</f>
        <v>Unknown</v>
      </c>
      <c r="F316" s="9" t="str">
        <f aca="false">IFERROR(IF(Raw_Donors!E316="","Unknown",Raw_Donors!E316),"Unknown")</f>
        <v>Female</v>
      </c>
      <c r="G316" s="9" t="str">
        <f aca="false">PROPER(TRIM(Raw_Donors!F316))</f>
        <v>Family Donor</v>
      </c>
      <c r="H316" s="9" t="str">
        <f aca="false">IFERROR(IF(Raw_Donors!G316="","N",Raw_Donors!G316),"N")</f>
        <v>N</v>
      </c>
      <c r="I316" s="9" t="str">
        <f aca="false">IF(Raw_Donors!H316="","Not Rated",Raw_Donors!H316)</f>
        <v>Not Rated</v>
      </c>
      <c r="J316" s="9" t="str">
        <f aca="false">IF(TRIM(Raw_Donors!I316)="","Unknown",TRIM(Raw_Donors!I316))</f>
        <v>HOME</v>
      </c>
      <c r="K316" s="9" t="str">
        <f aca="false">Raw_Donors!J316</f>
        <v>Y</v>
      </c>
      <c r="L316" s="9" t="n">
        <f aca="false">Raw_Donors!K316</f>
        <v>0</v>
      </c>
      <c r="M316" s="10" t="n">
        <f aca="false">IFERROR(VALUE(SUBSTITUTE(SUBSTITUTE(Raw_Donors!L316,"$",""),",","")),0)</f>
        <v>0</v>
      </c>
      <c r="N316" s="10" t="n">
        <f aca="false">IFERROR(VALUE(SUBSTITUTE(SUBSTITUTE(Raw_Donors!M316,"$",""),",","")),0)</f>
        <v>0</v>
      </c>
      <c r="O316" s="10" t="n">
        <f aca="false">IFERROR(VALUE(SUBSTITUTE(SUBSTITUTE(Raw_Donors!N316,"$",""),",","")),0)</f>
        <v>2500</v>
      </c>
      <c r="P316" s="10" t="n">
        <f aca="false">IFERROR(VALUE(SUBSTITUTE(SUBSTITUTE(Raw_Donors!O316,"$",""),",","")),0)</f>
        <v>1500</v>
      </c>
      <c r="Q316" s="10" t="n">
        <f aca="false">IFERROR(VALUE(SUBSTITUTE(SUBSTITUTE(Raw_Donors!P316,"$",""),",","")),0)</f>
        <v>0</v>
      </c>
      <c r="R316" s="10" t="n">
        <f aca="false">Raw_Donors!Q316</f>
        <v>4000</v>
      </c>
      <c r="S316" s="9" t="str">
        <f aca="false">Raw_Donors!R316</f>
        <v>Y</v>
      </c>
      <c r="T316" s="9" t="str">
        <f aca="false">IF(Raw_Donors!S316="","",Raw_Donors!S316)</f>
        <v>1980-05-10</v>
      </c>
      <c r="U316" s="9" t="str">
        <f aca="false">IF(AND((O316+P316)&gt;0,Q316=0),"Lapsed - Follow Up","")</f>
        <v>Lapsed - Follow Up</v>
      </c>
      <c r="V316" s="9" t="n">
        <f aca="false">RANK(R316,$R$2:$R$759)+COUNTIF($R$2:R316,R316)-1</f>
        <v>16</v>
      </c>
      <c r="W316" s="9" t="n">
        <f aca="false">IF(U316="Lapsed - Follow Up",COUNTIF($U$2:U316,"Lapsed - Follow Up"),"")</f>
        <v>49</v>
      </c>
    </row>
    <row r="317" customFormat="false" ht="15" hidden="false" customHeight="true" outlineLevel="0" collapsed="false">
      <c r="A317" s="9" t="str">
        <f aca="false">Raw_Donors!A317</f>
        <v>D1315</v>
      </c>
      <c r="B317" s="9" t="str">
        <f aca="false">IF(ISNUMBER(SEARCH("-DUP",A317)),"Duplicate ID","")</f>
        <v/>
      </c>
      <c r="C317" s="9" t="n">
        <f aca="false">Raw_Donors!B317</f>
        <v>21771</v>
      </c>
      <c r="D317" s="9" t="n">
        <f aca="false">Raw_Donors!C317</f>
        <v>0</v>
      </c>
      <c r="E317" s="9" t="str">
        <f aca="false">IFERROR(IF(Raw_Donors!D317="","Unknown",Raw_Donors!D317),"Unknown")</f>
        <v>Unknown</v>
      </c>
      <c r="F317" s="9" t="str">
        <f aca="false">IFERROR(IF(Raw_Donors!E317="","Unknown",Raw_Donors!E317),"Unknown")</f>
        <v>Female</v>
      </c>
      <c r="G317" s="9" t="str">
        <f aca="false">PROPER(TRIM(Raw_Donors!F317))</f>
        <v>Individual Donor</v>
      </c>
      <c r="H317" s="9" t="str">
        <f aca="false">IFERROR(IF(Raw_Donors!G317="","N",Raw_Donors!G317),"N")</f>
        <v>N</v>
      </c>
      <c r="I317" s="9" t="str">
        <f aca="false">IF(Raw_Donors!H317="","Not Rated",Raw_Donors!H317)</f>
        <v>Not Rated</v>
      </c>
      <c r="J317" s="9" t="str">
        <f aca="false">IF(TRIM(Raw_Donors!I317)="","Unknown",TRIM(Raw_Donors!I317))</f>
        <v>HOME</v>
      </c>
      <c r="K317" s="9" t="str">
        <f aca="false">Raw_Donors!J317</f>
        <v>N</v>
      </c>
      <c r="L317" s="9" t="n">
        <f aca="false">Raw_Donors!K317</f>
        <v>5</v>
      </c>
      <c r="M317" s="10" t="n">
        <f aca="false">IFERROR(VALUE(SUBSTITUTE(SUBSTITUTE(Raw_Donors!L317,"$",""),",","")),0)</f>
        <v>0</v>
      </c>
      <c r="N317" s="10" t="n">
        <f aca="false">IFERROR(VALUE(SUBSTITUTE(SUBSTITUTE(Raw_Donors!M317,"$",""),",","")),0)</f>
        <v>0</v>
      </c>
      <c r="O317" s="10" t="n">
        <f aca="false">IFERROR(VALUE(SUBSTITUTE(SUBSTITUTE(Raw_Donors!N317,"$",""),",","")),0)</f>
        <v>0</v>
      </c>
      <c r="P317" s="10" t="n">
        <f aca="false">IFERROR(VALUE(SUBSTITUTE(SUBSTITUTE(Raw_Donors!O317,"$",""),",","")),0)</f>
        <v>0</v>
      </c>
      <c r="Q317" s="10" t="n">
        <f aca="false">IFERROR(VALUE(SUBSTITUTE(SUBSTITUTE(Raw_Donors!P317,"$",""),",","")),0)</f>
        <v>0</v>
      </c>
      <c r="R317" s="10" t="n">
        <f aca="false">Raw_Donors!Q317</f>
        <v>185</v>
      </c>
      <c r="S317" s="9" t="str">
        <f aca="false">Raw_Donors!R317</f>
        <v>Y</v>
      </c>
      <c r="T317" s="9" t="str">
        <f aca="false">IF(Raw_Donors!S317="","",Raw_Donors!S317)</f>
        <v/>
      </c>
      <c r="U317" s="9" t="str">
        <f aca="false">IF(AND((O317+P317)&gt;0,Q317=0),"Lapsed - Follow Up","")</f>
        <v/>
      </c>
      <c r="V317" s="9" t="n">
        <f aca="false">RANK(R317,$R$2:$R$759)+COUNTIF($R$2:R317,R317)-1</f>
        <v>208</v>
      </c>
      <c r="W317" s="9" t="str">
        <f aca="false">IF(U317="Lapsed - Follow Up",COUNTIF($U$2:U317,"Lapsed - Follow Up"),"")</f>
        <v/>
      </c>
    </row>
    <row r="318" customFormat="false" ht="15" hidden="false" customHeight="true" outlineLevel="0" collapsed="false">
      <c r="A318" s="9" t="str">
        <f aca="false">Raw_Donors!A318</f>
        <v>D1316</v>
      </c>
      <c r="B318" s="9" t="str">
        <f aca="false">IF(ISNUMBER(SEARCH("-DUP",A318)),"Duplicate ID","")</f>
        <v/>
      </c>
      <c r="C318" s="9" t="n">
        <f aca="false">Raw_Donors!B318</f>
        <v>18015</v>
      </c>
      <c r="D318" s="9" t="n">
        <f aca="false">Raw_Donors!C318</f>
        <v>38</v>
      </c>
      <c r="E318" s="9" t="str">
        <f aca="false">IFERROR(IF(Raw_Donors!D318="","Unknown",Raw_Donors!D318),"Unknown")</f>
        <v>Unknown</v>
      </c>
      <c r="F318" s="9" t="str">
        <f aca="false">IFERROR(IF(Raw_Donors!E318="","Unknown",Raw_Donors!E318),"Unknown")</f>
        <v>Male</v>
      </c>
      <c r="G318" s="9" t="str">
        <f aca="false">PROPER(TRIM(Raw_Donors!F318))</f>
        <v>Community Partner</v>
      </c>
      <c r="H318" s="9" t="str">
        <f aca="false">IFERROR(IF(Raw_Donors!G318="","N",Raw_Donors!G318),"N")</f>
        <v>Y</v>
      </c>
      <c r="I318" s="9" t="str">
        <f aca="false">IF(Raw_Donors!H318="","Not Rated",Raw_Donors!H318)</f>
        <v>Not Rated</v>
      </c>
      <c r="J318" s="9" t="str">
        <f aca="false">IF(TRIM(Raw_Donors!I318)="","Unknown",TRIM(Raw_Donors!I318))</f>
        <v>HOME</v>
      </c>
      <c r="K318" s="9" t="str">
        <f aca="false">Raw_Donors!J318</f>
        <v>Y</v>
      </c>
      <c r="L318" s="9" t="n">
        <f aca="false">Raw_Donors!K318</f>
        <v>0</v>
      </c>
      <c r="M318" s="10" t="n">
        <f aca="false">IFERROR(VALUE(SUBSTITUTE(SUBSTITUTE(Raw_Donors!L318,"$",""),",","")),0)</f>
        <v>0</v>
      </c>
      <c r="N318" s="10" t="n">
        <f aca="false">IFERROR(VALUE(SUBSTITUTE(SUBSTITUTE(Raw_Donors!M318,"$",""),",","")),0)</f>
        <v>0</v>
      </c>
      <c r="O318" s="10" t="n">
        <f aca="false">IFERROR(VALUE(SUBSTITUTE(SUBSTITUTE(Raw_Donors!N318,"$",""),",","")),0)</f>
        <v>0</v>
      </c>
      <c r="P318" s="10" t="n">
        <f aca="false">IFERROR(VALUE(SUBSTITUTE(SUBSTITUTE(Raw_Donors!O318,"$",""),",","")),0)</f>
        <v>0</v>
      </c>
      <c r="Q318" s="10" t="n">
        <f aca="false">IFERROR(VALUE(SUBSTITUTE(SUBSTITUTE(Raw_Donors!P318,"$",""),",","")),0)</f>
        <v>0</v>
      </c>
      <c r="R318" s="10" t="n">
        <f aca="false">Raw_Donors!Q318</f>
        <v>100</v>
      </c>
      <c r="S318" s="9" t="str">
        <f aca="false">Raw_Donors!R318</f>
        <v>Y</v>
      </c>
      <c r="T318" s="9" t="str">
        <f aca="false">IF(Raw_Donors!S318="","",Raw_Donors!S318)</f>
        <v>1979-09-14</v>
      </c>
      <c r="U318" s="9" t="str">
        <f aca="false">IF(AND((O318+P318)&gt;0,Q318=0),"Lapsed - Follow Up","")</f>
        <v/>
      </c>
      <c r="V318" s="9" t="n">
        <f aca="false">RANK(R318,$R$2:$R$759)+COUNTIF($R$2:R318,R318)-1</f>
        <v>281</v>
      </c>
      <c r="W318" s="9" t="str">
        <f aca="false">IF(U318="Lapsed - Follow Up",COUNTIF($U$2:U318,"Lapsed - Follow Up"),"")</f>
        <v/>
      </c>
    </row>
    <row r="319" customFormat="false" ht="15" hidden="false" customHeight="true" outlineLevel="0" collapsed="false">
      <c r="A319" s="9" t="str">
        <f aca="false">Raw_Donors!A319</f>
        <v>D1317</v>
      </c>
      <c r="B319" s="9" t="str">
        <f aca="false">IF(ISNUMBER(SEARCH("-DUP",A319)),"Duplicate ID","")</f>
        <v/>
      </c>
      <c r="C319" s="9" t="n">
        <f aca="false">Raw_Donors!B319</f>
        <v>90265</v>
      </c>
      <c r="D319" s="9" t="n">
        <f aca="false">Raw_Donors!C319</f>
        <v>0</v>
      </c>
      <c r="E319" s="9" t="str">
        <f aca="false">IFERROR(IF(Raw_Donors!D319="","Unknown",Raw_Donors!D319),"Unknown")</f>
        <v>Married</v>
      </c>
      <c r="F319" s="9" t="str">
        <f aca="false">IFERROR(IF(Raw_Donors!E319="","Unknown",Raw_Donors!E319),"Unknown")</f>
        <v>Male</v>
      </c>
      <c r="G319" s="9" t="str">
        <f aca="false">PROPER(TRIM(Raw_Donors!F319))</f>
        <v>Family Donor</v>
      </c>
      <c r="H319" s="9" t="str">
        <f aca="false">IFERROR(IF(Raw_Donors!G319="","N",Raw_Donors!G319),"N")</f>
        <v>N</v>
      </c>
      <c r="I319" s="9" t="str">
        <f aca="false">IF(Raw_Donors!H319="","Not Rated",Raw_Donors!H319)</f>
        <v>Not Rated</v>
      </c>
      <c r="J319" s="9" t="str">
        <f aca="false">IF(TRIM(Raw_Donors!I319)="","Unknown",TRIM(Raw_Donors!I319))</f>
        <v>HOME</v>
      </c>
      <c r="K319" s="9" t="str">
        <f aca="false">Raw_Donors!J319</f>
        <v>N</v>
      </c>
      <c r="L319" s="9" t="n">
        <f aca="false">Raw_Donors!K319</f>
        <v>0</v>
      </c>
      <c r="M319" s="10" t="n">
        <f aca="false">IFERROR(VALUE(SUBSTITUTE(SUBSTITUTE(Raw_Donors!L319,"$",""),",","")),0)</f>
        <v>0</v>
      </c>
      <c r="N319" s="10" t="n">
        <f aca="false">IFERROR(VALUE(SUBSTITUTE(SUBSTITUTE(Raw_Donors!M319,"$",""),",","")),0)</f>
        <v>0</v>
      </c>
      <c r="O319" s="10" t="n">
        <f aca="false">IFERROR(VALUE(SUBSTITUTE(SUBSTITUTE(Raw_Donors!N319,"$",""),",","")),0)</f>
        <v>0</v>
      </c>
      <c r="P319" s="10" t="n">
        <f aca="false">IFERROR(VALUE(SUBSTITUTE(SUBSTITUTE(Raw_Donors!O319,"$",""),",","")),0)</f>
        <v>0</v>
      </c>
      <c r="Q319" s="10" t="n">
        <f aca="false">IFERROR(VALUE(SUBSTITUTE(SUBSTITUTE(Raw_Donors!P319,"$",""),",","")),0)</f>
        <v>0</v>
      </c>
      <c r="R319" s="10" t="n">
        <f aca="false">Raw_Donors!Q319</f>
        <v>2</v>
      </c>
      <c r="S319" s="9" t="str">
        <f aca="false">Raw_Donors!R319</f>
        <v>Y</v>
      </c>
      <c r="T319" s="9" t="str">
        <f aca="false">IF(Raw_Donors!S319="","",Raw_Donors!S319)</f>
        <v/>
      </c>
      <c r="U319" s="9" t="str">
        <f aca="false">IF(AND((O319+P319)&gt;0,Q319=0),"Lapsed - Follow Up","")</f>
        <v/>
      </c>
      <c r="V319" s="9" t="n">
        <f aca="false">RANK(R319,$R$2:$R$759)+COUNTIF($R$2:R319,R319)-1</f>
        <v>524</v>
      </c>
      <c r="W319" s="9" t="str">
        <f aca="false">IF(U319="Lapsed - Follow Up",COUNTIF($U$2:U319,"Lapsed - Follow Up"),"")</f>
        <v/>
      </c>
    </row>
    <row r="320" customFormat="false" ht="15" hidden="false" customHeight="true" outlineLevel="0" collapsed="false">
      <c r="A320" s="9" t="str">
        <f aca="false">Raw_Donors!A320</f>
        <v>D1318</v>
      </c>
      <c r="B320" s="9" t="str">
        <f aca="false">IF(ISNUMBER(SEARCH("-DUP",A320)),"Duplicate ID","")</f>
        <v/>
      </c>
      <c r="C320" s="9" t="n">
        <f aca="false">Raw_Donors!B320</f>
        <v>6144</v>
      </c>
      <c r="D320" s="9" t="n">
        <f aca="false">Raw_Donors!C320</f>
        <v>0</v>
      </c>
      <c r="E320" s="9" t="str">
        <f aca="false">IFERROR(IF(Raw_Donors!D320="","Unknown",Raw_Donors!D320),"Unknown")</f>
        <v>Unknown</v>
      </c>
      <c r="F320" s="9" t="str">
        <f aca="false">IFERROR(IF(Raw_Donors!E320="","Unknown",Raw_Donors!E320),"Unknown")</f>
        <v>Male</v>
      </c>
      <c r="G320" s="9" t="str">
        <f aca="false">PROPER(TRIM(Raw_Donors!F320))</f>
        <v>Individual Donor</v>
      </c>
      <c r="H320" s="9" t="str">
        <f aca="false">IFERROR(IF(Raw_Donors!G320="","N",Raw_Donors!G320),"N")</f>
        <v>N</v>
      </c>
      <c r="I320" s="9" t="str">
        <f aca="false">IF(Raw_Donors!H320="","Not Rated",Raw_Donors!H320)</f>
        <v>Not Rated</v>
      </c>
      <c r="J320" s="9" t="str">
        <f aca="false">IF(TRIM(Raw_Donors!I320)="","Unknown",TRIM(Raw_Donors!I320))</f>
        <v>HOME</v>
      </c>
      <c r="K320" s="9" t="str">
        <f aca="false">Raw_Donors!J320</f>
        <v>N</v>
      </c>
      <c r="L320" s="9" t="n">
        <f aca="false">Raw_Donors!K320</f>
        <v>1</v>
      </c>
      <c r="M320" s="10" t="n">
        <f aca="false">IFERROR(VALUE(SUBSTITUTE(SUBSTITUTE(Raw_Donors!L320,"$",""),",","")),0)</f>
        <v>0</v>
      </c>
      <c r="N320" s="10" t="n">
        <f aca="false">IFERROR(VALUE(SUBSTITUTE(SUBSTITUTE(Raw_Donors!M320,"$",""),",","")),0)</f>
        <v>0</v>
      </c>
      <c r="O320" s="10" t="n">
        <f aca="false">IFERROR(VALUE(SUBSTITUTE(SUBSTITUTE(Raw_Donors!N320,"$",""),",","")),0)</f>
        <v>0</v>
      </c>
      <c r="P320" s="10" t="n">
        <f aca="false">IFERROR(VALUE(SUBSTITUTE(SUBSTITUTE(Raw_Donors!O320,"$",""),",","")),0)</f>
        <v>0</v>
      </c>
      <c r="Q320" s="10" t="n">
        <f aca="false">IFERROR(VALUE(SUBSTITUTE(SUBSTITUTE(Raw_Donors!P320,"$",""),",","")),0)</f>
        <v>100</v>
      </c>
      <c r="R320" s="10" t="n">
        <f aca="false">Raw_Donors!Q320</f>
        <v>100</v>
      </c>
      <c r="S320" s="9" t="str">
        <f aca="false">Raw_Donors!R320</f>
        <v>Y</v>
      </c>
      <c r="T320" s="9" t="str">
        <f aca="false">IF(Raw_Donors!S320="","",Raw_Donors!S320)</f>
        <v/>
      </c>
      <c r="U320" s="9" t="str">
        <f aca="false">IF(AND((O320+P320)&gt;0,Q320=0),"Lapsed - Follow Up","")</f>
        <v/>
      </c>
      <c r="V320" s="9" t="n">
        <f aca="false">RANK(R320,$R$2:$R$759)+COUNTIF($R$2:R320,R320)-1</f>
        <v>282</v>
      </c>
      <c r="W320" s="9" t="str">
        <f aca="false">IF(U320="Lapsed - Follow Up",COUNTIF($U$2:U320,"Lapsed - Follow Up"),"")</f>
        <v/>
      </c>
    </row>
    <row r="321" customFormat="false" ht="15" hidden="false" customHeight="true" outlineLevel="0" collapsed="false">
      <c r="A321" s="9" t="str">
        <f aca="false">Raw_Donors!A321</f>
        <v>D1319</v>
      </c>
      <c r="B321" s="9" t="str">
        <f aca="false">IF(ISNUMBER(SEARCH("-DUP",A321)),"Duplicate ID","")</f>
        <v/>
      </c>
      <c r="C321" s="9" t="n">
        <f aca="false">Raw_Donors!B321</f>
        <v>14461</v>
      </c>
      <c r="D321" s="9" t="n">
        <f aca="false">Raw_Donors!C321</f>
        <v>0</v>
      </c>
      <c r="E321" s="9" t="str">
        <f aca="false">IFERROR(IF(Raw_Donors!D321="","Unknown",Raw_Donors!D321),"Unknown")</f>
        <v>Married</v>
      </c>
      <c r="F321" s="9" t="str">
        <f aca="false">IFERROR(IF(Raw_Donors!E321="","Unknown",Raw_Donors!E321),"Unknown")</f>
        <v>Female</v>
      </c>
      <c r="G321" s="9" t="str">
        <f aca="false">PROPER(TRIM(Raw_Donors!F321))</f>
        <v>Individual Donor</v>
      </c>
      <c r="H321" s="9" t="str">
        <f aca="false">IFERROR(IF(Raw_Donors!G321="","N",Raw_Donors!G321),"N")</f>
        <v>N</v>
      </c>
      <c r="I321" s="9" t="str">
        <f aca="false">IF(Raw_Donors!H321="","Not Rated",Raw_Donors!H321)</f>
        <v>Not Rated</v>
      </c>
      <c r="J321" s="9" t="str">
        <f aca="false">IF(TRIM(Raw_Donors!I321)="","Unknown",TRIM(Raw_Donors!I321))</f>
        <v>HOME</v>
      </c>
      <c r="K321" s="9" t="str">
        <f aca="false">Raw_Donors!J321</f>
        <v>Y</v>
      </c>
      <c r="L321" s="9" t="n">
        <f aca="false">Raw_Donors!K321</f>
        <v>0</v>
      </c>
      <c r="M321" s="10" t="n">
        <f aca="false">IFERROR(VALUE(SUBSTITUTE(SUBSTITUTE(Raw_Donors!L321,"$",""),",","")),0)</f>
        <v>0</v>
      </c>
      <c r="N321" s="10" t="n">
        <f aca="false">IFERROR(VALUE(SUBSTITUTE(SUBSTITUTE(Raw_Donors!M321,"$",""),",","")),0)</f>
        <v>0</v>
      </c>
      <c r="O321" s="10" t="n">
        <f aca="false">IFERROR(VALUE(SUBSTITUTE(SUBSTITUTE(Raw_Donors!N321,"$",""),",","")),0)</f>
        <v>0</v>
      </c>
      <c r="P321" s="10" t="n">
        <f aca="false">IFERROR(VALUE(SUBSTITUTE(SUBSTITUTE(Raw_Donors!O321,"$",""),",","")),0)</f>
        <v>0</v>
      </c>
      <c r="Q321" s="10" t="n">
        <f aca="false">IFERROR(VALUE(SUBSTITUTE(SUBSTITUTE(Raw_Donors!P321,"$",""),",","")),0)</f>
        <v>0</v>
      </c>
      <c r="R321" s="10" t="n">
        <f aca="false">Raw_Donors!Q321</f>
        <v>1240</v>
      </c>
      <c r="S321" s="9" t="str">
        <f aca="false">Raw_Donors!R321</f>
        <v>Y</v>
      </c>
      <c r="T321" s="9" t="str">
        <f aca="false">IF(Raw_Donors!S321="","",Raw_Donors!S321)</f>
        <v/>
      </c>
      <c r="U321" s="9" t="str">
        <f aca="false">IF(AND((O321+P321)&gt;0,Q321=0),"Lapsed - Follow Up","")</f>
        <v/>
      </c>
      <c r="V321" s="9" t="n">
        <f aca="false">RANK(R321,$R$2:$R$759)+COUNTIF($R$2:R321,R321)-1</f>
        <v>45</v>
      </c>
      <c r="W321" s="9" t="str">
        <f aca="false">IF(U321="Lapsed - Follow Up",COUNTIF($U$2:U321,"Lapsed - Follow Up"),"")</f>
        <v/>
      </c>
    </row>
    <row r="322" customFormat="false" ht="15" hidden="false" customHeight="true" outlineLevel="0" collapsed="false">
      <c r="A322" s="9" t="str">
        <f aca="false">Raw_Donors!A322</f>
        <v>D1320</v>
      </c>
      <c r="B322" s="9" t="str">
        <f aca="false">IF(ISNUMBER(SEARCH("-DUP",A322)),"Duplicate ID","")</f>
        <v/>
      </c>
      <c r="C322" s="9" t="n">
        <f aca="false">Raw_Donors!B322</f>
        <v>80044</v>
      </c>
      <c r="D322" s="9" t="n">
        <f aca="false">Raw_Donors!C322</f>
        <v>27</v>
      </c>
      <c r="E322" s="9" t="str">
        <f aca="false">IFERROR(IF(Raw_Donors!D322="","Unknown",Raw_Donors!D322),"Unknown")</f>
        <v>Unknown</v>
      </c>
      <c r="F322" s="9" t="str">
        <f aca="false">IFERROR(IF(Raw_Donors!E322="","Unknown",Raw_Donors!E322),"Unknown")</f>
        <v>Female</v>
      </c>
      <c r="G322" s="9" t="str">
        <f aca="false">PROPER(TRIM(Raw_Donors!F322))</f>
        <v>Individual Donor</v>
      </c>
      <c r="H322" s="9" t="str">
        <f aca="false">IFERROR(IF(Raw_Donors!G322="","N",Raw_Donors!G322),"N")</f>
        <v>N</v>
      </c>
      <c r="I322" s="9" t="str">
        <f aca="false">IF(Raw_Donors!H322="","Not Rated",Raw_Donors!H322)</f>
        <v>Not Rated</v>
      </c>
      <c r="J322" s="9" t="str">
        <f aca="false">IF(TRIM(Raw_Donors!I322)="","Unknown",TRIM(Raw_Donors!I322))</f>
        <v>HOME</v>
      </c>
      <c r="K322" s="9" t="str">
        <f aca="false">Raw_Donors!J322</f>
        <v>N</v>
      </c>
      <c r="L322" s="9" t="n">
        <f aca="false">Raw_Donors!K322</f>
        <v>0</v>
      </c>
      <c r="M322" s="10" t="n">
        <f aca="false">IFERROR(VALUE(SUBSTITUTE(SUBSTITUTE(Raw_Donors!L322,"$",""),",","")),0)</f>
        <v>0</v>
      </c>
      <c r="N322" s="10" t="n">
        <f aca="false">IFERROR(VALUE(SUBSTITUTE(SUBSTITUTE(Raw_Donors!M322,"$",""),",","")),0)</f>
        <v>0</v>
      </c>
      <c r="O322" s="10" t="n">
        <f aca="false">IFERROR(VALUE(SUBSTITUTE(SUBSTITUTE(Raw_Donors!N322,"$",""),",","")),0)</f>
        <v>0</v>
      </c>
      <c r="P322" s="10" t="n">
        <f aca="false">IFERROR(VALUE(SUBSTITUTE(SUBSTITUTE(Raw_Donors!O322,"$",""),",","")),0)</f>
        <v>0</v>
      </c>
      <c r="Q322" s="10" t="n">
        <f aca="false">IFERROR(VALUE(SUBSTITUTE(SUBSTITUTE(Raw_Donors!P322,"$",""),",","")),0)</f>
        <v>0</v>
      </c>
      <c r="R322" s="10" t="n">
        <f aca="false">Raw_Donors!Q322</f>
        <v>0</v>
      </c>
      <c r="S322" s="9" t="str">
        <f aca="false">Raw_Donors!R322</f>
        <v>N</v>
      </c>
      <c r="T322" s="9" t="str">
        <f aca="false">IF(Raw_Donors!S322="","",Raw_Donors!S322)</f>
        <v>1990-09-16</v>
      </c>
      <c r="U322" s="9" t="str">
        <f aca="false">IF(AND((O322+P322)&gt;0,Q322=0),"Lapsed - Follow Up","")</f>
        <v/>
      </c>
      <c r="V322" s="9" t="n">
        <f aca="false">RANK(R322,$R$2:$R$759)+COUNTIF($R$2:R322,R322)-1</f>
        <v>640</v>
      </c>
      <c r="W322" s="9" t="str">
        <f aca="false">IF(U322="Lapsed - Follow Up",COUNTIF($U$2:U322,"Lapsed - Follow Up"),"")</f>
        <v/>
      </c>
    </row>
    <row r="323" customFormat="false" ht="15" hidden="false" customHeight="true" outlineLevel="0" collapsed="false">
      <c r="A323" s="9" t="str">
        <f aca="false">Raw_Donors!A323</f>
        <v>D1321</v>
      </c>
      <c r="B323" s="9" t="str">
        <f aca="false">IF(ISNUMBER(SEARCH("-DUP",A323)),"Duplicate ID","")</f>
        <v/>
      </c>
      <c r="C323" s="9" t="n">
        <f aca="false">Raw_Donors!B323</f>
        <v>90265</v>
      </c>
      <c r="D323" s="9" t="n">
        <f aca="false">Raw_Donors!C323</f>
        <v>25</v>
      </c>
      <c r="E323" s="9" t="str">
        <f aca="false">IFERROR(IF(Raw_Donors!D323="","Unknown",Raw_Donors!D323),"Unknown")</f>
        <v>Unknown</v>
      </c>
      <c r="F323" s="9" t="str">
        <f aca="false">IFERROR(IF(Raw_Donors!E323="","Unknown",Raw_Donors!E323),"Unknown")</f>
        <v>Male</v>
      </c>
      <c r="G323" s="9" t="str">
        <f aca="false">PROPER(TRIM(Raw_Donors!F323))</f>
        <v>Individual Donor</v>
      </c>
      <c r="H323" s="9" t="str">
        <f aca="false">IFERROR(IF(Raw_Donors!G323="","N",Raw_Donors!G323),"N")</f>
        <v>N</v>
      </c>
      <c r="I323" s="9" t="str">
        <f aca="false">IF(Raw_Donors!H323="","Not Rated",Raw_Donors!H323)</f>
        <v>Not Rated</v>
      </c>
      <c r="J323" s="9" t="str">
        <f aca="false">IF(TRIM(Raw_Donors!I323)="","Unknown",TRIM(Raw_Donors!I323))</f>
        <v>HOME</v>
      </c>
      <c r="K323" s="9" t="str">
        <f aca="false">Raw_Donors!J323</f>
        <v>Y</v>
      </c>
      <c r="L323" s="9" t="n">
        <f aca="false">Raw_Donors!K323</f>
        <v>0</v>
      </c>
      <c r="M323" s="10" t="n">
        <f aca="false">IFERROR(VALUE(SUBSTITUTE(SUBSTITUTE(Raw_Donors!L323,"$",""),",","")),0)</f>
        <v>0</v>
      </c>
      <c r="N323" s="10" t="n">
        <f aca="false">IFERROR(VALUE(SUBSTITUTE(SUBSTITUTE(Raw_Donors!M323,"$",""),",","")),0)</f>
        <v>0</v>
      </c>
      <c r="O323" s="10" t="n">
        <f aca="false">IFERROR(VALUE(SUBSTITUTE(SUBSTITUTE(Raw_Donors!N323,"$",""),",","")),0)</f>
        <v>0</v>
      </c>
      <c r="P323" s="10" t="n">
        <f aca="false">IFERROR(VALUE(SUBSTITUTE(SUBSTITUTE(Raw_Donors!O323,"$",""),",","")),0)</f>
        <v>0</v>
      </c>
      <c r="Q323" s="10" t="n">
        <f aca="false">IFERROR(VALUE(SUBSTITUTE(SUBSTITUTE(Raw_Donors!P323,"$",""),",","")),0)</f>
        <v>0</v>
      </c>
      <c r="R323" s="10" t="n">
        <f aca="false">Raw_Donors!Q323</f>
        <v>355</v>
      </c>
      <c r="S323" s="9" t="str">
        <f aca="false">Raw_Donors!R323</f>
        <v>Y</v>
      </c>
      <c r="T323" s="9" t="str">
        <f aca="false">IF(Raw_Donors!S323="","",Raw_Donors!S323)</f>
        <v>1992-09-10</v>
      </c>
      <c r="U323" s="9" t="str">
        <f aca="false">IF(AND((O323+P323)&gt;0,Q323=0),"Lapsed - Follow Up","")</f>
        <v/>
      </c>
      <c r="V323" s="9" t="n">
        <f aca="false">RANK(R323,$R$2:$R$759)+COUNTIF($R$2:R323,R323)-1</f>
        <v>123</v>
      </c>
      <c r="W323" s="9" t="str">
        <f aca="false">IF(U323="Lapsed - Follow Up",COUNTIF($U$2:U323,"Lapsed - Follow Up"),"")</f>
        <v/>
      </c>
    </row>
    <row r="324" customFormat="false" ht="15" hidden="false" customHeight="true" outlineLevel="0" collapsed="false">
      <c r="A324" s="9" t="str">
        <f aca="false">Raw_Donors!A324</f>
        <v>D1322</v>
      </c>
      <c r="B324" s="9" t="str">
        <f aca="false">IF(ISNUMBER(SEARCH("-DUP",A324)),"Duplicate ID","")</f>
        <v/>
      </c>
      <c r="C324" s="9" t="n">
        <f aca="false">Raw_Donors!B324</f>
        <v>83810</v>
      </c>
      <c r="D324" s="9" t="n">
        <f aca="false">Raw_Donors!C324</f>
        <v>0</v>
      </c>
      <c r="E324" s="9" t="str">
        <f aca="false">IFERROR(IF(Raw_Donors!D324="","Unknown",Raw_Donors!D324),"Unknown")</f>
        <v>Unknown</v>
      </c>
      <c r="F324" s="9" t="str">
        <f aca="false">IFERROR(IF(Raw_Donors!E324="","Unknown",Raw_Donors!E324),"Unknown")</f>
        <v>Male</v>
      </c>
      <c r="G324" s="9" t="str">
        <f aca="false">PROPER(TRIM(Raw_Donors!F324))</f>
        <v>Community Partner</v>
      </c>
      <c r="H324" s="9" t="str">
        <f aca="false">IFERROR(IF(Raw_Donors!G324="","N",Raw_Donors!G324),"N")</f>
        <v>N</v>
      </c>
      <c r="I324" s="9" t="str">
        <f aca="false">IF(Raw_Donors!H324="","Not Rated",Raw_Donors!H324)</f>
        <v>Not Rated</v>
      </c>
      <c r="J324" s="9" t="str">
        <f aca="false">IF(TRIM(Raw_Donors!I324)="","Unknown",TRIM(Raw_Donors!I324))</f>
        <v>Unknown</v>
      </c>
      <c r="K324" s="9" t="str">
        <f aca="false">Raw_Donors!J324</f>
        <v>N</v>
      </c>
      <c r="L324" s="9" t="n">
        <f aca="false">Raw_Donors!K324</f>
        <v>0</v>
      </c>
      <c r="M324" s="10" t="n">
        <f aca="false">IFERROR(VALUE(SUBSTITUTE(SUBSTITUTE(Raw_Donors!L324,"$",""),",","")),0)</f>
        <v>0</v>
      </c>
      <c r="N324" s="10" t="n">
        <f aca="false">IFERROR(VALUE(SUBSTITUTE(SUBSTITUTE(Raw_Donors!M324,"$",""),",","")),0)</f>
        <v>0</v>
      </c>
      <c r="O324" s="10" t="n">
        <f aca="false">IFERROR(VALUE(SUBSTITUTE(SUBSTITUTE(Raw_Donors!N324,"$",""),",","")),0)</f>
        <v>0</v>
      </c>
      <c r="P324" s="10" t="n">
        <f aca="false">IFERROR(VALUE(SUBSTITUTE(SUBSTITUTE(Raw_Donors!O324,"$",""),",","")),0)</f>
        <v>0</v>
      </c>
      <c r="Q324" s="10" t="n">
        <f aca="false">IFERROR(VALUE(SUBSTITUTE(SUBSTITUTE(Raw_Donors!P324,"$",""),",","")),0)</f>
        <v>0</v>
      </c>
      <c r="R324" s="10" t="n">
        <f aca="false">Raw_Donors!Q324</f>
        <v>1</v>
      </c>
      <c r="S324" s="9" t="str">
        <f aca="false">Raw_Donors!R324</f>
        <v>Y</v>
      </c>
      <c r="T324" s="9" t="str">
        <f aca="false">IF(Raw_Donors!S324="","",Raw_Donors!S324)</f>
        <v/>
      </c>
      <c r="U324" s="9" t="str">
        <f aca="false">IF(AND((O324+P324)&gt;0,Q324=0),"Lapsed - Follow Up","")</f>
        <v/>
      </c>
      <c r="V324" s="9" t="n">
        <f aca="false">RANK(R324,$R$2:$R$759)+COUNTIF($R$2:R324,R324)-1</f>
        <v>537</v>
      </c>
      <c r="W324" s="9" t="str">
        <f aca="false">IF(U324="Lapsed - Follow Up",COUNTIF($U$2:U324,"Lapsed - Follow Up"),"")</f>
        <v/>
      </c>
    </row>
    <row r="325" customFormat="false" ht="15" hidden="false" customHeight="true" outlineLevel="0" collapsed="false">
      <c r="A325" s="9" t="str">
        <f aca="false">Raw_Donors!A325</f>
        <v>D1323</v>
      </c>
      <c r="B325" s="9" t="str">
        <f aca="false">IF(ISNUMBER(SEARCH("-DUP",A325)),"Duplicate ID","")</f>
        <v/>
      </c>
      <c r="C325" s="9" t="n">
        <f aca="false">Raw_Donors!B325</f>
        <v>52101</v>
      </c>
      <c r="D325" s="9" t="n">
        <f aca="false">Raw_Donors!C325</f>
        <v>0</v>
      </c>
      <c r="E325" s="9" t="str">
        <f aca="false">IFERROR(IF(Raw_Donors!D325="","Unknown",Raw_Donors!D325),"Unknown")</f>
        <v>Married</v>
      </c>
      <c r="F325" s="9" t="str">
        <f aca="false">IFERROR(IF(Raw_Donors!E325="","Unknown",Raw_Donors!E325),"Unknown")</f>
        <v>Male</v>
      </c>
      <c r="G325" s="9" t="str">
        <f aca="false">PROPER(TRIM(Raw_Donors!F325))</f>
        <v>Family Donor</v>
      </c>
      <c r="H325" s="9" t="str">
        <f aca="false">IFERROR(IF(Raw_Donors!G325="","N",Raw_Donors!G325),"N")</f>
        <v>N</v>
      </c>
      <c r="I325" s="9" t="str">
        <f aca="false">IF(Raw_Donors!H325="","Not Rated",Raw_Donors!H325)</f>
        <v>Not Rated</v>
      </c>
      <c r="J325" s="9" t="str">
        <f aca="false">IF(TRIM(Raw_Donors!I325)="","Unknown",TRIM(Raw_Donors!I325))</f>
        <v>HOME</v>
      </c>
      <c r="K325" s="9" t="str">
        <f aca="false">Raw_Donors!J325</f>
        <v>N</v>
      </c>
      <c r="L325" s="9" t="n">
        <f aca="false">Raw_Donors!K325</f>
        <v>0</v>
      </c>
      <c r="M325" s="10" t="n">
        <f aca="false">IFERROR(VALUE(SUBSTITUTE(SUBSTITUTE(Raw_Donors!L325,"$",""),",","")),0)</f>
        <v>0</v>
      </c>
      <c r="N325" s="10" t="n">
        <f aca="false">IFERROR(VALUE(SUBSTITUTE(SUBSTITUTE(Raw_Donors!M325,"$",""),",","")),0)</f>
        <v>0</v>
      </c>
      <c r="O325" s="10" t="n">
        <f aca="false">IFERROR(VALUE(SUBSTITUTE(SUBSTITUTE(Raw_Donors!N325,"$",""),",","")),0)</f>
        <v>0</v>
      </c>
      <c r="P325" s="10" t="n">
        <f aca="false">IFERROR(VALUE(SUBSTITUTE(SUBSTITUTE(Raw_Donors!O325,"$",""),",","")),0)</f>
        <v>0</v>
      </c>
      <c r="Q325" s="10" t="n">
        <f aca="false">IFERROR(VALUE(SUBSTITUTE(SUBSTITUTE(Raw_Donors!P325,"$",""),",","")),0)</f>
        <v>0</v>
      </c>
      <c r="R325" s="10" t="n">
        <f aca="false">Raw_Donors!Q325</f>
        <v>0</v>
      </c>
      <c r="S325" s="9" t="str">
        <f aca="false">Raw_Donors!R325</f>
        <v>N</v>
      </c>
      <c r="T325" s="9" t="str">
        <f aca="false">IF(Raw_Donors!S325="","",Raw_Donors!S325)</f>
        <v/>
      </c>
      <c r="U325" s="9" t="str">
        <f aca="false">IF(AND((O325+P325)&gt;0,Q325=0),"Lapsed - Follow Up","")</f>
        <v/>
      </c>
      <c r="V325" s="9" t="n">
        <f aca="false">RANK(R325,$R$2:$R$759)+COUNTIF($R$2:R325,R325)-1</f>
        <v>641</v>
      </c>
      <c r="W325" s="9" t="str">
        <f aca="false">IF(U325="Lapsed - Follow Up",COUNTIF($U$2:U325,"Lapsed - Follow Up"),"")</f>
        <v/>
      </c>
    </row>
    <row r="326" customFormat="false" ht="15" hidden="false" customHeight="true" outlineLevel="0" collapsed="false">
      <c r="A326" s="9" t="str">
        <f aca="false">Raw_Donors!A326</f>
        <v>D1324</v>
      </c>
      <c r="B326" s="9" t="str">
        <f aca="false">IF(ISNUMBER(SEARCH("-DUP",A326)),"Duplicate ID","")</f>
        <v/>
      </c>
      <c r="C326" s="9" t="n">
        <f aca="false">Raw_Donors!B326</f>
        <v>81647</v>
      </c>
      <c r="D326" s="9" t="n">
        <f aca="false">Raw_Donors!C326</f>
        <v>0</v>
      </c>
      <c r="E326" s="9" t="str">
        <f aca="false">IFERROR(IF(Raw_Donors!D326="","Unknown",Raw_Donors!D326),"Unknown")</f>
        <v>Single</v>
      </c>
      <c r="F326" s="9" t="str">
        <f aca="false">IFERROR(IF(Raw_Donors!E326="","Unknown",Raw_Donors!E326),"Unknown")</f>
        <v>Female</v>
      </c>
      <c r="G326" s="9" t="str">
        <f aca="false">PROPER(TRIM(Raw_Donors!F326))</f>
        <v>Individual Donor</v>
      </c>
      <c r="H326" s="9" t="str">
        <f aca="false">IFERROR(IF(Raw_Donors!G326="","N",Raw_Donors!G326),"N")</f>
        <v>N</v>
      </c>
      <c r="I326" s="9" t="str">
        <f aca="false">IF(Raw_Donors!H326="","Not Rated",Raw_Donors!H326)</f>
        <v>Not Rated</v>
      </c>
      <c r="J326" s="9" t="str">
        <f aca="false">IF(TRIM(Raw_Donors!I326)="","Unknown",TRIM(Raw_Donors!I326))</f>
        <v>HOME</v>
      </c>
      <c r="K326" s="9" t="str">
        <f aca="false">Raw_Donors!J326</f>
        <v>N</v>
      </c>
      <c r="L326" s="9" t="n">
        <f aca="false">Raw_Donors!K326</f>
        <v>0</v>
      </c>
      <c r="M326" s="10" t="n">
        <f aca="false">IFERROR(VALUE(SUBSTITUTE(SUBSTITUTE(Raw_Donors!L326,"$",""),",","")),0)</f>
        <v>0</v>
      </c>
      <c r="N326" s="10" t="n">
        <f aca="false">IFERROR(VALUE(SUBSTITUTE(SUBSTITUTE(Raw_Donors!M326,"$",""),",","")),0)</f>
        <v>0</v>
      </c>
      <c r="O326" s="10" t="n">
        <f aca="false">IFERROR(VALUE(SUBSTITUTE(SUBSTITUTE(Raw_Donors!N326,"$",""),",","")),0)</f>
        <v>0</v>
      </c>
      <c r="P326" s="10" t="n">
        <f aca="false">IFERROR(VALUE(SUBSTITUTE(SUBSTITUTE(Raw_Donors!O326,"$",""),",","")),0)</f>
        <v>0</v>
      </c>
      <c r="Q326" s="10" t="n">
        <f aca="false">IFERROR(VALUE(SUBSTITUTE(SUBSTITUTE(Raw_Donors!P326,"$",""),",","")),0)</f>
        <v>0</v>
      </c>
      <c r="R326" s="10" t="n">
        <f aca="false">Raw_Donors!Q326</f>
        <v>0</v>
      </c>
      <c r="S326" s="9" t="str">
        <f aca="false">Raw_Donors!R326</f>
        <v>N</v>
      </c>
      <c r="T326" s="9" t="str">
        <f aca="false">IF(Raw_Donors!S326="","",Raw_Donors!S326)</f>
        <v/>
      </c>
      <c r="U326" s="9" t="str">
        <f aca="false">IF(AND((O326+P326)&gt;0,Q326=0),"Lapsed - Follow Up","")</f>
        <v/>
      </c>
      <c r="V326" s="9" t="n">
        <f aca="false">RANK(R326,$R$2:$R$759)+COUNTIF($R$2:R326,R326)-1</f>
        <v>642</v>
      </c>
      <c r="W326" s="9" t="str">
        <f aca="false">IF(U326="Lapsed - Follow Up",COUNTIF($U$2:U326,"Lapsed - Follow Up"),"")</f>
        <v/>
      </c>
    </row>
    <row r="327" customFormat="false" ht="15" hidden="false" customHeight="true" outlineLevel="0" collapsed="false">
      <c r="A327" s="9" t="str">
        <f aca="false">Raw_Donors!A327</f>
        <v>D1325</v>
      </c>
      <c r="B327" s="9" t="str">
        <f aca="false">IF(ISNUMBER(SEARCH("-DUP",A327)),"Duplicate ID","")</f>
        <v/>
      </c>
      <c r="C327" s="9" t="n">
        <f aca="false">Raw_Donors!B327</f>
        <v>8212</v>
      </c>
      <c r="D327" s="9" t="n">
        <f aca="false">Raw_Donors!C327</f>
        <v>0</v>
      </c>
      <c r="E327" s="9" t="str">
        <f aca="false">IFERROR(IF(Raw_Donors!D327="","Unknown",Raw_Donors!D327),"Unknown")</f>
        <v>Unknown</v>
      </c>
      <c r="F327" s="9" t="str">
        <f aca="false">IFERROR(IF(Raw_Donors!E327="","Unknown",Raw_Donors!E327),"Unknown")</f>
        <v>Male</v>
      </c>
      <c r="G327" s="9" t="str">
        <f aca="false">PROPER(TRIM(Raw_Donors!F327))</f>
        <v>Individual Donor</v>
      </c>
      <c r="H327" s="9" t="str">
        <f aca="false">IFERROR(IF(Raw_Donors!G327="","N",Raw_Donors!G327),"N")</f>
        <v>N</v>
      </c>
      <c r="I327" s="9" t="str">
        <f aca="false">IF(Raw_Donors!H327="","Not Rated",Raw_Donors!H327)</f>
        <v>Not Rated</v>
      </c>
      <c r="J327" s="9" t="str">
        <f aca="false">IF(TRIM(Raw_Donors!I327)="","Unknown",TRIM(Raw_Donors!I327))</f>
        <v>HOME</v>
      </c>
      <c r="K327" s="9" t="str">
        <f aca="false">Raw_Donors!J327</f>
        <v>N</v>
      </c>
      <c r="L327" s="9" t="n">
        <f aca="false">Raw_Donors!K327</f>
        <v>1</v>
      </c>
      <c r="M327" s="10" t="n">
        <f aca="false">IFERROR(VALUE(SUBSTITUTE(SUBSTITUTE(Raw_Donors!L327,"$",""),",","")),0)</f>
        <v>0</v>
      </c>
      <c r="N327" s="10" t="n">
        <f aca="false">IFERROR(VALUE(SUBSTITUTE(SUBSTITUTE(Raw_Donors!M327,"$",""),",","")),0)</f>
        <v>0</v>
      </c>
      <c r="O327" s="10" t="n">
        <f aca="false">IFERROR(VALUE(SUBSTITUTE(SUBSTITUTE(Raw_Donors!N327,"$",""),",","")),0)</f>
        <v>0</v>
      </c>
      <c r="P327" s="10" t="n">
        <f aca="false">IFERROR(VALUE(SUBSTITUTE(SUBSTITUTE(Raw_Donors!O327,"$",""),",","")),0)</f>
        <v>0</v>
      </c>
      <c r="Q327" s="10" t="n">
        <f aca="false">IFERROR(VALUE(SUBSTITUTE(SUBSTITUTE(Raw_Donors!P327,"$",""),",","")),0)</f>
        <v>0</v>
      </c>
      <c r="R327" s="10" t="n">
        <f aca="false">Raw_Donors!Q327</f>
        <v>144</v>
      </c>
      <c r="S327" s="9" t="str">
        <f aca="false">Raw_Donors!R327</f>
        <v>Y</v>
      </c>
      <c r="T327" s="9" t="str">
        <f aca="false">IF(Raw_Donors!S327="","",Raw_Donors!S327)</f>
        <v/>
      </c>
      <c r="U327" s="9" t="str">
        <f aca="false">IF(AND((O327+P327)&gt;0,Q327=0),"Lapsed - Follow Up","")</f>
        <v/>
      </c>
      <c r="V327" s="9" t="n">
        <f aca="false">RANK(R327,$R$2:$R$759)+COUNTIF($R$2:R327,R327)-1</f>
        <v>237</v>
      </c>
      <c r="W327" s="9" t="str">
        <f aca="false">IF(U327="Lapsed - Follow Up",COUNTIF($U$2:U327,"Lapsed - Follow Up"),"")</f>
        <v/>
      </c>
    </row>
    <row r="328" customFormat="false" ht="15" hidden="false" customHeight="true" outlineLevel="0" collapsed="false">
      <c r="A328" s="9" t="str">
        <f aca="false">Raw_Donors!A328</f>
        <v>D1326</v>
      </c>
      <c r="B328" s="9" t="str">
        <f aca="false">IF(ISNUMBER(SEARCH("-DUP",A328)),"Duplicate ID","")</f>
        <v/>
      </c>
      <c r="C328" s="9" t="n">
        <f aca="false">Raw_Donors!B328</f>
        <v>41553</v>
      </c>
      <c r="D328" s="9" t="n">
        <f aca="false">Raw_Donors!C328</f>
        <v>24</v>
      </c>
      <c r="E328" s="9" t="str">
        <f aca="false">IFERROR(IF(Raw_Donors!D328="","Unknown",Raw_Donors!D328),"Unknown")</f>
        <v>Unknown</v>
      </c>
      <c r="F328" s="9" t="str">
        <f aca="false">IFERROR(IF(Raw_Donors!E328="","Unknown",Raw_Donors!E328),"Unknown")</f>
        <v>Male</v>
      </c>
      <c r="G328" s="9" t="str">
        <f aca="false">PROPER(TRIM(Raw_Donors!F328))</f>
        <v>Individual Donor</v>
      </c>
      <c r="H328" s="9" t="str">
        <f aca="false">IFERROR(IF(Raw_Donors!G328="","N",Raw_Donors!G328),"N")</f>
        <v>N</v>
      </c>
      <c r="I328" s="9" t="str">
        <f aca="false">IF(Raw_Donors!H328="","Not Rated",Raw_Donors!H328)</f>
        <v>Not Rated</v>
      </c>
      <c r="J328" s="9" t="str">
        <f aca="false">IF(TRIM(Raw_Donors!I328)="","Unknown",TRIM(Raw_Donors!I328))</f>
        <v>CAMP</v>
      </c>
      <c r="K328" s="9" t="str">
        <f aca="false">Raw_Donors!J328</f>
        <v>N</v>
      </c>
      <c r="L328" s="9" t="n">
        <f aca="false">Raw_Donors!K328</f>
        <v>0</v>
      </c>
      <c r="M328" s="10" t="n">
        <f aca="false">IFERROR(VALUE(SUBSTITUTE(SUBSTITUTE(Raw_Donors!L328,"$",""),",","")),0)</f>
        <v>0</v>
      </c>
      <c r="N328" s="10" t="n">
        <f aca="false">IFERROR(VALUE(SUBSTITUTE(SUBSTITUTE(Raw_Donors!M328,"$",""),",","")),0)</f>
        <v>0</v>
      </c>
      <c r="O328" s="10" t="n">
        <f aca="false">IFERROR(VALUE(SUBSTITUTE(SUBSTITUTE(Raw_Donors!N328,"$",""),",","")),0)</f>
        <v>0</v>
      </c>
      <c r="P328" s="10" t="n">
        <f aca="false">IFERROR(VALUE(SUBSTITUTE(SUBSTITUTE(Raw_Donors!O328,"$",""),",","")),0)</f>
        <v>0</v>
      </c>
      <c r="Q328" s="10" t="n">
        <f aca="false">IFERROR(VALUE(SUBSTITUTE(SUBSTITUTE(Raw_Donors!P328,"$",""),",","")),0)</f>
        <v>0</v>
      </c>
      <c r="R328" s="10" t="n">
        <f aca="false">Raw_Donors!Q328</f>
        <v>40</v>
      </c>
      <c r="S328" s="9" t="str">
        <f aca="false">Raw_Donors!R328</f>
        <v>Y</v>
      </c>
      <c r="T328" s="9" t="str">
        <f aca="false">IF(Raw_Donors!S328="","",Raw_Donors!S328)</f>
        <v>1993-05-26</v>
      </c>
      <c r="U328" s="9" t="str">
        <f aca="false">IF(AND((O328+P328)&gt;0,Q328=0),"Lapsed - Follow Up","")</f>
        <v/>
      </c>
      <c r="V328" s="9" t="n">
        <f aca="false">RANK(R328,$R$2:$R$759)+COUNTIF($R$2:R328,R328)-1</f>
        <v>397</v>
      </c>
      <c r="W328" s="9" t="str">
        <f aca="false">IF(U328="Lapsed - Follow Up",COUNTIF($U$2:U328,"Lapsed - Follow Up"),"")</f>
        <v/>
      </c>
    </row>
    <row r="329" customFormat="false" ht="15" hidden="false" customHeight="true" outlineLevel="0" collapsed="false">
      <c r="A329" s="9" t="str">
        <f aca="false">Raw_Donors!A329</f>
        <v>D1327</v>
      </c>
      <c r="B329" s="9" t="str">
        <f aca="false">IF(ISNUMBER(SEARCH("-DUP",A329)),"Duplicate ID","")</f>
        <v/>
      </c>
      <c r="C329" s="9" t="n">
        <f aca="false">Raw_Donors!B329</f>
        <v>61031</v>
      </c>
      <c r="D329" s="9" t="n">
        <f aca="false">Raw_Donors!C329</f>
        <v>29</v>
      </c>
      <c r="E329" s="9" t="str">
        <f aca="false">IFERROR(IF(Raw_Donors!D329="","Unknown",Raw_Donors!D329),"Unknown")</f>
        <v>Unknown</v>
      </c>
      <c r="F329" s="9" t="str">
        <f aca="false">IFERROR(IF(Raw_Donors!E329="","Unknown",Raw_Donors!E329),"Unknown")</f>
        <v>Male</v>
      </c>
      <c r="G329" s="9" t="str">
        <f aca="false">PROPER(TRIM(Raw_Donors!F329))</f>
        <v>Individual Donor</v>
      </c>
      <c r="H329" s="9" t="str">
        <f aca="false">IFERROR(IF(Raw_Donors!G329="","N",Raw_Donors!G329),"N")</f>
        <v>N</v>
      </c>
      <c r="I329" s="9" t="str">
        <f aca="false">IF(Raw_Donors!H329="","Not Rated",Raw_Donors!H329)</f>
        <v>Not Rated</v>
      </c>
      <c r="J329" s="9" t="str">
        <f aca="false">IF(TRIM(Raw_Donors!I329)="","Unknown",TRIM(Raw_Donors!I329))</f>
        <v>HOME</v>
      </c>
      <c r="K329" s="9" t="str">
        <f aca="false">Raw_Donors!J329</f>
        <v>N</v>
      </c>
      <c r="L329" s="9" t="n">
        <f aca="false">Raw_Donors!K329</f>
        <v>0</v>
      </c>
      <c r="M329" s="10" t="n">
        <f aca="false">IFERROR(VALUE(SUBSTITUTE(SUBSTITUTE(Raw_Donors!L329,"$",""),",","")),0)</f>
        <v>0</v>
      </c>
      <c r="N329" s="10" t="n">
        <f aca="false">IFERROR(VALUE(SUBSTITUTE(SUBSTITUTE(Raw_Donors!M329,"$",""),",","")),0)</f>
        <v>0</v>
      </c>
      <c r="O329" s="10" t="n">
        <f aca="false">IFERROR(VALUE(SUBSTITUTE(SUBSTITUTE(Raw_Donors!N329,"$",""),",","")),0)</f>
        <v>0</v>
      </c>
      <c r="P329" s="10" t="n">
        <f aca="false">IFERROR(VALUE(SUBSTITUTE(SUBSTITUTE(Raw_Donors!O329,"$",""),",","")),0)</f>
        <v>0</v>
      </c>
      <c r="Q329" s="10" t="n">
        <f aca="false">IFERROR(VALUE(SUBSTITUTE(SUBSTITUTE(Raw_Donors!P329,"$",""),",","")),0)</f>
        <v>0</v>
      </c>
      <c r="R329" s="10" t="n">
        <f aca="false">Raw_Donors!Q329</f>
        <v>50</v>
      </c>
      <c r="S329" s="9" t="str">
        <f aca="false">Raw_Donors!R329</f>
        <v>Y</v>
      </c>
      <c r="T329" s="9" t="str">
        <f aca="false">IF(Raw_Donors!S329="","",Raw_Donors!S329)</f>
        <v>1988-03-11</v>
      </c>
      <c r="U329" s="9" t="str">
        <f aca="false">IF(AND((O329+P329)&gt;0,Q329=0),"Lapsed - Follow Up","")</f>
        <v/>
      </c>
      <c r="V329" s="9" t="n">
        <f aca="false">RANK(R329,$R$2:$R$759)+COUNTIF($R$2:R329,R329)-1</f>
        <v>375</v>
      </c>
      <c r="W329" s="9" t="str">
        <f aca="false">IF(U329="Lapsed - Follow Up",COUNTIF($U$2:U329,"Lapsed - Follow Up"),"")</f>
        <v/>
      </c>
    </row>
    <row r="330" customFormat="false" ht="15" hidden="false" customHeight="true" outlineLevel="0" collapsed="false">
      <c r="A330" s="9" t="str">
        <f aca="false">Raw_Donors!A330</f>
        <v>D1328</v>
      </c>
      <c r="B330" s="9" t="str">
        <f aca="false">IF(ISNUMBER(SEARCH("-DUP",A330)),"Duplicate ID","")</f>
        <v/>
      </c>
      <c r="C330" s="9" t="n">
        <f aca="false">Raw_Donors!B330</f>
        <v>90265</v>
      </c>
      <c r="D330" s="9" t="n">
        <f aca="false">Raw_Donors!C330</f>
        <v>0</v>
      </c>
      <c r="E330" s="9" t="str">
        <f aca="false">IFERROR(IF(Raw_Donors!D330="","Unknown",Raw_Donors!D330),"Unknown")</f>
        <v>Married</v>
      </c>
      <c r="F330" s="9" t="str">
        <f aca="false">IFERROR(IF(Raw_Donors!E330="","Unknown",Raw_Donors!E330),"Unknown")</f>
        <v>Female</v>
      </c>
      <c r="G330" s="9" t="str">
        <f aca="false">PROPER(TRIM(Raw_Donors!F330))</f>
        <v>Individual Donor</v>
      </c>
      <c r="H330" s="9" t="str">
        <f aca="false">IFERROR(IF(Raw_Donors!G330="","N",Raw_Donors!G330),"N")</f>
        <v>N</v>
      </c>
      <c r="I330" s="9" t="str">
        <f aca="false">IF(Raw_Donors!H330="","Not Rated",Raw_Donors!H330)</f>
        <v>Not Rated</v>
      </c>
      <c r="J330" s="9" t="str">
        <f aca="false">IF(TRIM(Raw_Donors!I330)="","Unknown",TRIM(Raw_Donors!I330))</f>
        <v>HOME</v>
      </c>
      <c r="K330" s="9" t="str">
        <f aca="false">Raw_Donors!J330</f>
        <v>N</v>
      </c>
      <c r="L330" s="9" t="n">
        <f aca="false">Raw_Donors!K330</f>
        <v>0</v>
      </c>
      <c r="M330" s="10" t="n">
        <f aca="false">IFERROR(VALUE(SUBSTITUTE(SUBSTITUTE(Raw_Donors!L330,"$",""),",","")),0)</f>
        <v>0</v>
      </c>
      <c r="N330" s="10" t="n">
        <f aca="false">IFERROR(VALUE(SUBSTITUTE(SUBSTITUTE(Raw_Donors!M330,"$",""),",","")),0)</f>
        <v>0</v>
      </c>
      <c r="O330" s="10" t="n">
        <f aca="false">IFERROR(VALUE(SUBSTITUTE(SUBSTITUTE(Raw_Donors!N330,"$",""),",","")),0)</f>
        <v>0</v>
      </c>
      <c r="P330" s="10" t="n">
        <f aca="false">IFERROR(VALUE(SUBSTITUTE(SUBSTITUTE(Raw_Donors!O330,"$",""),",","")),0)</f>
        <v>0</v>
      </c>
      <c r="Q330" s="10" t="n">
        <f aca="false">IFERROR(VALUE(SUBSTITUTE(SUBSTITUTE(Raw_Donors!P330,"$",""),",","")),0)</f>
        <v>0</v>
      </c>
      <c r="R330" s="10" t="n">
        <f aca="false">Raw_Donors!Q330</f>
        <v>0</v>
      </c>
      <c r="S330" s="9" t="str">
        <f aca="false">Raw_Donors!R330</f>
        <v>N</v>
      </c>
      <c r="T330" s="9" t="str">
        <f aca="false">IF(Raw_Donors!S330="","",Raw_Donors!S330)</f>
        <v/>
      </c>
      <c r="U330" s="9" t="str">
        <f aca="false">IF(AND((O330+P330)&gt;0,Q330=0),"Lapsed - Follow Up","")</f>
        <v/>
      </c>
      <c r="V330" s="9" t="n">
        <f aca="false">RANK(R330,$R$2:$R$759)+COUNTIF($R$2:R330,R330)-1</f>
        <v>643</v>
      </c>
      <c r="W330" s="9" t="str">
        <f aca="false">IF(U330="Lapsed - Follow Up",COUNTIF($U$2:U330,"Lapsed - Follow Up"),"")</f>
        <v/>
      </c>
    </row>
    <row r="331" customFormat="false" ht="15" hidden="false" customHeight="true" outlineLevel="0" collapsed="false">
      <c r="A331" s="9" t="str">
        <f aca="false">Raw_Donors!A331</f>
        <v>D1329</v>
      </c>
      <c r="B331" s="9" t="str">
        <f aca="false">IF(ISNUMBER(SEARCH("-DUP",A331)),"Duplicate ID","")</f>
        <v/>
      </c>
      <c r="C331" s="9" t="n">
        <f aca="false">Raw_Donors!B331</f>
        <v>53779</v>
      </c>
      <c r="D331" s="9" t="n">
        <f aca="false">Raw_Donors!C331</f>
        <v>40</v>
      </c>
      <c r="E331" s="9" t="str">
        <f aca="false">IFERROR(IF(Raw_Donors!D331="","Unknown",Raw_Donors!D331),"Unknown")</f>
        <v>Unknown</v>
      </c>
      <c r="F331" s="9" t="str">
        <f aca="false">IFERROR(IF(Raw_Donors!E331="","Unknown",Raw_Donors!E331),"Unknown")</f>
        <v>Male</v>
      </c>
      <c r="G331" s="9" t="str">
        <f aca="false">PROPER(TRIM(Raw_Donors!F331))</f>
        <v>Community Partner</v>
      </c>
      <c r="H331" s="9" t="str">
        <f aca="false">IFERROR(IF(Raw_Donors!G331="","N",Raw_Donors!G331),"N")</f>
        <v>Y</v>
      </c>
      <c r="I331" s="9" t="str">
        <f aca="false">IF(Raw_Donors!H331="","Not Rated",Raw_Donors!H331)</f>
        <v>Not Rated</v>
      </c>
      <c r="J331" s="9" t="str">
        <f aca="false">IF(TRIM(Raw_Donors!I331)="","Unknown",TRIM(Raw_Donors!I331))</f>
        <v>HOME</v>
      </c>
      <c r="K331" s="9" t="str">
        <f aca="false">Raw_Donors!J331</f>
        <v>Y</v>
      </c>
      <c r="L331" s="9" t="n">
        <f aca="false">Raw_Donors!K331</f>
        <v>0</v>
      </c>
      <c r="M331" s="10" t="n">
        <f aca="false">IFERROR(VALUE(SUBSTITUTE(SUBSTITUTE(Raw_Donors!L331,"$",""),",","")),0)</f>
        <v>0</v>
      </c>
      <c r="N331" s="10" t="n">
        <f aca="false">IFERROR(VALUE(SUBSTITUTE(SUBSTITUTE(Raw_Donors!M331,"$",""),",","")),0)</f>
        <v>0</v>
      </c>
      <c r="O331" s="10" t="n">
        <f aca="false">IFERROR(VALUE(SUBSTITUTE(SUBSTITUTE(Raw_Donors!N331,"$",""),",","")),0)</f>
        <v>0</v>
      </c>
      <c r="P331" s="10" t="n">
        <f aca="false">IFERROR(VALUE(SUBSTITUTE(SUBSTITUTE(Raw_Donors!O331,"$",""),",","")),0)</f>
        <v>0</v>
      </c>
      <c r="Q331" s="10" t="n">
        <f aca="false">IFERROR(VALUE(SUBSTITUTE(SUBSTITUTE(Raw_Donors!P331,"$",""),",","")),0)</f>
        <v>0</v>
      </c>
      <c r="R331" s="10" t="n">
        <f aca="false">Raw_Donors!Q331</f>
        <v>190</v>
      </c>
      <c r="S331" s="9" t="str">
        <f aca="false">Raw_Donors!R331</f>
        <v>Y</v>
      </c>
      <c r="T331" s="9" t="str">
        <f aca="false">IF(Raw_Donors!S331="","",Raw_Donors!S331)</f>
        <v>1977-01-11</v>
      </c>
      <c r="U331" s="9" t="str">
        <f aca="false">IF(AND((O331+P331)&gt;0,Q331=0),"Lapsed - Follow Up","")</f>
        <v/>
      </c>
      <c r="V331" s="9" t="n">
        <f aca="false">RANK(R331,$R$2:$R$759)+COUNTIF($R$2:R331,R331)-1</f>
        <v>206</v>
      </c>
      <c r="W331" s="9" t="str">
        <f aca="false">IF(U331="Lapsed - Follow Up",COUNTIF($U$2:U331,"Lapsed - Follow Up"),"")</f>
        <v/>
      </c>
    </row>
    <row r="332" customFormat="false" ht="15" hidden="false" customHeight="true" outlineLevel="0" collapsed="false">
      <c r="A332" s="9" t="str">
        <f aca="false">Raw_Donors!A332</f>
        <v>D1330</v>
      </c>
      <c r="B332" s="9" t="str">
        <f aca="false">IF(ISNUMBER(SEARCH("-DUP",A332)),"Duplicate ID","")</f>
        <v/>
      </c>
      <c r="C332" s="9" t="n">
        <f aca="false">Raw_Donors!B332</f>
        <v>10912</v>
      </c>
      <c r="D332" s="9" t="n">
        <f aca="false">Raw_Donors!C332</f>
        <v>0</v>
      </c>
      <c r="E332" s="9" t="str">
        <f aca="false">IFERROR(IF(Raw_Donors!D332="","Unknown",Raw_Donors!D332),"Unknown")</f>
        <v>Married</v>
      </c>
      <c r="F332" s="9" t="str">
        <f aca="false">IFERROR(IF(Raw_Donors!E332="","Unknown",Raw_Donors!E332),"Unknown")</f>
        <v>Female</v>
      </c>
      <c r="G332" s="9" t="str">
        <f aca="false">PROPER(TRIM(Raw_Donors!F332))</f>
        <v>Individual Donor</v>
      </c>
      <c r="H332" s="9" t="str">
        <f aca="false">IFERROR(IF(Raw_Donors!G332="","N",Raw_Donors!G332),"N")</f>
        <v>N</v>
      </c>
      <c r="I332" s="9" t="str">
        <f aca="false">IF(Raw_Donors!H332="","Not Rated",Raw_Donors!H332)</f>
        <v>Not Rated</v>
      </c>
      <c r="J332" s="9" t="str">
        <f aca="false">IF(TRIM(Raw_Donors!I332)="","Unknown",TRIM(Raw_Donors!I332))</f>
        <v>HOME</v>
      </c>
      <c r="K332" s="9" t="str">
        <f aca="false">Raw_Donors!J332</f>
        <v>N</v>
      </c>
      <c r="L332" s="9" t="n">
        <f aca="false">Raw_Donors!K332</f>
        <v>0</v>
      </c>
      <c r="M332" s="10" t="n">
        <f aca="false">IFERROR(VALUE(SUBSTITUTE(SUBSTITUTE(Raw_Donors!L332,"$",""),",","")),0)</f>
        <v>0</v>
      </c>
      <c r="N332" s="10" t="n">
        <f aca="false">IFERROR(VALUE(SUBSTITUTE(SUBSTITUTE(Raw_Donors!M332,"$",""),",","")),0)</f>
        <v>0</v>
      </c>
      <c r="O332" s="10" t="n">
        <f aca="false">IFERROR(VALUE(SUBSTITUTE(SUBSTITUTE(Raw_Donors!N332,"$",""),",","")),0)</f>
        <v>0</v>
      </c>
      <c r="P332" s="10" t="n">
        <f aca="false">IFERROR(VALUE(SUBSTITUTE(SUBSTITUTE(Raw_Donors!O332,"$",""),",","")),0)</f>
        <v>0</v>
      </c>
      <c r="Q332" s="10" t="n">
        <f aca="false">IFERROR(VALUE(SUBSTITUTE(SUBSTITUTE(Raw_Donors!P332,"$",""),",","")),0)</f>
        <v>0</v>
      </c>
      <c r="R332" s="10" t="n">
        <f aca="false">Raw_Donors!Q332</f>
        <v>25</v>
      </c>
      <c r="S332" s="9" t="str">
        <f aca="false">Raw_Donors!R332</f>
        <v>Y</v>
      </c>
      <c r="T332" s="9" t="str">
        <f aca="false">IF(Raw_Donors!S332="","",Raw_Donors!S332)</f>
        <v/>
      </c>
      <c r="U332" s="9" t="str">
        <f aca="false">IF(AND((O332+P332)&gt;0,Q332=0),"Lapsed - Follow Up","")</f>
        <v/>
      </c>
      <c r="V332" s="9" t="n">
        <f aca="false">RANK(R332,$R$2:$R$759)+COUNTIF($R$2:R332,R332)-1</f>
        <v>442</v>
      </c>
      <c r="W332" s="9" t="str">
        <f aca="false">IF(U332="Lapsed - Follow Up",COUNTIF($U$2:U332,"Lapsed - Follow Up"),"")</f>
        <v/>
      </c>
    </row>
    <row r="333" customFormat="false" ht="15" hidden="false" customHeight="true" outlineLevel="0" collapsed="false">
      <c r="A333" s="9" t="str">
        <f aca="false">Raw_Donors!A333</f>
        <v>D1331</v>
      </c>
      <c r="B333" s="9" t="str">
        <f aca="false">IF(ISNUMBER(SEARCH("-DUP",A333)),"Duplicate ID","")</f>
        <v/>
      </c>
      <c r="C333" s="9" t="n">
        <f aca="false">Raw_Donors!B333</f>
        <v>9094</v>
      </c>
      <c r="D333" s="9" t="n">
        <f aca="false">Raw_Donors!C333</f>
        <v>0</v>
      </c>
      <c r="E333" s="9" t="str">
        <f aca="false">IFERROR(IF(Raw_Donors!D333="","Unknown",Raw_Donors!D333),"Unknown")</f>
        <v>Married</v>
      </c>
      <c r="F333" s="9" t="str">
        <f aca="false">IFERROR(IF(Raw_Donors!E333="","Unknown",Raw_Donors!E333),"Unknown")</f>
        <v>Male</v>
      </c>
      <c r="G333" s="9" t="str">
        <f aca="false">PROPER(TRIM(Raw_Donors!F333))</f>
        <v>Individual Donor</v>
      </c>
      <c r="H333" s="9" t="str">
        <f aca="false">IFERROR(IF(Raw_Donors!G333="","N",Raw_Donors!G333),"N")</f>
        <v>Y</v>
      </c>
      <c r="I333" s="9" t="str">
        <f aca="false">IF(Raw_Donors!H333="","Not Rated",Raw_Donors!H333)</f>
        <v>Not Rated</v>
      </c>
      <c r="J333" s="9" t="str">
        <f aca="false">IF(TRIM(Raw_Donors!I333)="","Unknown",TRIM(Raw_Donors!I333))</f>
        <v>HOME</v>
      </c>
      <c r="K333" s="9" t="str">
        <f aca="false">Raw_Donors!J333</f>
        <v>N</v>
      </c>
      <c r="L333" s="9" t="n">
        <f aca="false">Raw_Donors!K333</f>
        <v>2</v>
      </c>
      <c r="M333" s="10" t="n">
        <f aca="false">IFERROR(VALUE(SUBSTITUTE(SUBSTITUTE(Raw_Donors!L333,"$",""),",","")),0)</f>
        <v>0</v>
      </c>
      <c r="N333" s="10" t="n">
        <f aca="false">IFERROR(VALUE(SUBSTITUTE(SUBSTITUTE(Raw_Donors!M333,"$",""),",","")),0)</f>
        <v>0</v>
      </c>
      <c r="O333" s="10" t="n">
        <f aca="false">IFERROR(VALUE(SUBSTITUTE(SUBSTITUTE(Raw_Donors!N333,"$",""),",","")),0)</f>
        <v>0</v>
      </c>
      <c r="P333" s="10" t="n">
        <f aca="false">IFERROR(VALUE(SUBSTITUTE(SUBSTITUTE(Raw_Donors!O333,"$",""),",","")),0)</f>
        <v>0</v>
      </c>
      <c r="Q333" s="10" t="n">
        <f aca="false">IFERROR(VALUE(SUBSTITUTE(SUBSTITUTE(Raw_Donors!P333,"$",""),",","")),0)</f>
        <v>0</v>
      </c>
      <c r="R333" s="10" t="n">
        <f aca="false">Raw_Donors!Q333</f>
        <v>1</v>
      </c>
      <c r="S333" s="9" t="str">
        <f aca="false">Raw_Donors!R333</f>
        <v>Y</v>
      </c>
      <c r="T333" s="9" t="str">
        <f aca="false">IF(Raw_Donors!S333="","",Raw_Donors!S333)</f>
        <v/>
      </c>
      <c r="U333" s="9" t="str">
        <f aca="false">IF(AND((O333+P333)&gt;0,Q333=0),"Lapsed - Follow Up","")</f>
        <v/>
      </c>
      <c r="V333" s="9" t="n">
        <f aca="false">RANK(R333,$R$2:$R$759)+COUNTIF($R$2:R333,R333)-1</f>
        <v>538</v>
      </c>
      <c r="W333" s="9" t="str">
        <f aca="false">IF(U333="Lapsed - Follow Up",COUNTIF($U$2:U333,"Lapsed - Follow Up"),"")</f>
        <v/>
      </c>
    </row>
    <row r="334" customFormat="false" ht="15" hidden="false" customHeight="true" outlineLevel="0" collapsed="false">
      <c r="A334" s="9" t="str">
        <f aca="false">Raw_Donors!A334</f>
        <v>D1332</v>
      </c>
      <c r="B334" s="9" t="str">
        <f aca="false">IF(ISNUMBER(SEARCH("-DUP",A334)),"Duplicate ID","")</f>
        <v/>
      </c>
      <c r="C334" s="9" t="n">
        <f aca="false">Raw_Donors!B334</f>
        <v>4289</v>
      </c>
      <c r="D334" s="9" t="n">
        <f aca="false">Raw_Donors!C334</f>
        <v>0</v>
      </c>
      <c r="E334" s="9" t="str">
        <f aca="false">IFERROR(IF(Raw_Donors!D334="","Unknown",Raw_Donors!D334),"Unknown")</f>
        <v>Married</v>
      </c>
      <c r="F334" s="9" t="str">
        <f aca="false">IFERROR(IF(Raw_Donors!E334="","Unknown",Raw_Donors!E334),"Unknown")</f>
        <v>Female</v>
      </c>
      <c r="G334" s="9" t="str">
        <f aca="false">PROPER(TRIM(Raw_Donors!F334))</f>
        <v>Individual Donor</v>
      </c>
      <c r="H334" s="9" t="str">
        <f aca="false">IFERROR(IF(Raw_Donors!G334="","N",Raw_Donors!G334),"N")</f>
        <v>N</v>
      </c>
      <c r="I334" s="9" t="str">
        <f aca="false">IF(Raw_Donors!H334="","Not Rated",Raw_Donors!H334)</f>
        <v>Not Rated</v>
      </c>
      <c r="J334" s="9" t="str">
        <f aca="false">IF(TRIM(Raw_Donors!I334)="","Unknown",TRIM(Raw_Donors!I334))</f>
        <v>HOME</v>
      </c>
      <c r="K334" s="9" t="str">
        <f aca="false">Raw_Donors!J334</f>
        <v>N</v>
      </c>
      <c r="L334" s="9" t="n">
        <f aca="false">Raw_Donors!K334</f>
        <v>5</v>
      </c>
      <c r="M334" s="10" t="n">
        <f aca="false">IFERROR(VALUE(SUBSTITUTE(SUBSTITUTE(Raw_Donors!L334,"$",""),",","")),0)</f>
        <v>100</v>
      </c>
      <c r="N334" s="10" t="n">
        <f aca="false">IFERROR(VALUE(SUBSTITUTE(SUBSTITUTE(Raw_Donors!M334,"$",""),",","")),0)</f>
        <v>0</v>
      </c>
      <c r="O334" s="10" t="n">
        <f aca="false">IFERROR(VALUE(SUBSTITUTE(SUBSTITUTE(Raw_Donors!N334,"$",""),",","")),0)</f>
        <v>0</v>
      </c>
      <c r="P334" s="10" t="n">
        <f aca="false">IFERROR(VALUE(SUBSTITUTE(SUBSTITUTE(Raw_Donors!O334,"$",""),",","")),0)</f>
        <v>0</v>
      </c>
      <c r="Q334" s="10" t="n">
        <f aca="false">IFERROR(VALUE(SUBSTITUTE(SUBSTITUTE(Raw_Donors!P334,"$",""),",","")),0)</f>
        <v>0</v>
      </c>
      <c r="R334" s="10" t="n">
        <f aca="false">Raw_Donors!Q334</f>
        <v>300</v>
      </c>
      <c r="S334" s="9" t="str">
        <f aca="false">Raw_Donors!R334</f>
        <v>Y</v>
      </c>
      <c r="T334" s="9" t="str">
        <f aca="false">IF(Raw_Donors!S334="","",Raw_Donors!S334)</f>
        <v/>
      </c>
      <c r="U334" s="9" t="str">
        <f aca="false">IF(AND((O334+P334)&gt;0,Q334=0),"Lapsed - Follow Up","")</f>
        <v/>
      </c>
      <c r="V334" s="9" t="n">
        <f aca="false">RANK(R334,$R$2:$R$759)+COUNTIF($R$2:R334,R334)-1</f>
        <v>145</v>
      </c>
      <c r="W334" s="9" t="str">
        <f aca="false">IF(U334="Lapsed - Follow Up",COUNTIF($U$2:U334,"Lapsed - Follow Up"),"")</f>
        <v/>
      </c>
    </row>
    <row r="335" customFormat="false" ht="15" hidden="false" customHeight="true" outlineLevel="0" collapsed="false">
      <c r="A335" s="9" t="str">
        <f aca="false">Raw_Donors!A335</f>
        <v>D1333</v>
      </c>
      <c r="B335" s="9" t="str">
        <f aca="false">IF(ISNUMBER(SEARCH("-DUP",A335)),"Duplicate ID","")</f>
        <v/>
      </c>
      <c r="C335" s="9" t="n">
        <f aca="false">Raw_Donors!B335</f>
        <v>90265</v>
      </c>
      <c r="D335" s="9" t="n">
        <f aca="false">Raw_Donors!C335</f>
        <v>52</v>
      </c>
      <c r="E335" s="9" t="str">
        <f aca="false">IFERROR(IF(Raw_Donors!D335="","Unknown",Raw_Donors!D335),"Unknown")</f>
        <v>Unknown</v>
      </c>
      <c r="F335" s="9" t="str">
        <f aca="false">IFERROR(IF(Raw_Donors!E335="","Unknown",Raw_Donors!E335),"Unknown")</f>
        <v>Male</v>
      </c>
      <c r="G335" s="9" t="str">
        <f aca="false">PROPER(TRIM(Raw_Donors!F335))</f>
        <v>Individual Donor</v>
      </c>
      <c r="H335" s="9" t="str">
        <f aca="false">IFERROR(IF(Raw_Donors!G335="","N",Raw_Donors!G335),"N")</f>
        <v>N</v>
      </c>
      <c r="I335" s="9" t="str">
        <f aca="false">IF(Raw_Donors!H335="","Not Rated",Raw_Donors!H335)</f>
        <v>Not Rated</v>
      </c>
      <c r="J335" s="9" t="str">
        <f aca="false">IF(TRIM(Raw_Donors!I335)="","Unknown",TRIM(Raw_Donors!I335))</f>
        <v>HOME</v>
      </c>
      <c r="K335" s="9" t="str">
        <f aca="false">Raw_Donors!J335</f>
        <v>N</v>
      </c>
      <c r="L335" s="9" t="n">
        <f aca="false">Raw_Donors!K335</f>
        <v>0</v>
      </c>
      <c r="M335" s="10" t="n">
        <f aca="false">IFERROR(VALUE(SUBSTITUTE(SUBSTITUTE(Raw_Donors!L335,"$",""),",","")),0)</f>
        <v>0</v>
      </c>
      <c r="N335" s="10" t="n">
        <f aca="false">IFERROR(VALUE(SUBSTITUTE(SUBSTITUTE(Raw_Donors!M335,"$",""),",","")),0)</f>
        <v>0</v>
      </c>
      <c r="O335" s="10" t="n">
        <f aca="false">IFERROR(VALUE(SUBSTITUTE(SUBSTITUTE(Raw_Donors!N335,"$",""),",","")),0)</f>
        <v>0</v>
      </c>
      <c r="P335" s="10" t="n">
        <f aca="false">IFERROR(VALUE(SUBSTITUTE(SUBSTITUTE(Raw_Donors!O335,"$",""),",","")),0)</f>
        <v>0</v>
      </c>
      <c r="Q335" s="10" t="n">
        <f aca="false">IFERROR(VALUE(SUBSTITUTE(SUBSTITUTE(Raw_Donors!P335,"$",""),",","")),0)</f>
        <v>0</v>
      </c>
      <c r="R335" s="10" t="n">
        <f aca="false">Raw_Donors!Q335</f>
        <v>55</v>
      </c>
      <c r="S335" s="9" t="str">
        <f aca="false">Raw_Donors!R335</f>
        <v>Y</v>
      </c>
      <c r="T335" s="9" t="str">
        <f aca="false">IF(Raw_Donors!S335="","",Raw_Donors!S335)</f>
        <v>1965-09-10</v>
      </c>
      <c r="U335" s="9" t="str">
        <f aca="false">IF(AND((O335+P335)&gt;0,Q335=0),"Lapsed - Follow Up","")</f>
        <v/>
      </c>
      <c r="V335" s="9" t="n">
        <f aca="false">RANK(R335,$R$2:$R$759)+COUNTIF($R$2:R335,R335)-1</f>
        <v>360</v>
      </c>
      <c r="W335" s="9" t="str">
        <f aca="false">IF(U335="Lapsed - Follow Up",COUNTIF($U$2:U335,"Lapsed - Follow Up"),"")</f>
        <v/>
      </c>
    </row>
    <row r="336" customFormat="false" ht="15" hidden="false" customHeight="true" outlineLevel="0" collapsed="false">
      <c r="A336" s="9" t="str">
        <f aca="false">Raw_Donors!A336</f>
        <v>D1334</v>
      </c>
      <c r="B336" s="9" t="str">
        <f aca="false">IF(ISNUMBER(SEARCH("-DUP",A336)),"Duplicate ID","")</f>
        <v/>
      </c>
      <c r="C336" s="9" t="n">
        <f aca="false">Raw_Donors!B336</f>
        <v>24504</v>
      </c>
      <c r="D336" s="9" t="n">
        <f aca="false">Raw_Donors!C336</f>
        <v>18</v>
      </c>
      <c r="E336" s="9" t="str">
        <f aca="false">IFERROR(IF(Raw_Donors!D336="","Unknown",Raw_Donors!D336),"Unknown")</f>
        <v>Unknown</v>
      </c>
      <c r="F336" s="9" t="str">
        <f aca="false">IFERROR(IF(Raw_Donors!E336="","Unknown",Raw_Donors!E336),"Unknown")</f>
        <v>Male</v>
      </c>
      <c r="G336" s="9" t="str">
        <f aca="false">PROPER(TRIM(Raw_Donors!F336))</f>
        <v>Individual Donor</v>
      </c>
      <c r="H336" s="9" t="str">
        <f aca="false">IFERROR(IF(Raw_Donors!G336="","N",Raw_Donors!G336),"N")</f>
        <v>N</v>
      </c>
      <c r="I336" s="9" t="str">
        <f aca="false">IF(Raw_Donors!H336="","Not Rated",Raw_Donors!H336)</f>
        <v>Not Rated</v>
      </c>
      <c r="J336" s="9" t="str">
        <f aca="false">IF(TRIM(Raw_Donors!I336)="","Unknown",TRIM(Raw_Donors!I336))</f>
        <v>HOME</v>
      </c>
      <c r="K336" s="9" t="str">
        <f aca="false">Raw_Donors!J336</f>
        <v>N</v>
      </c>
      <c r="L336" s="9" t="n">
        <f aca="false">Raw_Donors!K336</f>
        <v>0</v>
      </c>
      <c r="M336" s="10" t="n">
        <f aca="false">IFERROR(VALUE(SUBSTITUTE(SUBSTITUTE(Raw_Donors!L336,"$",""),",","")),0)</f>
        <v>0</v>
      </c>
      <c r="N336" s="10" t="n">
        <f aca="false">IFERROR(VALUE(SUBSTITUTE(SUBSTITUTE(Raw_Donors!M336,"$",""),",","")),0)</f>
        <v>0</v>
      </c>
      <c r="O336" s="10" t="n">
        <f aca="false">IFERROR(VALUE(SUBSTITUTE(SUBSTITUTE(Raw_Donors!N336,"$",""),",","")),0)</f>
        <v>0</v>
      </c>
      <c r="P336" s="10" t="n">
        <f aca="false">IFERROR(VALUE(SUBSTITUTE(SUBSTITUTE(Raw_Donors!O336,"$",""),",","")),0)</f>
        <v>0</v>
      </c>
      <c r="Q336" s="10" t="n">
        <f aca="false">IFERROR(VALUE(SUBSTITUTE(SUBSTITUTE(Raw_Donors!P336,"$",""),",","")),0)</f>
        <v>0</v>
      </c>
      <c r="R336" s="10" t="n">
        <f aca="false">Raw_Donors!Q336</f>
        <v>6</v>
      </c>
      <c r="S336" s="9" t="str">
        <f aca="false">Raw_Donors!R336</f>
        <v>Y</v>
      </c>
      <c r="T336" s="9" t="str">
        <f aca="false">IF(Raw_Donors!S336="","",Raw_Donors!S336)</f>
        <v>1999-05-22</v>
      </c>
      <c r="U336" s="9" t="str">
        <f aca="false">IF(AND((O336+P336)&gt;0,Q336=0),"Lapsed - Follow Up","")</f>
        <v/>
      </c>
      <c r="V336" s="9" t="n">
        <f aca="false">RANK(R336,$R$2:$R$759)+COUNTIF($R$2:R336,R336)-1</f>
        <v>512</v>
      </c>
      <c r="W336" s="9" t="str">
        <f aca="false">IF(U336="Lapsed - Follow Up",COUNTIF($U$2:U336,"Lapsed - Follow Up"),"")</f>
        <v/>
      </c>
    </row>
    <row r="337" customFormat="false" ht="15" hidden="false" customHeight="true" outlineLevel="0" collapsed="false">
      <c r="A337" s="9" t="str">
        <f aca="false">Raw_Donors!A337</f>
        <v>D1335</v>
      </c>
      <c r="B337" s="9" t="str">
        <f aca="false">IF(ISNUMBER(SEARCH("-DUP",A337)),"Duplicate ID","")</f>
        <v/>
      </c>
      <c r="C337" s="9" t="n">
        <f aca="false">Raw_Donors!B337</f>
        <v>97876</v>
      </c>
      <c r="D337" s="9" t="n">
        <f aca="false">Raw_Donors!C337</f>
        <v>29</v>
      </c>
      <c r="E337" s="9" t="str">
        <f aca="false">IFERROR(IF(Raw_Donors!D337="","Unknown",Raw_Donors!D337),"Unknown")</f>
        <v>Unknown</v>
      </c>
      <c r="F337" s="9" t="str">
        <f aca="false">IFERROR(IF(Raw_Donors!E337="","Unknown",Raw_Donors!E337),"Unknown")</f>
        <v>Female</v>
      </c>
      <c r="G337" s="9" t="str">
        <f aca="false">PROPER(TRIM(Raw_Donors!F337))</f>
        <v>Community Partner</v>
      </c>
      <c r="H337" s="9" t="str">
        <f aca="false">IFERROR(IF(Raw_Donors!G337="","N",Raw_Donors!G337),"N")</f>
        <v>Y</v>
      </c>
      <c r="I337" s="9" t="str">
        <f aca="false">IF(Raw_Donors!H337="","Not Rated",Raw_Donors!H337)</f>
        <v>Not Rated</v>
      </c>
      <c r="J337" s="9" t="str">
        <f aca="false">IF(TRIM(Raw_Donors!I337)="","Unknown",TRIM(Raw_Donors!I337))</f>
        <v>HOME</v>
      </c>
      <c r="K337" s="9" t="str">
        <f aca="false">Raw_Donors!J337</f>
        <v>Y</v>
      </c>
      <c r="L337" s="9" t="n">
        <f aca="false">Raw_Donors!K337</f>
        <v>1</v>
      </c>
      <c r="M337" s="10" t="n">
        <f aca="false">IFERROR(VALUE(SUBSTITUTE(SUBSTITUTE(Raw_Donors!L337,"$",""),",","")),0)</f>
        <v>0</v>
      </c>
      <c r="N337" s="10" t="n">
        <f aca="false">IFERROR(VALUE(SUBSTITUTE(SUBSTITUTE(Raw_Donors!M337,"$",""),",","")),0)</f>
        <v>0</v>
      </c>
      <c r="O337" s="10" t="n">
        <f aca="false">IFERROR(VALUE(SUBSTITUTE(SUBSTITUTE(Raw_Donors!N337,"$",""),",","")),0)</f>
        <v>0</v>
      </c>
      <c r="P337" s="10" t="n">
        <f aca="false">IFERROR(VALUE(SUBSTITUTE(SUBSTITUTE(Raw_Donors!O337,"$",""),",","")),0)</f>
        <v>0</v>
      </c>
      <c r="Q337" s="10" t="n">
        <f aca="false">IFERROR(VALUE(SUBSTITUTE(SUBSTITUTE(Raw_Donors!P337,"$",""),",","")),0)</f>
        <v>0</v>
      </c>
      <c r="R337" s="10" t="n">
        <f aca="false">Raw_Donors!Q337</f>
        <v>25</v>
      </c>
      <c r="S337" s="9" t="str">
        <f aca="false">Raw_Donors!R337</f>
        <v>Y</v>
      </c>
      <c r="T337" s="9" t="str">
        <f aca="false">IF(Raw_Donors!S337="","",Raw_Donors!S337)</f>
        <v>1988-05-14</v>
      </c>
      <c r="U337" s="9" t="str">
        <f aca="false">IF(AND((O337+P337)&gt;0,Q337=0),"Lapsed - Follow Up","")</f>
        <v/>
      </c>
      <c r="V337" s="9" t="n">
        <f aca="false">RANK(R337,$R$2:$R$759)+COUNTIF($R$2:R337,R337)-1</f>
        <v>443</v>
      </c>
      <c r="W337" s="9" t="str">
        <f aca="false">IF(U337="Lapsed - Follow Up",COUNTIF($U$2:U337,"Lapsed - Follow Up"),"")</f>
        <v/>
      </c>
    </row>
    <row r="338" customFormat="false" ht="15" hidden="false" customHeight="true" outlineLevel="0" collapsed="false">
      <c r="A338" s="9" t="str">
        <f aca="false">Raw_Donors!A338</f>
        <v>D1336</v>
      </c>
      <c r="B338" s="9" t="str">
        <f aca="false">IF(ISNUMBER(SEARCH("-DUP",A338)),"Duplicate ID","")</f>
        <v/>
      </c>
      <c r="C338" s="9" t="n">
        <f aca="false">Raw_Donors!B338</f>
        <v>42153</v>
      </c>
      <c r="D338" s="9" t="n">
        <f aca="false">Raw_Donors!C338</f>
        <v>0</v>
      </c>
      <c r="E338" s="9" t="str">
        <f aca="false">IFERROR(IF(Raw_Donors!D338="","Unknown",Raw_Donors!D338),"Unknown")</f>
        <v>Divorced</v>
      </c>
      <c r="F338" s="9" t="str">
        <f aca="false">IFERROR(IF(Raw_Donors!E338="","Unknown",Raw_Donors!E338),"Unknown")</f>
        <v>Unknown</v>
      </c>
      <c r="G338" s="9" t="str">
        <f aca="false">PROPER(TRIM(Raw_Donors!F338))</f>
        <v>Family Donor</v>
      </c>
      <c r="H338" s="9" t="str">
        <f aca="false">IFERROR(IF(Raw_Donors!G338="","N",Raw_Donors!G338),"N")</f>
        <v>N</v>
      </c>
      <c r="I338" s="9" t="str">
        <f aca="false">IF(Raw_Donors!H338="","Not Rated",Raw_Donors!H338)</f>
        <v>Not Rated</v>
      </c>
      <c r="J338" s="9" t="str">
        <f aca="false">IF(TRIM(Raw_Donors!I338)="","Unknown",TRIM(Raw_Donors!I338))</f>
        <v>HOME</v>
      </c>
      <c r="K338" s="9" t="str">
        <f aca="false">Raw_Donors!J338</f>
        <v>Y</v>
      </c>
      <c r="L338" s="9" t="n">
        <f aca="false">Raw_Donors!K338</f>
        <v>0</v>
      </c>
      <c r="M338" s="10" t="n">
        <f aca="false">IFERROR(VALUE(SUBSTITUTE(SUBSTITUTE(Raw_Donors!L338,"$",""),",","")),0)</f>
        <v>0</v>
      </c>
      <c r="N338" s="10" t="n">
        <f aca="false">IFERROR(VALUE(SUBSTITUTE(SUBSTITUTE(Raw_Donors!M338,"$",""),",","")),0)</f>
        <v>0</v>
      </c>
      <c r="O338" s="10" t="n">
        <f aca="false">IFERROR(VALUE(SUBSTITUTE(SUBSTITUTE(Raw_Donors!N338,"$",""),",","")),0)</f>
        <v>0</v>
      </c>
      <c r="P338" s="10" t="n">
        <f aca="false">IFERROR(VALUE(SUBSTITUTE(SUBSTITUTE(Raw_Donors!O338,"$",""),",","")),0)</f>
        <v>0</v>
      </c>
      <c r="Q338" s="10" t="n">
        <f aca="false">IFERROR(VALUE(SUBSTITUTE(SUBSTITUTE(Raw_Donors!P338,"$",""),",","")),0)</f>
        <v>0</v>
      </c>
      <c r="R338" s="10" t="n">
        <f aca="false">Raw_Donors!Q338</f>
        <v>0</v>
      </c>
      <c r="S338" s="9" t="str">
        <f aca="false">Raw_Donors!R338</f>
        <v>N</v>
      </c>
      <c r="T338" s="9" t="str">
        <f aca="false">IF(Raw_Donors!S338="","",Raw_Donors!S338)</f>
        <v/>
      </c>
      <c r="U338" s="9" t="str">
        <f aca="false">IF(AND((O338+P338)&gt;0,Q338=0),"Lapsed - Follow Up","")</f>
        <v/>
      </c>
      <c r="V338" s="9" t="n">
        <f aca="false">RANK(R338,$R$2:$R$759)+COUNTIF($R$2:R338,R338)-1</f>
        <v>644</v>
      </c>
      <c r="W338" s="9" t="str">
        <f aca="false">IF(U338="Lapsed - Follow Up",COUNTIF($U$2:U338,"Lapsed - Follow Up"),"")</f>
        <v/>
      </c>
    </row>
    <row r="339" customFormat="false" ht="15" hidden="false" customHeight="true" outlineLevel="0" collapsed="false">
      <c r="A339" s="9" t="str">
        <f aca="false">Raw_Donors!A339</f>
        <v>D1337</v>
      </c>
      <c r="B339" s="9" t="str">
        <f aca="false">IF(ISNUMBER(SEARCH("-DUP",A339)),"Duplicate ID","")</f>
        <v/>
      </c>
      <c r="C339" s="9" t="n">
        <f aca="false">Raw_Donors!B339</f>
        <v>0</v>
      </c>
      <c r="D339" s="9" t="n">
        <f aca="false">Raw_Donors!C339</f>
        <v>0</v>
      </c>
      <c r="E339" s="9" t="str">
        <f aca="false">IFERROR(IF(Raw_Donors!D339="","Unknown",Raw_Donors!D339),"Unknown")</f>
        <v>Unknown</v>
      </c>
      <c r="F339" s="9" t="str">
        <f aca="false">IFERROR(IF(Raw_Donors!E339="","Unknown",Raw_Donors!E339),"Unknown")</f>
        <v>Female</v>
      </c>
      <c r="G339" s="9" t="str">
        <f aca="false">PROPER(TRIM(Raw_Donors!F339))</f>
        <v>Community Partner</v>
      </c>
      <c r="H339" s="9" t="str">
        <f aca="false">IFERROR(IF(Raw_Donors!G339="","N",Raw_Donors!G339),"N")</f>
        <v>N</v>
      </c>
      <c r="I339" s="9" t="str">
        <f aca="false">IF(Raw_Donors!H339="","Not Rated",Raw_Donors!H339)</f>
        <v>Not Rated</v>
      </c>
      <c r="J339" s="9" t="str">
        <f aca="false">IF(TRIM(Raw_Donors!I339)="","Unknown",TRIM(Raw_Donors!I339))</f>
        <v>Unknown</v>
      </c>
      <c r="K339" s="9" t="str">
        <f aca="false">Raw_Donors!J339</f>
        <v>N</v>
      </c>
      <c r="L339" s="9" t="n">
        <f aca="false">Raw_Donors!K339</f>
        <v>0</v>
      </c>
      <c r="M339" s="10" t="n">
        <f aca="false">IFERROR(VALUE(SUBSTITUTE(SUBSTITUTE(Raw_Donors!L339,"$",""),",","")),0)</f>
        <v>0</v>
      </c>
      <c r="N339" s="10" t="n">
        <f aca="false">IFERROR(VALUE(SUBSTITUTE(SUBSTITUTE(Raw_Donors!M339,"$",""),",","")),0)</f>
        <v>0</v>
      </c>
      <c r="O339" s="10" t="n">
        <f aca="false">IFERROR(VALUE(SUBSTITUTE(SUBSTITUTE(Raw_Donors!N339,"$",""),",","")),0)</f>
        <v>0</v>
      </c>
      <c r="P339" s="10" t="n">
        <f aca="false">IFERROR(VALUE(SUBSTITUTE(SUBSTITUTE(Raw_Donors!O339,"$",""),",","")),0)</f>
        <v>0</v>
      </c>
      <c r="Q339" s="10" t="n">
        <f aca="false">IFERROR(VALUE(SUBSTITUTE(SUBSTITUTE(Raw_Donors!P339,"$",""),",","")),0)</f>
        <v>0</v>
      </c>
      <c r="R339" s="10" t="n">
        <f aca="false">Raw_Donors!Q339</f>
        <v>0</v>
      </c>
      <c r="S339" s="9" t="str">
        <f aca="false">Raw_Donors!R339</f>
        <v>N</v>
      </c>
      <c r="T339" s="9" t="str">
        <f aca="false">IF(Raw_Donors!S339="","",Raw_Donors!S339)</f>
        <v/>
      </c>
      <c r="U339" s="9" t="str">
        <f aca="false">IF(AND((O339+P339)&gt;0,Q339=0),"Lapsed - Follow Up","")</f>
        <v/>
      </c>
      <c r="V339" s="9" t="n">
        <f aca="false">RANK(R339,$R$2:$R$759)+COUNTIF($R$2:R339,R339)-1</f>
        <v>645</v>
      </c>
      <c r="W339" s="9" t="str">
        <f aca="false">IF(U339="Lapsed - Follow Up",COUNTIF($U$2:U339,"Lapsed - Follow Up"),"")</f>
        <v/>
      </c>
    </row>
    <row r="340" customFormat="false" ht="15" hidden="false" customHeight="true" outlineLevel="0" collapsed="false">
      <c r="A340" s="9" t="str">
        <f aca="false">Raw_Donors!A340</f>
        <v>D1338</v>
      </c>
      <c r="B340" s="9" t="str">
        <f aca="false">IF(ISNUMBER(SEARCH("-DUP",A340)),"Duplicate ID","")</f>
        <v/>
      </c>
      <c r="C340" s="9" t="n">
        <f aca="false">Raw_Donors!B340</f>
        <v>90265</v>
      </c>
      <c r="D340" s="9" t="n">
        <f aca="false">Raw_Donors!C340</f>
        <v>0</v>
      </c>
      <c r="E340" s="9" t="str">
        <f aca="false">IFERROR(IF(Raw_Donors!D340="","Unknown",Raw_Donors!D340),"Unknown")</f>
        <v>Unknown</v>
      </c>
      <c r="F340" s="9" t="str">
        <f aca="false">IFERROR(IF(Raw_Donors!E340="","Unknown",Raw_Donors!E340),"Unknown")</f>
        <v>Male</v>
      </c>
      <c r="G340" s="9" t="str">
        <f aca="false">PROPER(TRIM(Raw_Donors!F340))</f>
        <v>Community Partner</v>
      </c>
      <c r="H340" s="9" t="str">
        <f aca="false">IFERROR(IF(Raw_Donors!G340="","N",Raw_Donors!G340),"N")</f>
        <v>N</v>
      </c>
      <c r="I340" s="9" t="str">
        <f aca="false">IF(Raw_Donors!H340="","Not Rated",Raw_Donors!H340)</f>
        <v>Not Rated</v>
      </c>
      <c r="J340" s="9" t="str">
        <f aca="false">IF(TRIM(Raw_Donors!I340)="","Unknown",TRIM(Raw_Donors!I340))</f>
        <v>HOME</v>
      </c>
      <c r="K340" s="9" t="str">
        <f aca="false">Raw_Donors!J340</f>
        <v>Y</v>
      </c>
      <c r="L340" s="9" t="n">
        <f aca="false">Raw_Donors!K340</f>
        <v>1</v>
      </c>
      <c r="M340" s="10" t="n">
        <f aca="false">IFERROR(VALUE(SUBSTITUTE(SUBSTITUTE(Raw_Donors!L340,"$",""),",","")),0)</f>
        <v>0</v>
      </c>
      <c r="N340" s="10" t="n">
        <f aca="false">IFERROR(VALUE(SUBSTITUTE(SUBSTITUTE(Raw_Donors!M340,"$",""),",","")),0)</f>
        <v>0</v>
      </c>
      <c r="O340" s="10" t="n">
        <f aca="false">IFERROR(VALUE(SUBSTITUTE(SUBSTITUTE(Raw_Donors!N340,"$",""),",","")),0)</f>
        <v>25</v>
      </c>
      <c r="P340" s="10" t="n">
        <f aca="false">IFERROR(VALUE(SUBSTITUTE(SUBSTITUTE(Raw_Donors!O340,"$",""),",","")),0)</f>
        <v>0</v>
      </c>
      <c r="Q340" s="10" t="n">
        <f aca="false">IFERROR(VALUE(SUBSTITUTE(SUBSTITUTE(Raw_Donors!P340,"$",""),",","")),0)</f>
        <v>0</v>
      </c>
      <c r="R340" s="10" t="n">
        <f aca="false">Raw_Donors!Q340</f>
        <v>100</v>
      </c>
      <c r="S340" s="9" t="str">
        <f aca="false">Raw_Donors!R340</f>
        <v>Y</v>
      </c>
      <c r="T340" s="9" t="str">
        <f aca="false">IF(Raw_Donors!S340="","",Raw_Donors!S340)</f>
        <v/>
      </c>
      <c r="U340" s="9" t="str">
        <f aca="false">IF(AND((O340+P340)&gt;0,Q340=0),"Lapsed - Follow Up","")</f>
        <v>Lapsed - Follow Up</v>
      </c>
      <c r="V340" s="9" t="n">
        <f aca="false">RANK(R340,$R$2:$R$759)+COUNTIF($R$2:R340,R340)-1</f>
        <v>283</v>
      </c>
      <c r="W340" s="9" t="n">
        <f aca="false">IF(U340="Lapsed - Follow Up",COUNTIF($U$2:U340,"Lapsed - Follow Up"),"")</f>
        <v>50</v>
      </c>
    </row>
    <row r="341" customFormat="false" ht="15" hidden="false" customHeight="true" outlineLevel="0" collapsed="false">
      <c r="A341" s="9" t="str">
        <f aca="false">Raw_Donors!A341</f>
        <v>D1339</v>
      </c>
      <c r="B341" s="9" t="str">
        <f aca="false">IF(ISNUMBER(SEARCH("-DUP",A341)),"Duplicate ID","")</f>
        <v/>
      </c>
      <c r="C341" s="9" t="n">
        <f aca="false">Raw_Donors!B341</f>
        <v>62884</v>
      </c>
      <c r="D341" s="9" t="n">
        <f aca="false">Raw_Donors!C341</f>
        <v>0</v>
      </c>
      <c r="E341" s="9" t="str">
        <f aca="false">IFERROR(IF(Raw_Donors!D341="","Unknown",Raw_Donors!D341),"Unknown")</f>
        <v>Unknown</v>
      </c>
      <c r="F341" s="9" t="str">
        <f aca="false">IFERROR(IF(Raw_Donors!E341="","Unknown",Raw_Donors!E341),"Unknown")</f>
        <v>Female</v>
      </c>
      <c r="G341" s="9" t="str">
        <f aca="false">PROPER(TRIM(Raw_Donors!F341))</f>
        <v>Individual Donor</v>
      </c>
      <c r="H341" s="9" t="str">
        <f aca="false">IFERROR(IF(Raw_Donors!G341="","N",Raw_Donors!G341),"N")</f>
        <v>Y</v>
      </c>
      <c r="I341" s="9" t="str">
        <f aca="false">IF(Raw_Donors!H341="","Not Rated",Raw_Donors!H341)</f>
        <v>Not Rated</v>
      </c>
      <c r="J341" s="9" t="str">
        <f aca="false">IF(TRIM(Raw_Donors!I341)="","Unknown",TRIM(Raw_Donors!I341))</f>
        <v>BUSN</v>
      </c>
      <c r="K341" s="9" t="str">
        <f aca="false">Raw_Donors!J341</f>
        <v>N</v>
      </c>
      <c r="L341" s="9" t="n">
        <f aca="false">Raw_Donors!K341</f>
        <v>0</v>
      </c>
      <c r="M341" s="10" t="n">
        <f aca="false">IFERROR(VALUE(SUBSTITUTE(SUBSTITUTE(Raw_Donors!L341,"$",""),",","")),0)</f>
        <v>0</v>
      </c>
      <c r="N341" s="10" t="n">
        <f aca="false">IFERROR(VALUE(SUBSTITUTE(SUBSTITUTE(Raw_Donors!M341,"$",""),",","")),0)</f>
        <v>0</v>
      </c>
      <c r="O341" s="10" t="n">
        <f aca="false">IFERROR(VALUE(SUBSTITUTE(SUBSTITUTE(Raw_Donors!N341,"$",""),",","")),0)</f>
        <v>0</v>
      </c>
      <c r="P341" s="10" t="n">
        <f aca="false">IFERROR(VALUE(SUBSTITUTE(SUBSTITUTE(Raw_Donors!O341,"$",""),",","")),0)</f>
        <v>0</v>
      </c>
      <c r="Q341" s="10" t="n">
        <f aca="false">IFERROR(VALUE(SUBSTITUTE(SUBSTITUTE(Raw_Donors!P341,"$",""),",","")),0)</f>
        <v>0</v>
      </c>
      <c r="R341" s="10" t="n">
        <f aca="false">Raw_Donors!Q341</f>
        <v>25</v>
      </c>
      <c r="S341" s="9" t="str">
        <f aca="false">Raw_Donors!R341</f>
        <v>Y</v>
      </c>
      <c r="T341" s="9" t="str">
        <f aca="false">IF(Raw_Donors!S341="","",Raw_Donors!S341)</f>
        <v/>
      </c>
      <c r="U341" s="9" t="str">
        <f aca="false">IF(AND((O341+P341)&gt;0,Q341=0),"Lapsed - Follow Up","")</f>
        <v/>
      </c>
      <c r="V341" s="9" t="n">
        <f aca="false">RANK(R341,$R$2:$R$759)+COUNTIF($R$2:R341,R341)-1</f>
        <v>444</v>
      </c>
      <c r="W341" s="9" t="str">
        <f aca="false">IF(U341="Lapsed - Follow Up",COUNTIF($U$2:U341,"Lapsed - Follow Up"),"")</f>
        <v/>
      </c>
    </row>
    <row r="342" customFormat="false" ht="15" hidden="false" customHeight="true" outlineLevel="0" collapsed="false">
      <c r="A342" s="9" t="str">
        <f aca="false">Raw_Donors!A342</f>
        <v>D1340</v>
      </c>
      <c r="B342" s="9" t="str">
        <f aca="false">IF(ISNUMBER(SEARCH("-DUP",A342)),"Duplicate ID","")</f>
        <v/>
      </c>
      <c r="C342" s="9" t="n">
        <f aca="false">Raw_Donors!B342</f>
        <v>93024</v>
      </c>
      <c r="D342" s="9" t="n">
        <f aca="false">Raw_Donors!C342</f>
        <v>0</v>
      </c>
      <c r="E342" s="9" t="str">
        <f aca="false">IFERROR(IF(Raw_Donors!D342="","Unknown",Raw_Donors!D342),"Unknown")</f>
        <v>Married</v>
      </c>
      <c r="F342" s="9" t="str">
        <f aca="false">IFERROR(IF(Raw_Donors!E342="","Unknown",Raw_Donors!E342),"Unknown")</f>
        <v>Uknown</v>
      </c>
      <c r="G342" s="9" t="str">
        <f aca="false">PROPER(TRIM(Raw_Donors!F342))</f>
        <v>Individual Donor</v>
      </c>
      <c r="H342" s="9" t="str">
        <f aca="false">IFERROR(IF(Raw_Donors!G342="","N",Raw_Donors!G342),"N")</f>
        <v>N</v>
      </c>
      <c r="I342" s="9" t="str">
        <f aca="false">IF(Raw_Donors!H342="","Not Rated",Raw_Donors!H342)</f>
        <v>Not Rated</v>
      </c>
      <c r="J342" s="9" t="str">
        <f aca="false">IF(TRIM(Raw_Donors!I342)="","Unknown",TRIM(Raw_Donors!I342))</f>
        <v>HOME</v>
      </c>
      <c r="K342" s="9" t="str">
        <f aca="false">Raw_Donors!J342</f>
        <v>N</v>
      </c>
      <c r="L342" s="9" t="n">
        <f aca="false">Raw_Donors!K342</f>
        <v>1</v>
      </c>
      <c r="M342" s="10" t="n">
        <f aca="false">IFERROR(VALUE(SUBSTITUTE(SUBSTITUTE(Raw_Donors!L342,"$",""),",","")),0)</f>
        <v>0</v>
      </c>
      <c r="N342" s="10" t="n">
        <f aca="false">IFERROR(VALUE(SUBSTITUTE(SUBSTITUTE(Raw_Donors!M342,"$",""),",","")),0)</f>
        <v>0</v>
      </c>
      <c r="O342" s="10" t="n">
        <f aca="false">IFERROR(VALUE(SUBSTITUTE(SUBSTITUTE(Raw_Donors!N342,"$",""),",","")),0)</f>
        <v>0</v>
      </c>
      <c r="P342" s="10" t="n">
        <f aca="false">IFERROR(VALUE(SUBSTITUTE(SUBSTITUTE(Raw_Donors!O342,"$",""),",","")),0)</f>
        <v>0</v>
      </c>
      <c r="Q342" s="10" t="n">
        <f aca="false">IFERROR(VALUE(SUBSTITUTE(SUBSTITUTE(Raw_Donors!P342,"$",""),",","")),0)</f>
        <v>0</v>
      </c>
      <c r="R342" s="10" t="n">
        <f aca="false">Raw_Donors!Q342</f>
        <v>35</v>
      </c>
      <c r="S342" s="9" t="str">
        <f aca="false">Raw_Donors!R342</f>
        <v>Y</v>
      </c>
      <c r="T342" s="9" t="str">
        <f aca="false">IF(Raw_Donors!S342="","",Raw_Donors!S342)</f>
        <v/>
      </c>
      <c r="U342" s="9" t="str">
        <f aca="false">IF(AND((O342+P342)&gt;0,Q342=0),"Lapsed - Follow Up","")</f>
        <v/>
      </c>
      <c r="V342" s="9" t="n">
        <f aca="false">RANK(R342,$R$2:$R$759)+COUNTIF($R$2:R342,R342)-1</f>
        <v>409</v>
      </c>
      <c r="W342" s="9" t="str">
        <f aca="false">IF(U342="Lapsed - Follow Up",COUNTIF($U$2:U342,"Lapsed - Follow Up"),"")</f>
        <v/>
      </c>
    </row>
    <row r="343" customFormat="false" ht="15" hidden="false" customHeight="true" outlineLevel="0" collapsed="false">
      <c r="A343" s="9" t="str">
        <f aca="false">Raw_Donors!A343</f>
        <v>D1341</v>
      </c>
      <c r="B343" s="9" t="str">
        <f aca="false">IF(ISNUMBER(SEARCH("-DUP",A343)),"Duplicate ID","")</f>
        <v/>
      </c>
      <c r="C343" s="9" t="n">
        <f aca="false">Raw_Donors!B343</f>
        <v>30552</v>
      </c>
      <c r="D343" s="9" t="n">
        <f aca="false">Raw_Donors!C343</f>
        <v>0</v>
      </c>
      <c r="E343" s="9" t="str">
        <f aca="false">IFERROR(IF(Raw_Donors!D343="","Unknown",Raw_Donors!D343),"Unknown")</f>
        <v>Married</v>
      </c>
      <c r="F343" s="9" t="str">
        <f aca="false">IFERROR(IF(Raw_Donors!E343="","Unknown",Raw_Donors!E343),"Unknown")</f>
        <v>Male</v>
      </c>
      <c r="G343" s="9" t="str">
        <f aca="false">PROPER(TRIM(Raw_Donors!F343))</f>
        <v>Individual Donor</v>
      </c>
      <c r="H343" s="9" t="str">
        <f aca="false">IFERROR(IF(Raw_Donors!G343="","N",Raw_Donors!G343),"N")</f>
        <v>N</v>
      </c>
      <c r="I343" s="9" t="str">
        <f aca="false">IF(Raw_Donors!H343="","Not Rated",Raw_Donors!H343)</f>
        <v>Not Rated</v>
      </c>
      <c r="J343" s="9" t="str">
        <f aca="false">IF(TRIM(Raw_Donors!I343)="","Unknown",TRIM(Raw_Donors!I343))</f>
        <v>HOME</v>
      </c>
      <c r="K343" s="9" t="str">
        <f aca="false">Raw_Donors!J343</f>
        <v>N</v>
      </c>
      <c r="L343" s="9" t="n">
        <f aca="false">Raw_Donors!K343</f>
        <v>0</v>
      </c>
      <c r="M343" s="10" t="n">
        <f aca="false">IFERROR(VALUE(SUBSTITUTE(SUBSTITUTE(Raw_Donors!L343,"$",""),",","")),0)</f>
        <v>0</v>
      </c>
      <c r="N343" s="10" t="n">
        <f aca="false">IFERROR(VALUE(SUBSTITUTE(SUBSTITUTE(Raw_Donors!M343,"$",""),",","")),0)</f>
        <v>0</v>
      </c>
      <c r="O343" s="10" t="n">
        <f aca="false">IFERROR(VALUE(SUBSTITUTE(SUBSTITUTE(Raw_Donors!N343,"$",""),",","")),0)</f>
        <v>0</v>
      </c>
      <c r="P343" s="10" t="n">
        <f aca="false">IFERROR(VALUE(SUBSTITUTE(SUBSTITUTE(Raw_Donors!O343,"$",""),",","")),0)</f>
        <v>0</v>
      </c>
      <c r="Q343" s="10" t="n">
        <f aca="false">IFERROR(VALUE(SUBSTITUTE(SUBSTITUTE(Raw_Donors!P343,"$",""),",","")),0)</f>
        <v>0</v>
      </c>
      <c r="R343" s="10" t="n">
        <f aca="false">Raw_Donors!Q343</f>
        <v>1</v>
      </c>
      <c r="S343" s="9" t="str">
        <f aca="false">Raw_Donors!R343</f>
        <v>Y</v>
      </c>
      <c r="T343" s="9" t="str">
        <f aca="false">IF(Raw_Donors!S343="","",Raw_Donors!S343)</f>
        <v/>
      </c>
      <c r="U343" s="9" t="str">
        <f aca="false">IF(AND((O343+P343)&gt;0,Q343=0),"Lapsed - Follow Up","")</f>
        <v/>
      </c>
      <c r="V343" s="9" t="n">
        <f aca="false">RANK(R343,$R$2:$R$759)+COUNTIF($R$2:R343,R343)-1</f>
        <v>539</v>
      </c>
      <c r="W343" s="9" t="str">
        <f aca="false">IF(U343="Lapsed - Follow Up",COUNTIF($U$2:U343,"Lapsed - Follow Up"),"")</f>
        <v/>
      </c>
    </row>
    <row r="344" customFormat="false" ht="15" hidden="false" customHeight="true" outlineLevel="0" collapsed="false">
      <c r="A344" s="9" t="str">
        <f aca="false">Raw_Donors!A344</f>
        <v>D1342</v>
      </c>
      <c r="B344" s="9" t="str">
        <f aca="false">IF(ISNUMBER(SEARCH("-DUP",A344)),"Duplicate ID","")</f>
        <v/>
      </c>
      <c r="C344" s="9" t="n">
        <f aca="false">Raw_Donors!B344</f>
        <v>57003</v>
      </c>
      <c r="D344" s="9" t="n">
        <f aca="false">Raw_Donors!C344</f>
        <v>0</v>
      </c>
      <c r="E344" s="9" t="str">
        <f aca="false">IFERROR(IF(Raw_Donors!D344="","Unknown",Raw_Donors!D344),"Unknown")</f>
        <v>Married</v>
      </c>
      <c r="F344" s="9" t="str">
        <f aca="false">IFERROR(IF(Raw_Donors!E344="","Unknown",Raw_Donors!E344),"Unknown")</f>
        <v>Male</v>
      </c>
      <c r="G344" s="9" t="str">
        <f aca="false">PROPER(TRIM(Raw_Donors!F344))</f>
        <v>Individual Donor</v>
      </c>
      <c r="H344" s="9" t="str">
        <f aca="false">IFERROR(IF(Raw_Donors!G344="","N",Raw_Donors!G344),"N")</f>
        <v>Y</v>
      </c>
      <c r="I344" s="9" t="str">
        <f aca="false">IF(Raw_Donors!H344="","Not Rated",Raw_Donors!H344)</f>
        <v>Not Rated</v>
      </c>
      <c r="J344" s="9" t="str">
        <f aca="false">IF(TRIM(Raw_Donors!I344)="","Unknown",TRIM(Raw_Donors!I344))</f>
        <v>HOME</v>
      </c>
      <c r="K344" s="9" t="str">
        <f aca="false">Raw_Donors!J344</f>
        <v>N</v>
      </c>
      <c r="L344" s="9" t="n">
        <f aca="false">Raw_Donors!K344</f>
        <v>4</v>
      </c>
      <c r="M344" s="10" t="n">
        <f aca="false">IFERROR(VALUE(SUBSTITUTE(SUBSTITUTE(Raw_Donors!L344,"$",""),",","")),0)</f>
        <v>1200</v>
      </c>
      <c r="N344" s="10" t="n">
        <f aca="false">IFERROR(VALUE(SUBSTITUTE(SUBSTITUTE(Raw_Donors!M344,"$",""),",","")),0)</f>
        <v>0</v>
      </c>
      <c r="O344" s="10" t="n">
        <f aca="false">IFERROR(VALUE(SUBSTITUTE(SUBSTITUTE(Raw_Donors!N344,"$",""),",","")),0)</f>
        <v>0</v>
      </c>
      <c r="P344" s="10" t="n">
        <f aca="false">IFERROR(VALUE(SUBSTITUTE(SUBSTITUTE(Raw_Donors!O344,"$",""),",","")),0)</f>
        <v>0</v>
      </c>
      <c r="Q344" s="10" t="n">
        <f aca="false">IFERROR(VALUE(SUBSTITUTE(SUBSTITUTE(Raw_Donors!P344,"$",""),",","")),0)</f>
        <v>0</v>
      </c>
      <c r="R344" s="10" t="n">
        <f aca="false">Raw_Donors!Q344</f>
        <v>1200</v>
      </c>
      <c r="S344" s="9" t="str">
        <f aca="false">Raw_Donors!R344</f>
        <v>Y</v>
      </c>
      <c r="T344" s="9" t="str">
        <f aca="false">IF(Raw_Donors!S344="","",Raw_Donors!S344)</f>
        <v/>
      </c>
      <c r="U344" s="9" t="str">
        <f aca="false">IF(AND((O344+P344)&gt;0,Q344=0),"Lapsed - Follow Up","")</f>
        <v/>
      </c>
      <c r="V344" s="9" t="n">
        <f aca="false">RANK(R344,$R$2:$R$759)+COUNTIF($R$2:R344,R344)-1</f>
        <v>48</v>
      </c>
      <c r="W344" s="9" t="str">
        <f aca="false">IF(U344="Lapsed - Follow Up",COUNTIF($U$2:U344,"Lapsed - Follow Up"),"")</f>
        <v/>
      </c>
    </row>
    <row r="345" customFormat="false" ht="15" hidden="false" customHeight="true" outlineLevel="0" collapsed="false">
      <c r="A345" s="9" t="str">
        <f aca="false">Raw_Donors!A345</f>
        <v>D1343</v>
      </c>
      <c r="B345" s="9" t="str">
        <f aca="false">IF(ISNUMBER(SEARCH("-DUP",A345)),"Duplicate ID","")</f>
        <v/>
      </c>
      <c r="C345" s="9" t="n">
        <f aca="false">Raw_Donors!B345</f>
        <v>84129</v>
      </c>
      <c r="D345" s="9" t="n">
        <f aca="false">Raw_Donors!C345</f>
        <v>31</v>
      </c>
      <c r="E345" s="9" t="str">
        <f aca="false">IFERROR(IF(Raw_Donors!D345="","Unknown",Raw_Donors!D345),"Unknown")</f>
        <v>Unknown</v>
      </c>
      <c r="F345" s="9" t="str">
        <f aca="false">IFERROR(IF(Raw_Donors!E345="","Unknown",Raw_Donors!E345),"Unknown")</f>
        <v>Male</v>
      </c>
      <c r="G345" s="9" t="str">
        <f aca="false">PROPER(TRIM(Raw_Donors!F345))</f>
        <v>Individual Donor</v>
      </c>
      <c r="H345" s="9" t="str">
        <f aca="false">IFERROR(IF(Raw_Donors!G345="","N",Raw_Donors!G345),"N")</f>
        <v>N</v>
      </c>
      <c r="I345" s="9" t="str">
        <f aca="false">IF(Raw_Donors!H345="","Not Rated",Raw_Donors!H345)</f>
        <v>Not Rated</v>
      </c>
      <c r="J345" s="9" t="str">
        <f aca="false">IF(TRIM(Raw_Donors!I345)="","Unknown",TRIM(Raw_Donors!I345))</f>
        <v>HOME</v>
      </c>
      <c r="K345" s="9" t="str">
        <f aca="false">Raw_Donors!J345</f>
        <v>N</v>
      </c>
      <c r="L345" s="9" t="n">
        <f aca="false">Raw_Donors!K345</f>
        <v>0</v>
      </c>
      <c r="M345" s="10" t="n">
        <f aca="false">IFERROR(VALUE(SUBSTITUTE(SUBSTITUTE(Raw_Donors!L345,"$",""),",","")),0)</f>
        <v>0</v>
      </c>
      <c r="N345" s="10" t="n">
        <f aca="false">IFERROR(VALUE(SUBSTITUTE(SUBSTITUTE(Raw_Donors!M345,"$",""),",","")),0)</f>
        <v>0</v>
      </c>
      <c r="O345" s="10" t="n">
        <f aca="false">IFERROR(VALUE(SUBSTITUTE(SUBSTITUTE(Raw_Donors!N345,"$",""),",","")),0)</f>
        <v>0</v>
      </c>
      <c r="P345" s="10" t="n">
        <f aca="false">IFERROR(VALUE(SUBSTITUTE(SUBSTITUTE(Raw_Donors!O345,"$",""),",","")),0)</f>
        <v>0</v>
      </c>
      <c r="Q345" s="10" t="n">
        <f aca="false">IFERROR(VALUE(SUBSTITUTE(SUBSTITUTE(Raw_Donors!P345,"$",""),",","")),0)</f>
        <v>0</v>
      </c>
      <c r="R345" s="10" t="n">
        <f aca="false">Raw_Donors!Q345</f>
        <v>0</v>
      </c>
      <c r="S345" s="9" t="str">
        <f aca="false">Raw_Donors!R345</f>
        <v>N</v>
      </c>
      <c r="T345" s="9" t="str">
        <f aca="false">IF(Raw_Donors!S345="","",Raw_Donors!S345)</f>
        <v>1986-03-08</v>
      </c>
      <c r="U345" s="9" t="str">
        <f aca="false">IF(AND((O345+P345)&gt;0,Q345=0),"Lapsed - Follow Up","")</f>
        <v/>
      </c>
      <c r="V345" s="9" t="n">
        <f aca="false">RANK(R345,$R$2:$R$759)+COUNTIF($R$2:R345,R345)-1</f>
        <v>646</v>
      </c>
      <c r="W345" s="9" t="str">
        <f aca="false">IF(U345="Lapsed - Follow Up",COUNTIF($U$2:U345,"Lapsed - Follow Up"),"")</f>
        <v/>
      </c>
    </row>
    <row r="346" customFormat="false" ht="15" hidden="false" customHeight="true" outlineLevel="0" collapsed="false">
      <c r="A346" s="9" t="str">
        <f aca="false">Raw_Donors!A346</f>
        <v>D1344</v>
      </c>
      <c r="B346" s="9" t="str">
        <f aca="false">IF(ISNUMBER(SEARCH("-DUP",A346)),"Duplicate ID","")</f>
        <v/>
      </c>
      <c r="C346" s="9" t="n">
        <f aca="false">Raw_Donors!B346</f>
        <v>90265</v>
      </c>
      <c r="D346" s="9" t="n">
        <f aca="false">Raw_Donors!C346</f>
        <v>56</v>
      </c>
      <c r="E346" s="9" t="str">
        <f aca="false">IFERROR(IF(Raw_Donors!D346="","Unknown",Raw_Donors!D346),"Unknown")</f>
        <v>Unknown</v>
      </c>
      <c r="F346" s="9" t="str">
        <f aca="false">IFERROR(IF(Raw_Donors!E346="","Unknown",Raw_Donors!E346),"Unknown")</f>
        <v>Female</v>
      </c>
      <c r="G346" s="9" t="str">
        <f aca="false">PROPER(TRIM(Raw_Donors!F346))</f>
        <v>Individual Donor</v>
      </c>
      <c r="H346" s="9" t="str">
        <f aca="false">IFERROR(IF(Raw_Donors!G346="","N",Raw_Donors!G346),"N")</f>
        <v>N</v>
      </c>
      <c r="I346" s="9" t="str">
        <f aca="false">IF(Raw_Donors!H346="","Not Rated",Raw_Donors!H346)</f>
        <v>Not Rated</v>
      </c>
      <c r="J346" s="9" t="str">
        <f aca="false">IF(TRIM(Raw_Donors!I346)="","Unknown",TRIM(Raw_Donors!I346))</f>
        <v>HOME</v>
      </c>
      <c r="K346" s="9" t="str">
        <f aca="false">Raw_Donors!J346</f>
        <v>N</v>
      </c>
      <c r="L346" s="9" t="n">
        <f aca="false">Raw_Donors!K346</f>
        <v>0</v>
      </c>
      <c r="M346" s="10" t="n">
        <f aca="false">IFERROR(VALUE(SUBSTITUTE(SUBSTITUTE(Raw_Donors!L346,"$",""),",","")),0)</f>
        <v>0</v>
      </c>
      <c r="N346" s="10" t="n">
        <f aca="false">IFERROR(VALUE(SUBSTITUTE(SUBSTITUTE(Raw_Donors!M346,"$",""),",","")),0)</f>
        <v>0</v>
      </c>
      <c r="O346" s="10" t="n">
        <f aca="false">IFERROR(VALUE(SUBSTITUTE(SUBSTITUTE(Raw_Donors!N346,"$",""),",","")),0)</f>
        <v>0</v>
      </c>
      <c r="P346" s="10" t="n">
        <f aca="false">IFERROR(VALUE(SUBSTITUTE(SUBSTITUTE(Raw_Donors!O346,"$",""),",","")),0)</f>
        <v>0</v>
      </c>
      <c r="Q346" s="10" t="n">
        <f aca="false">IFERROR(VALUE(SUBSTITUTE(SUBSTITUTE(Raw_Donors!P346,"$",""),",","")),0)</f>
        <v>0</v>
      </c>
      <c r="R346" s="10" t="n">
        <f aca="false">Raw_Donors!Q346</f>
        <v>25</v>
      </c>
      <c r="S346" s="9" t="str">
        <f aca="false">Raw_Donors!R346</f>
        <v>Y</v>
      </c>
      <c r="T346" s="9" t="str">
        <f aca="false">IF(Raw_Donors!S346="","",Raw_Donors!S346)</f>
        <v>1961-05-01</v>
      </c>
      <c r="U346" s="9" t="str">
        <f aca="false">IF(AND((O346+P346)&gt;0,Q346=0),"Lapsed - Follow Up","")</f>
        <v/>
      </c>
      <c r="V346" s="9" t="n">
        <f aca="false">RANK(R346,$R$2:$R$759)+COUNTIF($R$2:R346,R346)-1</f>
        <v>445</v>
      </c>
      <c r="W346" s="9" t="str">
        <f aca="false">IF(U346="Lapsed - Follow Up",COUNTIF($U$2:U346,"Lapsed - Follow Up"),"")</f>
        <v/>
      </c>
    </row>
    <row r="347" customFormat="false" ht="15" hidden="false" customHeight="true" outlineLevel="0" collapsed="false">
      <c r="A347" s="9" t="str">
        <f aca="false">Raw_Donors!A347</f>
        <v>D1345</v>
      </c>
      <c r="B347" s="9" t="str">
        <f aca="false">IF(ISNUMBER(SEARCH("-DUP",A347)),"Duplicate ID","")</f>
        <v/>
      </c>
      <c r="C347" s="9" t="n">
        <f aca="false">Raw_Donors!B347</f>
        <v>12563</v>
      </c>
      <c r="D347" s="9" t="n">
        <f aca="false">Raw_Donors!C347</f>
        <v>0</v>
      </c>
      <c r="E347" s="9" t="str">
        <f aca="false">IFERROR(IF(Raw_Donors!D347="","Unknown",Raw_Donors!D347),"Unknown")</f>
        <v>Unknown</v>
      </c>
      <c r="F347" s="9" t="str">
        <f aca="false">IFERROR(IF(Raw_Donors!E347="","Unknown",Raw_Donors!E347),"Unknown")</f>
        <v>Female</v>
      </c>
      <c r="G347" s="9" t="str">
        <f aca="false">PROPER(TRIM(Raw_Donors!F347))</f>
        <v>Individual Donor</v>
      </c>
      <c r="H347" s="9" t="str">
        <f aca="false">IFERROR(IF(Raw_Donors!G347="","N",Raw_Donors!G347),"N")</f>
        <v>N</v>
      </c>
      <c r="I347" s="9" t="str">
        <f aca="false">IF(Raw_Donors!H347="","Not Rated",Raw_Donors!H347)</f>
        <v>Not Rated</v>
      </c>
      <c r="J347" s="9" t="str">
        <f aca="false">IF(TRIM(Raw_Donors!I347)="","Unknown",TRIM(Raw_Donors!I347))</f>
        <v>HOME</v>
      </c>
      <c r="K347" s="9" t="str">
        <f aca="false">Raw_Donors!J347</f>
        <v>N</v>
      </c>
      <c r="L347" s="9" t="n">
        <f aca="false">Raw_Donors!K347</f>
        <v>1</v>
      </c>
      <c r="M347" s="10" t="n">
        <f aca="false">IFERROR(VALUE(SUBSTITUTE(SUBSTITUTE(Raw_Donors!L347,"$",""),",","")),0)</f>
        <v>0</v>
      </c>
      <c r="N347" s="10" t="n">
        <f aca="false">IFERROR(VALUE(SUBSTITUTE(SUBSTITUTE(Raw_Donors!M347,"$",""),",","")),0)</f>
        <v>200</v>
      </c>
      <c r="O347" s="10" t="n">
        <f aca="false">IFERROR(VALUE(SUBSTITUTE(SUBSTITUTE(Raw_Donors!N347,"$",""),",","")),0)</f>
        <v>0</v>
      </c>
      <c r="P347" s="10" t="n">
        <f aca="false">IFERROR(VALUE(SUBSTITUTE(SUBSTITUTE(Raw_Donors!O347,"$",""),",","")),0)</f>
        <v>10</v>
      </c>
      <c r="Q347" s="10" t="n">
        <f aca="false">IFERROR(VALUE(SUBSTITUTE(SUBSTITUTE(Raw_Donors!P347,"$",""),",","")),0)</f>
        <v>0</v>
      </c>
      <c r="R347" s="10" t="n">
        <f aca="false">Raw_Donors!Q347</f>
        <v>210</v>
      </c>
      <c r="S347" s="9" t="str">
        <f aca="false">Raw_Donors!R347</f>
        <v>Y</v>
      </c>
      <c r="T347" s="9" t="str">
        <f aca="false">IF(Raw_Donors!S347="","",Raw_Donors!S347)</f>
        <v/>
      </c>
      <c r="U347" s="9" t="str">
        <f aca="false">IF(AND((O347+P347)&gt;0,Q347=0),"Lapsed - Follow Up","")</f>
        <v>Lapsed - Follow Up</v>
      </c>
      <c r="V347" s="9" t="n">
        <f aca="false">RANK(R347,$R$2:$R$759)+COUNTIF($R$2:R347,R347)-1</f>
        <v>190</v>
      </c>
      <c r="W347" s="9" t="n">
        <f aca="false">IF(U347="Lapsed - Follow Up",COUNTIF($U$2:U347,"Lapsed - Follow Up"),"")</f>
        <v>51</v>
      </c>
    </row>
    <row r="348" customFormat="false" ht="15" hidden="false" customHeight="true" outlineLevel="0" collapsed="false">
      <c r="A348" s="9" t="str">
        <f aca="false">Raw_Donors!A348</f>
        <v>D1346</v>
      </c>
      <c r="B348" s="9" t="str">
        <f aca="false">IF(ISNUMBER(SEARCH("-DUP",A348)),"Duplicate ID","")</f>
        <v/>
      </c>
      <c r="C348" s="9" t="n">
        <f aca="false">Raw_Donors!B348</f>
        <v>90265</v>
      </c>
      <c r="D348" s="9" t="n">
        <f aca="false">Raw_Donors!C348</f>
        <v>0</v>
      </c>
      <c r="E348" s="9" t="str">
        <f aca="false">IFERROR(IF(Raw_Donors!D348="","Unknown",Raw_Donors!D348),"Unknown")</f>
        <v>Single</v>
      </c>
      <c r="F348" s="9" t="str">
        <f aca="false">IFERROR(IF(Raw_Donors!E348="","Unknown",Raw_Donors!E348),"Unknown")</f>
        <v>Female</v>
      </c>
      <c r="G348" s="9" t="str">
        <f aca="false">PROPER(TRIM(Raw_Donors!F348))</f>
        <v>Individual Donor</v>
      </c>
      <c r="H348" s="9" t="str">
        <f aca="false">IFERROR(IF(Raw_Donors!G348="","N",Raw_Donors!G348),"N")</f>
        <v>N</v>
      </c>
      <c r="I348" s="9" t="str">
        <f aca="false">IF(Raw_Donors!H348="","Not Rated",Raw_Donors!H348)</f>
        <v>Not Rated</v>
      </c>
      <c r="J348" s="9" t="str">
        <f aca="false">IF(TRIM(Raw_Donors!I348)="","Unknown",TRIM(Raw_Donors!I348))</f>
        <v>HOME</v>
      </c>
      <c r="K348" s="9" t="str">
        <f aca="false">Raw_Donors!J348</f>
        <v>N</v>
      </c>
      <c r="L348" s="9" t="n">
        <f aca="false">Raw_Donors!K348</f>
        <v>1</v>
      </c>
      <c r="M348" s="10" t="n">
        <f aca="false">IFERROR(VALUE(SUBSTITUTE(SUBSTITUTE(Raw_Donors!L348,"$",""),",","")),0)</f>
        <v>0</v>
      </c>
      <c r="N348" s="10" t="n">
        <f aca="false">IFERROR(VALUE(SUBSTITUTE(SUBSTITUTE(Raw_Donors!M348,"$",""),",","")),0)</f>
        <v>0</v>
      </c>
      <c r="O348" s="10" t="n">
        <f aca="false">IFERROR(VALUE(SUBSTITUTE(SUBSTITUTE(Raw_Donors!N348,"$",""),",","")),0)</f>
        <v>0</v>
      </c>
      <c r="P348" s="10" t="n">
        <f aca="false">IFERROR(VALUE(SUBSTITUTE(SUBSTITUTE(Raw_Donors!O348,"$",""),",","")),0)</f>
        <v>0</v>
      </c>
      <c r="Q348" s="10" t="n">
        <f aca="false">IFERROR(VALUE(SUBSTITUTE(SUBSTITUTE(Raw_Donors!P348,"$",""),",","")),0)</f>
        <v>0</v>
      </c>
      <c r="R348" s="10" t="n">
        <f aca="false">Raw_Donors!Q348</f>
        <v>0</v>
      </c>
      <c r="S348" s="9" t="str">
        <f aca="false">Raw_Donors!R348</f>
        <v>N</v>
      </c>
      <c r="T348" s="9" t="str">
        <f aca="false">IF(Raw_Donors!S348="","",Raw_Donors!S348)</f>
        <v/>
      </c>
      <c r="U348" s="9" t="str">
        <f aca="false">IF(AND((O348+P348)&gt;0,Q348=0),"Lapsed - Follow Up","")</f>
        <v/>
      </c>
      <c r="V348" s="9" t="n">
        <f aca="false">RANK(R348,$R$2:$R$759)+COUNTIF($R$2:R348,R348)-1</f>
        <v>647</v>
      </c>
      <c r="W348" s="9" t="str">
        <f aca="false">IF(U348="Lapsed - Follow Up",COUNTIF($U$2:U348,"Lapsed - Follow Up"),"")</f>
        <v/>
      </c>
    </row>
    <row r="349" customFormat="false" ht="15" hidden="false" customHeight="true" outlineLevel="0" collapsed="false">
      <c r="A349" s="9" t="str">
        <f aca="false">Raw_Donors!A349</f>
        <v>D1347</v>
      </c>
      <c r="B349" s="9" t="str">
        <f aca="false">IF(ISNUMBER(SEARCH("-DUP",A349)),"Duplicate ID","")</f>
        <v/>
      </c>
      <c r="C349" s="9" t="n">
        <f aca="false">Raw_Donors!B349</f>
        <v>94720</v>
      </c>
      <c r="D349" s="9" t="n">
        <f aca="false">Raw_Donors!C349</f>
        <v>0</v>
      </c>
      <c r="E349" s="9" t="str">
        <f aca="false">IFERROR(IF(Raw_Donors!D349="","Unknown",Raw_Donors!D349),"Unknown")</f>
        <v>Unknown</v>
      </c>
      <c r="F349" s="9" t="str">
        <f aca="false">IFERROR(IF(Raw_Donors!E349="","Unknown",Raw_Donors!E349),"Unknown")</f>
        <v>Female</v>
      </c>
      <c r="G349" s="9" t="str">
        <f aca="false">PROPER(TRIM(Raw_Donors!F349))</f>
        <v>Individual Donor</v>
      </c>
      <c r="H349" s="9" t="str">
        <f aca="false">IFERROR(IF(Raw_Donors!G349="","N",Raw_Donors!G349),"N")</f>
        <v>N</v>
      </c>
      <c r="I349" s="9" t="str">
        <f aca="false">IF(Raw_Donors!H349="","Not Rated",Raw_Donors!H349)</f>
        <v>Not Rated</v>
      </c>
      <c r="J349" s="9" t="str">
        <f aca="false">IF(TRIM(Raw_Donors!I349)="","Unknown",TRIM(Raw_Donors!I349))</f>
        <v>HOME</v>
      </c>
      <c r="K349" s="9" t="str">
        <f aca="false">Raw_Donors!J349</f>
        <v>N</v>
      </c>
      <c r="L349" s="9" t="n">
        <f aca="false">Raw_Donors!K349</f>
        <v>1</v>
      </c>
      <c r="M349" s="10" t="n">
        <f aca="false">IFERROR(VALUE(SUBSTITUTE(SUBSTITUTE(Raw_Donors!L349,"$",""),",","")),0)</f>
        <v>0</v>
      </c>
      <c r="N349" s="10" t="n">
        <f aca="false">IFERROR(VALUE(SUBSTITUTE(SUBSTITUTE(Raw_Donors!M349,"$",""),",","")),0)</f>
        <v>0</v>
      </c>
      <c r="O349" s="10" t="n">
        <f aca="false">IFERROR(VALUE(SUBSTITUTE(SUBSTITUTE(Raw_Donors!N349,"$",""),",","")),0)</f>
        <v>0</v>
      </c>
      <c r="P349" s="10" t="n">
        <f aca="false">IFERROR(VALUE(SUBSTITUTE(SUBSTITUTE(Raw_Donors!O349,"$",""),",","")),0)</f>
        <v>0</v>
      </c>
      <c r="Q349" s="10" t="n">
        <f aca="false">IFERROR(VALUE(SUBSTITUTE(SUBSTITUTE(Raw_Donors!P349,"$",""),",","")),0)</f>
        <v>0</v>
      </c>
      <c r="R349" s="10" t="n">
        <f aca="false">Raw_Donors!Q349</f>
        <v>50</v>
      </c>
      <c r="S349" s="9" t="str">
        <f aca="false">Raw_Donors!R349</f>
        <v>Y</v>
      </c>
      <c r="T349" s="9" t="str">
        <f aca="false">IF(Raw_Donors!S349="","",Raw_Donors!S349)</f>
        <v/>
      </c>
      <c r="U349" s="9" t="str">
        <f aca="false">IF(AND((O349+P349)&gt;0,Q349=0),"Lapsed - Follow Up","")</f>
        <v/>
      </c>
      <c r="V349" s="9" t="n">
        <f aca="false">RANK(R349,$R$2:$R$759)+COUNTIF($R$2:R349,R349)-1</f>
        <v>376</v>
      </c>
      <c r="W349" s="9" t="str">
        <f aca="false">IF(U349="Lapsed - Follow Up",COUNTIF($U$2:U349,"Lapsed - Follow Up"),"")</f>
        <v/>
      </c>
    </row>
    <row r="350" customFormat="false" ht="15" hidden="false" customHeight="true" outlineLevel="0" collapsed="false">
      <c r="A350" s="9" t="str">
        <f aca="false">Raw_Donors!A350</f>
        <v>D1348</v>
      </c>
      <c r="B350" s="9" t="str">
        <f aca="false">IF(ISNUMBER(SEARCH("-DUP",A350)),"Duplicate ID","")</f>
        <v/>
      </c>
      <c r="C350" s="9" t="n">
        <f aca="false">Raw_Donors!B350</f>
        <v>12819</v>
      </c>
      <c r="D350" s="9" t="n">
        <f aca="false">Raw_Donors!C350</f>
        <v>27</v>
      </c>
      <c r="E350" s="9" t="str">
        <f aca="false">IFERROR(IF(Raw_Donors!D350="","Unknown",Raw_Donors!D350),"Unknown")</f>
        <v>Unknown</v>
      </c>
      <c r="F350" s="9" t="str">
        <f aca="false">IFERROR(IF(Raw_Donors!E350="","Unknown",Raw_Donors!E350),"Unknown")</f>
        <v>Female</v>
      </c>
      <c r="G350" s="9" t="str">
        <f aca="false">PROPER(TRIM(Raw_Donors!F350))</f>
        <v>Individual Donor</v>
      </c>
      <c r="H350" s="9" t="str">
        <f aca="false">IFERROR(IF(Raw_Donors!G350="","N",Raw_Donors!G350),"N")</f>
        <v>N</v>
      </c>
      <c r="I350" s="9" t="str">
        <f aca="false">IF(Raw_Donors!H350="","Not Rated",Raw_Donors!H350)</f>
        <v>Not Rated</v>
      </c>
      <c r="J350" s="9" t="str">
        <f aca="false">IF(TRIM(Raw_Donors!I350)="","Unknown",TRIM(Raw_Donors!I350))</f>
        <v>HOME</v>
      </c>
      <c r="K350" s="9" t="str">
        <f aca="false">Raw_Donors!J350</f>
        <v>Y</v>
      </c>
      <c r="L350" s="9" t="n">
        <f aca="false">Raw_Donors!K350</f>
        <v>0</v>
      </c>
      <c r="M350" s="10" t="n">
        <f aca="false">IFERROR(VALUE(SUBSTITUTE(SUBSTITUTE(Raw_Donors!L350,"$",""),",","")),0)</f>
        <v>0</v>
      </c>
      <c r="N350" s="10" t="n">
        <f aca="false">IFERROR(VALUE(SUBSTITUTE(SUBSTITUTE(Raw_Donors!M350,"$",""),",","")),0)</f>
        <v>0</v>
      </c>
      <c r="O350" s="10" t="n">
        <f aca="false">IFERROR(VALUE(SUBSTITUTE(SUBSTITUTE(Raw_Donors!N350,"$",""),",","")),0)</f>
        <v>0</v>
      </c>
      <c r="P350" s="10" t="n">
        <f aca="false">IFERROR(VALUE(SUBSTITUTE(SUBSTITUTE(Raw_Donors!O350,"$",""),",","")),0)</f>
        <v>0</v>
      </c>
      <c r="Q350" s="10" t="n">
        <f aca="false">IFERROR(VALUE(SUBSTITUTE(SUBSTITUTE(Raw_Donors!P350,"$",""),",","")),0)</f>
        <v>0</v>
      </c>
      <c r="R350" s="10" t="n">
        <f aca="false">Raw_Donors!Q350</f>
        <v>120</v>
      </c>
      <c r="S350" s="9" t="str">
        <f aca="false">Raw_Donors!R350</f>
        <v>Y</v>
      </c>
      <c r="T350" s="9" t="str">
        <f aca="false">IF(Raw_Donors!S350="","",Raw_Donors!S350)</f>
        <v>1990-03-11</v>
      </c>
      <c r="U350" s="9" t="str">
        <f aca="false">IF(AND((O350+P350)&gt;0,Q350=0),"Lapsed - Follow Up","")</f>
        <v/>
      </c>
      <c r="V350" s="9" t="n">
        <f aca="false">RANK(R350,$R$2:$R$759)+COUNTIF($R$2:R350,R350)-1</f>
        <v>253</v>
      </c>
      <c r="W350" s="9" t="str">
        <f aca="false">IF(U350="Lapsed - Follow Up",COUNTIF($U$2:U350,"Lapsed - Follow Up"),"")</f>
        <v/>
      </c>
    </row>
    <row r="351" customFormat="false" ht="15" hidden="false" customHeight="true" outlineLevel="0" collapsed="false">
      <c r="A351" s="9" t="str">
        <f aca="false">Raw_Donors!A351</f>
        <v>D1349</v>
      </c>
      <c r="B351" s="9" t="str">
        <f aca="false">IF(ISNUMBER(SEARCH("-DUP",A351)),"Duplicate ID","")</f>
        <v/>
      </c>
      <c r="C351" s="9" t="n">
        <f aca="false">Raw_Donors!B351</f>
        <v>27427</v>
      </c>
      <c r="D351" s="9" t="n">
        <f aca="false">Raw_Donors!C351</f>
        <v>0</v>
      </c>
      <c r="E351" s="9" t="str">
        <f aca="false">IFERROR(IF(Raw_Donors!D351="","Unknown",Raw_Donors!D351),"Unknown")</f>
        <v>Unknown</v>
      </c>
      <c r="F351" s="9" t="str">
        <f aca="false">IFERROR(IF(Raw_Donors!E351="","Unknown",Raw_Donors!E351),"Unknown")</f>
        <v>Male</v>
      </c>
      <c r="G351" s="9" t="str">
        <f aca="false">PROPER(TRIM(Raw_Donors!F351))</f>
        <v>Community Partner</v>
      </c>
      <c r="H351" s="9" t="str">
        <f aca="false">IFERROR(IF(Raw_Donors!G351="","N",Raw_Donors!G351),"N")</f>
        <v>Y</v>
      </c>
      <c r="I351" s="9" t="str">
        <f aca="false">IF(Raw_Donors!H351="","Not Rated",Raw_Donors!H351)</f>
        <v>$50,000-$99,999</v>
      </c>
      <c r="J351" s="9" t="str">
        <f aca="false">IF(TRIM(Raw_Donors!I351)="","Unknown",TRIM(Raw_Donors!I351))</f>
        <v>HOME</v>
      </c>
      <c r="K351" s="9" t="str">
        <f aca="false">Raw_Donors!J351</f>
        <v>N</v>
      </c>
      <c r="L351" s="9" t="n">
        <f aca="false">Raw_Donors!K351</f>
        <v>2</v>
      </c>
      <c r="M351" s="10" t="n">
        <f aca="false">IFERROR(VALUE(SUBSTITUTE(SUBSTITUTE(Raw_Donors!L351,"$",""),",","")),0)</f>
        <v>0</v>
      </c>
      <c r="N351" s="10" t="n">
        <f aca="false">IFERROR(VALUE(SUBSTITUTE(SUBSTITUTE(Raw_Donors!M351,"$",""),",","")),0)</f>
        <v>0</v>
      </c>
      <c r="O351" s="10" t="n">
        <f aca="false">IFERROR(VALUE(SUBSTITUTE(SUBSTITUTE(Raw_Donors!N351,"$",""),",","")),0)</f>
        <v>0</v>
      </c>
      <c r="P351" s="10" t="n">
        <f aca="false">IFERROR(VALUE(SUBSTITUTE(SUBSTITUTE(Raw_Donors!O351,"$",""),",","")),0)</f>
        <v>0</v>
      </c>
      <c r="Q351" s="10" t="n">
        <f aca="false">IFERROR(VALUE(SUBSTITUTE(SUBSTITUTE(Raw_Donors!P351,"$",""),",","")),0)</f>
        <v>0</v>
      </c>
      <c r="R351" s="10" t="n">
        <f aca="false">Raw_Donors!Q351</f>
        <v>1</v>
      </c>
      <c r="S351" s="9" t="str">
        <f aca="false">Raw_Donors!R351</f>
        <v>Y</v>
      </c>
      <c r="T351" s="9" t="str">
        <f aca="false">IF(Raw_Donors!S351="","",Raw_Donors!S351)</f>
        <v/>
      </c>
      <c r="U351" s="9" t="str">
        <f aca="false">IF(AND((O351+P351)&gt;0,Q351=0),"Lapsed - Follow Up","")</f>
        <v/>
      </c>
      <c r="V351" s="9" t="n">
        <f aca="false">RANK(R351,$R$2:$R$759)+COUNTIF($R$2:R351,R351)-1</f>
        <v>540</v>
      </c>
      <c r="W351" s="9" t="str">
        <f aca="false">IF(U351="Lapsed - Follow Up",COUNTIF($U$2:U351,"Lapsed - Follow Up"),"")</f>
        <v/>
      </c>
    </row>
    <row r="352" customFormat="false" ht="15" hidden="false" customHeight="true" outlineLevel="0" collapsed="false">
      <c r="A352" s="9" t="str">
        <f aca="false">Raw_Donors!A352</f>
        <v>D1350</v>
      </c>
      <c r="B352" s="9" t="str">
        <f aca="false">IF(ISNUMBER(SEARCH("-DUP",A352)),"Duplicate ID","")</f>
        <v/>
      </c>
      <c r="C352" s="9" t="n">
        <f aca="false">Raw_Donors!B352</f>
        <v>98174</v>
      </c>
      <c r="D352" s="9" t="n">
        <f aca="false">Raw_Donors!C352</f>
        <v>46</v>
      </c>
      <c r="E352" s="9" t="str">
        <f aca="false">IFERROR(IF(Raw_Donors!D352="","Unknown",Raw_Donors!D352),"Unknown")</f>
        <v>Unknown</v>
      </c>
      <c r="F352" s="9" t="str">
        <f aca="false">IFERROR(IF(Raw_Donors!E352="","Unknown",Raw_Donors!E352),"Unknown")</f>
        <v>Male</v>
      </c>
      <c r="G352" s="9" t="str">
        <f aca="false">PROPER(TRIM(Raw_Donors!F352))</f>
        <v>Community Partner</v>
      </c>
      <c r="H352" s="9" t="str">
        <f aca="false">IFERROR(IF(Raw_Donors!G352="","N",Raw_Donors!G352),"N")</f>
        <v>Y</v>
      </c>
      <c r="I352" s="9" t="str">
        <f aca="false">IF(Raw_Donors!H352="","Not Rated",Raw_Donors!H352)</f>
        <v>Not Rated</v>
      </c>
      <c r="J352" s="9" t="str">
        <f aca="false">IF(TRIM(Raw_Donors!I352)="","Unknown",TRIM(Raw_Donors!I352))</f>
        <v>HOME</v>
      </c>
      <c r="K352" s="9" t="str">
        <f aca="false">Raw_Donors!J352</f>
        <v>Y</v>
      </c>
      <c r="L352" s="9" t="n">
        <f aca="false">Raw_Donors!K352</f>
        <v>1</v>
      </c>
      <c r="M352" s="10" t="n">
        <f aca="false">IFERROR(VALUE(SUBSTITUTE(SUBSTITUTE(Raw_Donors!L352,"$",""),",","")),0)</f>
        <v>0</v>
      </c>
      <c r="N352" s="10" t="n">
        <f aca="false">IFERROR(VALUE(SUBSTITUTE(SUBSTITUTE(Raw_Donors!M352,"$",""),",","")),0)</f>
        <v>0</v>
      </c>
      <c r="O352" s="10" t="n">
        <f aca="false">IFERROR(VALUE(SUBSTITUTE(SUBSTITUTE(Raw_Donors!N352,"$",""),",","")),0)</f>
        <v>0</v>
      </c>
      <c r="P352" s="10" t="n">
        <f aca="false">IFERROR(VALUE(SUBSTITUTE(SUBSTITUTE(Raw_Donors!O352,"$",""),",","")),0)</f>
        <v>0</v>
      </c>
      <c r="Q352" s="10" t="n">
        <f aca="false">IFERROR(VALUE(SUBSTITUTE(SUBSTITUTE(Raw_Donors!P352,"$",""),",","")),0)</f>
        <v>0</v>
      </c>
      <c r="R352" s="10" t="n">
        <f aca="false">Raw_Donors!Q352</f>
        <v>100</v>
      </c>
      <c r="S352" s="9" t="str">
        <f aca="false">Raw_Donors!R352</f>
        <v>Y</v>
      </c>
      <c r="T352" s="9" t="str">
        <f aca="false">IF(Raw_Donors!S352="","",Raw_Donors!S352)</f>
        <v>1971-03-19</v>
      </c>
      <c r="U352" s="9" t="str">
        <f aca="false">IF(AND((O352+P352)&gt;0,Q352=0),"Lapsed - Follow Up","")</f>
        <v/>
      </c>
      <c r="V352" s="9" t="n">
        <f aca="false">RANK(R352,$R$2:$R$759)+COUNTIF($R$2:R352,R352)-1</f>
        <v>284</v>
      </c>
      <c r="W352" s="9" t="str">
        <f aca="false">IF(U352="Lapsed - Follow Up",COUNTIF($U$2:U352,"Lapsed - Follow Up"),"")</f>
        <v/>
      </c>
    </row>
    <row r="353" customFormat="false" ht="15" hidden="false" customHeight="true" outlineLevel="0" collapsed="false">
      <c r="A353" s="9" t="str">
        <f aca="false">Raw_Donors!A353</f>
        <v>D1351</v>
      </c>
      <c r="B353" s="9" t="str">
        <f aca="false">IF(ISNUMBER(SEARCH("-DUP",A353)),"Duplicate ID","")</f>
        <v/>
      </c>
      <c r="C353" s="9" t="n">
        <f aca="false">Raw_Donors!B353</f>
        <v>90265</v>
      </c>
      <c r="D353" s="9" t="n">
        <f aca="false">Raw_Donors!C353</f>
        <v>50</v>
      </c>
      <c r="E353" s="9" t="str">
        <f aca="false">IFERROR(IF(Raw_Donors!D353="","Unknown",Raw_Donors!D353),"Unknown")</f>
        <v>Unknown</v>
      </c>
      <c r="F353" s="9" t="str">
        <f aca="false">IFERROR(IF(Raw_Donors!E353="","Unknown",Raw_Donors!E353),"Unknown")</f>
        <v>Female</v>
      </c>
      <c r="G353" s="9" t="str">
        <f aca="false">PROPER(TRIM(Raw_Donors!F353))</f>
        <v>Community Partner</v>
      </c>
      <c r="H353" s="9" t="str">
        <f aca="false">IFERROR(IF(Raw_Donors!G353="","N",Raw_Donors!G353),"N")</f>
        <v>Y</v>
      </c>
      <c r="I353" s="9" t="str">
        <f aca="false">IF(Raw_Donors!H353="","Not Rated",Raw_Donors!H353)</f>
        <v>Not Rated</v>
      </c>
      <c r="J353" s="9" t="str">
        <f aca="false">IF(TRIM(Raw_Donors!I353)="","Unknown",TRIM(Raw_Donors!I353))</f>
        <v>HOME</v>
      </c>
      <c r="K353" s="9" t="str">
        <f aca="false">Raw_Donors!J353</f>
        <v>N</v>
      </c>
      <c r="L353" s="9" t="n">
        <f aca="false">Raw_Donors!K353</f>
        <v>1</v>
      </c>
      <c r="M353" s="10" t="n">
        <f aca="false">IFERROR(VALUE(SUBSTITUTE(SUBSTITUTE(Raw_Donors!L353,"$",""),",","")),0)</f>
        <v>0</v>
      </c>
      <c r="N353" s="10" t="n">
        <f aca="false">IFERROR(VALUE(SUBSTITUTE(SUBSTITUTE(Raw_Donors!M353,"$",""),",","")),0)</f>
        <v>0</v>
      </c>
      <c r="O353" s="10" t="n">
        <f aca="false">IFERROR(VALUE(SUBSTITUTE(SUBSTITUTE(Raw_Donors!N353,"$",""),",","")),0)</f>
        <v>0</v>
      </c>
      <c r="P353" s="10" t="n">
        <f aca="false">IFERROR(VALUE(SUBSTITUTE(SUBSTITUTE(Raw_Donors!O353,"$",""),",","")),0)</f>
        <v>0</v>
      </c>
      <c r="Q353" s="10" t="n">
        <f aca="false">IFERROR(VALUE(SUBSTITUTE(SUBSTITUTE(Raw_Donors!P353,"$",""),",","")),0)</f>
        <v>0</v>
      </c>
      <c r="R353" s="10" t="n">
        <f aca="false">Raw_Donors!Q353</f>
        <v>240</v>
      </c>
      <c r="S353" s="9" t="str">
        <f aca="false">Raw_Donors!R353</f>
        <v>Y</v>
      </c>
      <c r="T353" s="9" t="str">
        <f aca="false">IF(Raw_Donors!S353="","",Raw_Donors!S353)</f>
        <v>1967-05-08</v>
      </c>
      <c r="U353" s="9" t="str">
        <f aca="false">IF(AND((O353+P353)&gt;0,Q353=0),"Lapsed - Follow Up","")</f>
        <v/>
      </c>
      <c r="V353" s="9" t="n">
        <f aca="false">RANK(R353,$R$2:$R$759)+COUNTIF($R$2:R353,R353)-1</f>
        <v>175</v>
      </c>
      <c r="W353" s="9" t="str">
        <f aca="false">IF(U353="Lapsed - Follow Up",COUNTIF($U$2:U353,"Lapsed - Follow Up"),"")</f>
        <v/>
      </c>
    </row>
    <row r="354" customFormat="false" ht="15" hidden="false" customHeight="true" outlineLevel="0" collapsed="false">
      <c r="A354" s="9" t="str">
        <f aca="false">Raw_Donors!A354</f>
        <v>D1352</v>
      </c>
      <c r="B354" s="9" t="str">
        <f aca="false">IF(ISNUMBER(SEARCH("-DUP",A354)),"Duplicate ID","")</f>
        <v/>
      </c>
      <c r="C354" s="9" t="n">
        <f aca="false">Raw_Donors!B354</f>
        <v>72616</v>
      </c>
      <c r="D354" s="9" t="n">
        <f aca="false">Raw_Donors!C354</f>
        <v>0</v>
      </c>
      <c r="E354" s="9" t="str">
        <f aca="false">IFERROR(IF(Raw_Donors!D354="","Unknown",Raw_Donors!D354),"Unknown")</f>
        <v>Married</v>
      </c>
      <c r="F354" s="9" t="str">
        <f aca="false">IFERROR(IF(Raw_Donors!E354="","Unknown",Raw_Donors!E354),"Unknown")</f>
        <v>Female</v>
      </c>
      <c r="G354" s="9" t="str">
        <f aca="false">PROPER(TRIM(Raw_Donors!F354))</f>
        <v>Individual Donor</v>
      </c>
      <c r="H354" s="9" t="str">
        <f aca="false">IFERROR(IF(Raw_Donors!G354="","N",Raw_Donors!G354),"N")</f>
        <v>N</v>
      </c>
      <c r="I354" s="9" t="str">
        <f aca="false">IF(Raw_Donors!H354="","Not Rated",Raw_Donors!H354)</f>
        <v>Not Rated</v>
      </c>
      <c r="J354" s="9" t="str">
        <f aca="false">IF(TRIM(Raw_Donors!I354)="","Unknown",TRIM(Raw_Donors!I354))</f>
        <v>HOME</v>
      </c>
      <c r="K354" s="9" t="str">
        <f aca="false">Raw_Donors!J354</f>
        <v>N</v>
      </c>
      <c r="L354" s="9" t="n">
        <f aca="false">Raw_Donors!K354</f>
        <v>4</v>
      </c>
      <c r="M354" s="10" t="n">
        <f aca="false">IFERROR(VALUE(SUBSTITUTE(SUBSTITUTE(Raw_Donors!L354,"$",""),",","")),0)</f>
        <v>30</v>
      </c>
      <c r="N354" s="10" t="n">
        <f aca="false">IFERROR(VALUE(SUBSTITUTE(SUBSTITUTE(Raw_Donors!M354,"$",""),",","")),0)</f>
        <v>0</v>
      </c>
      <c r="O354" s="10" t="n">
        <f aca="false">IFERROR(VALUE(SUBSTITUTE(SUBSTITUTE(Raw_Donors!N354,"$",""),",","")),0)</f>
        <v>0</v>
      </c>
      <c r="P354" s="10" t="n">
        <f aca="false">IFERROR(VALUE(SUBSTITUTE(SUBSTITUTE(Raw_Donors!O354,"$",""),",","")),0)</f>
        <v>0</v>
      </c>
      <c r="Q354" s="10" t="n">
        <f aca="false">IFERROR(VALUE(SUBSTITUTE(SUBSTITUTE(Raw_Donors!P354,"$",""),",","")),0)</f>
        <v>0</v>
      </c>
      <c r="R354" s="10" t="n">
        <f aca="false">Raw_Donors!Q354</f>
        <v>30</v>
      </c>
      <c r="S354" s="9" t="str">
        <f aca="false">Raw_Donors!R354</f>
        <v>Y</v>
      </c>
      <c r="T354" s="9" t="str">
        <f aca="false">IF(Raw_Donors!S354="","",Raw_Donors!S354)</f>
        <v/>
      </c>
      <c r="U354" s="9" t="str">
        <f aca="false">IF(AND((O354+P354)&gt;0,Q354=0),"Lapsed - Follow Up","")</f>
        <v/>
      </c>
      <c r="V354" s="9" t="n">
        <f aca="false">RANK(R354,$R$2:$R$759)+COUNTIF($R$2:R354,R354)-1</f>
        <v>418</v>
      </c>
      <c r="W354" s="9" t="str">
        <f aca="false">IF(U354="Lapsed - Follow Up",COUNTIF($U$2:U354,"Lapsed - Follow Up"),"")</f>
        <v/>
      </c>
    </row>
    <row r="355" customFormat="false" ht="15" hidden="false" customHeight="true" outlineLevel="0" collapsed="false">
      <c r="A355" s="9" t="str">
        <f aca="false">Raw_Donors!A355</f>
        <v>D1353</v>
      </c>
      <c r="B355" s="9" t="str">
        <f aca="false">IF(ISNUMBER(SEARCH("-DUP",A355)),"Duplicate ID","")</f>
        <v/>
      </c>
      <c r="C355" s="9" t="n">
        <f aca="false">Raw_Donors!B355</f>
        <v>89007</v>
      </c>
      <c r="D355" s="9" t="n">
        <f aca="false">Raw_Donors!C355</f>
        <v>0</v>
      </c>
      <c r="E355" s="9" t="str">
        <f aca="false">IFERROR(IF(Raw_Donors!D355="","Unknown",Raw_Donors!D355),"Unknown")</f>
        <v>Married</v>
      </c>
      <c r="F355" s="9" t="str">
        <f aca="false">IFERROR(IF(Raw_Donors!E355="","Unknown",Raw_Donors!E355),"Unknown")</f>
        <v>Female</v>
      </c>
      <c r="G355" s="9" t="str">
        <f aca="false">PROPER(TRIM(Raw_Donors!F355))</f>
        <v>Family Donor</v>
      </c>
      <c r="H355" s="9" t="str">
        <f aca="false">IFERROR(IF(Raw_Donors!G355="","N",Raw_Donors!G355),"N")</f>
        <v>N</v>
      </c>
      <c r="I355" s="9" t="str">
        <f aca="false">IF(Raw_Donors!H355="","Not Rated",Raw_Donors!H355)</f>
        <v>Not Rated</v>
      </c>
      <c r="J355" s="9" t="str">
        <f aca="false">IF(TRIM(Raw_Donors!I355)="","Unknown",TRIM(Raw_Donors!I355))</f>
        <v>HOME</v>
      </c>
      <c r="K355" s="9" t="str">
        <f aca="false">Raw_Donors!J355</f>
        <v>Y</v>
      </c>
      <c r="L355" s="9" t="n">
        <f aca="false">Raw_Donors!K355</f>
        <v>0</v>
      </c>
      <c r="M355" s="10" t="n">
        <f aca="false">IFERROR(VALUE(SUBSTITUTE(SUBSTITUTE(Raw_Donors!L355,"$",""),",","")),0)</f>
        <v>0</v>
      </c>
      <c r="N355" s="10" t="n">
        <f aca="false">IFERROR(VALUE(SUBSTITUTE(SUBSTITUTE(Raw_Donors!M355,"$",""),",","")),0)</f>
        <v>100</v>
      </c>
      <c r="O355" s="10" t="n">
        <f aca="false">IFERROR(VALUE(SUBSTITUTE(SUBSTITUTE(Raw_Donors!N355,"$",""),",","")),0)</f>
        <v>0</v>
      </c>
      <c r="P355" s="10" t="n">
        <f aca="false">IFERROR(VALUE(SUBSTITUTE(SUBSTITUTE(Raw_Donors!O355,"$",""),",","")),0)</f>
        <v>0</v>
      </c>
      <c r="Q355" s="10" t="n">
        <f aca="false">IFERROR(VALUE(SUBSTITUTE(SUBSTITUTE(Raw_Donors!P355,"$",""),",","")),0)</f>
        <v>0</v>
      </c>
      <c r="R355" s="10" t="n">
        <f aca="false">Raw_Donors!Q355</f>
        <v>340</v>
      </c>
      <c r="S355" s="9" t="str">
        <f aca="false">Raw_Donors!R355</f>
        <v>Y</v>
      </c>
      <c r="T355" s="9" t="str">
        <f aca="false">IF(Raw_Donors!S355="","",Raw_Donors!S355)</f>
        <v/>
      </c>
      <c r="U355" s="9" t="str">
        <f aca="false">IF(AND((O355+P355)&gt;0,Q355=0),"Lapsed - Follow Up","")</f>
        <v/>
      </c>
      <c r="V355" s="9" t="n">
        <f aca="false">RANK(R355,$R$2:$R$759)+COUNTIF($R$2:R355,R355)-1</f>
        <v>129</v>
      </c>
      <c r="W355" s="9" t="str">
        <f aca="false">IF(U355="Lapsed - Follow Up",COUNTIF($U$2:U355,"Lapsed - Follow Up"),"")</f>
        <v/>
      </c>
    </row>
    <row r="356" customFormat="false" ht="15" hidden="false" customHeight="true" outlineLevel="0" collapsed="false">
      <c r="A356" s="9" t="str">
        <f aca="false">Raw_Donors!A356</f>
        <v>D1354</v>
      </c>
      <c r="B356" s="9" t="str">
        <f aca="false">IF(ISNUMBER(SEARCH("-DUP",A356)),"Duplicate ID","")</f>
        <v/>
      </c>
      <c r="C356" s="9" t="n">
        <f aca="false">Raw_Donors!B356</f>
        <v>27866</v>
      </c>
      <c r="D356" s="9" t="n">
        <f aca="false">Raw_Donors!C356</f>
        <v>0</v>
      </c>
      <c r="E356" s="9" t="str">
        <f aca="false">IFERROR(IF(Raw_Donors!D356="","Unknown",Raw_Donors!D356),"Unknown")</f>
        <v>Unknown</v>
      </c>
      <c r="F356" s="9" t="str">
        <f aca="false">IFERROR(IF(Raw_Donors!E356="","Unknown",Raw_Donors!E356),"Unknown")</f>
        <v>Unknown</v>
      </c>
      <c r="G356" s="9" t="str">
        <f aca="false">PROPER(TRIM(Raw_Donors!F356))</f>
        <v>Individual Donor</v>
      </c>
      <c r="H356" s="9" t="str">
        <f aca="false">IFERROR(IF(Raw_Donors!G356="","N",Raw_Donors!G356),"N")</f>
        <v>N</v>
      </c>
      <c r="I356" s="9" t="str">
        <f aca="false">IF(Raw_Donors!H356="","Not Rated",Raw_Donors!H356)</f>
        <v>Not Rated</v>
      </c>
      <c r="J356" s="9" t="str">
        <f aca="false">IF(TRIM(Raw_Donors!I356)="","Unknown",TRIM(Raw_Donors!I356))</f>
        <v>HOME</v>
      </c>
      <c r="K356" s="9" t="str">
        <f aca="false">Raw_Donors!J356</f>
        <v>Y</v>
      </c>
      <c r="L356" s="9" t="n">
        <f aca="false">Raw_Donors!K356</f>
        <v>1</v>
      </c>
      <c r="M356" s="10" t="n">
        <f aca="false">IFERROR(VALUE(SUBSTITUTE(SUBSTITUTE(Raw_Donors!L356,"$",""),",","")),0)</f>
        <v>0</v>
      </c>
      <c r="N356" s="10" t="n">
        <f aca="false">IFERROR(VALUE(SUBSTITUTE(SUBSTITUTE(Raw_Donors!M356,"$",""),",","")),0)</f>
        <v>0</v>
      </c>
      <c r="O356" s="10" t="n">
        <f aca="false">IFERROR(VALUE(SUBSTITUTE(SUBSTITUTE(Raw_Donors!N356,"$",""),",","")),0)</f>
        <v>0</v>
      </c>
      <c r="P356" s="10" t="n">
        <f aca="false">IFERROR(VALUE(SUBSTITUTE(SUBSTITUTE(Raw_Donors!O356,"$",""),",","")),0)</f>
        <v>0</v>
      </c>
      <c r="Q356" s="10" t="n">
        <f aca="false">IFERROR(VALUE(SUBSTITUTE(SUBSTITUTE(Raw_Donors!P356,"$",""),",","")),0)</f>
        <v>0</v>
      </c>
      <c r="R356" s="10" t="n">
        <f aca="false">Raw_Donors!Q356</f>
        <v>192</v>
      </c>
      <c r="S356" s="9" t="str">
        <f aca="false">Raw_Donors!R356</f>
        <v>Y</v>
      </c>
      <c r="T356" s="9" t="str">
        <f aca="false">IF(Raw_Donors!S356="","",Raw_Donors!S356)</f>
        <v/>
      </c>
      <c r="U356" s="9" t="str">
        <f aca="false">IF(AND((O356+P356)&gt;0,Q356=0),"Lapsed - Follow Up","")</f>
        <v/>
      </c>
      <c r="V356" s="9" t="n">
        <f aca="false">RANK(R356,$R$2:$R$759)+COUNTIF($R$2:R356,R356)-1</f>
        <v>203</v>
      </c>
      <c r="W356" s="9" t="str">
        <f aca="false">IF(U356="Lapsed - Follow Up",COUNTIF($U$2:U356,"Lapsed - Follow Up"),"")</f>
        <v/>
      </c>
    </row>
    <row r="357" customFormat="false" ht="15" hidden="false" customHeight="true" outlineLevel="0" collapsed="false">
      <c r="A357" s="9" t="str">
        <f aca="false">Raw_Donors!A357</f>
        <v>D1355</v>
      </c>
      <c r="B357" s="9" t="str">
        <f aca="false">IF(ISNUMBER(SEARCH("-DUP",A357)),"Duplicate ID","")</f>
        <v/>
      </c>
      <c r="C357" s="9" t="n">
        <f aca="false">Raw_Donors!B357</f>
        <v>90265</v>
      </c>
      <c r="D357" s="9" t="n">
        <f aca="false">Raw_Donors!C357</f>
        <v>0</v>
      </c>
      <c r="E357" s="9" t="str">
        <f aca="false">IFERROR(IF(Raw_Donors!D357="","Unknown",Raw_Donors!D357),"Unknown")</f>
        <v>Married</v>
      </c>
      <c r="F357" s="9" t="str">
        <f aca="false">IFERROR(IF(Raw_Donors!E357="","Unknown",Raw_Donors!E357),"Unknown")</f>
        <v>Female</v>
      </c>
      <c r="G357" s="9" t="str">
        <f aca="false">PROPER(TRIM(Raw_Donors!F357))</f>
        <v>Family Donor</v>
      </c>
      <c r="H357" s="9" t="str">
        <f aca="false">IFERROR(IF(Raw_Donors!G357="","N",Raw_Donors!G357),"N")</f>
        <v>N</v>
      </c>
      <c r="I357" s="9" t="str">
        <f aca="false">IF(Raw_Donors!H357="","Not Rated",Raw_Donors!H357)</f>
        <v>Not Rated</v>
      </c>
      <c r="J357" s="9" t="str">
        <f aca="false">IF(TRIM(Raw_Donors!I357)="","Unknown",TRIM(Raw_Donors!I357))</f>
        <v>HOME</v>
      </c>
      <c r="K357" s="9" t="str">
        <f aca="false">Raw_Donors!J357</f>
        <v>N</v>
      </c>
      <c r="L357" s="9" t="n">
        <f aca="false">Raw_Donors!K357</f>
        <v>0</v>
      </c>
      <c r="M357" s="10" t="n">
        <f aca="false">IFERROR(VALUE(SUBSTITUTE(SUBSTITUTE(Raw_Donors!L357,"$",""),",","")),0)</f>
        <v>0</v>
      </c>
      <c r="N357" s="10" t="n">
        <f aca="false">IFERROR(VALUE(SUBSTITUTE(SUBSTITUTE(Raw_Donors!M357,"$",""),",","")),0)</f>
        <v>0</v>
      </c>
      <c r="O357" s="10" t="n">
        <f aca="false">IFERROR(VALUE(SUBSTITUTE(SUBSTITUTE(Raw_Donors!N357,"$",""),",","")),0)</f>
        <v>0</v>
      </c>
      <c r="P357" s="10" t="n">
        <f aca="false">IFERROR(VALUE(SUBSTITUTE(SUBSTITUTE(Raw_Donors!O357,"$",""),",","")),0)</f>
        <v>0</v>
      </c>
      <c r="Q357" s="10" t="n">
        <f aca="false">IFERROR(VALUE(SUBSTITUTE(SUBSTITUTE(Raw_Donors!P357,"$",""),",","")),0)</f>
        <v>0</v>
      </c>
      <c r="R357" s="10" t="n">
        <f aca="false">Raw_Donors!Q357</f>
        <v>50</v>
      </c>
      <c r="S357" s="9" t="str">
        <f aca="false">Raw_Donors!R357</f>
        <v>Y</v>
      </c>
      <c r="T357" s="9" t="str">
        <f aca="false">IF(Raw_Donors!S357="","",Raw_Donors!S357)</f>
        <v/>
      </c>
      <c r="U357" s="9" t="str">
        <f aca="false">IF(AND((O357+P357)&gt;0,Q357=0),"Lapsed - Follow Up","")</f>
        <v/>
      </c>
      <c r="V357" s="9" t="n">
        <f aca="false">RANK(R357,$R$2:$R$759)+COUNTIF($R$2:R357,R357)-1</f>
        <v>377</v>
      </c>
      <c r="W357" s="9" t="str">
        <f aca="false">IF(U357="Lapsed - Follow Up",COUNTIF($U$2:U357,"Lapsed - Follow Up"),"")</f>
        <v/>
      </c>
    </row>
    <row r="358" customFormat="false" ht="15" hidden="false" customHeight="true" outlineLevel="0" collapsed="false">
      <c r="A358" s="9" t="str">
        <f aca="false">Raw_Donors!A358</f>
        <v>D1356</v>
      </c>
      <c r="B358" s="9" t="str">
        <f aca="false">IF(ISNUMBER(SEARCH("-DUP",A358)),"Duplicate ID","")</f>
        <v/>
      </c>
      <c r="C358" s="9" t="n">
        <f aca="false">Raw_Donors!B358</f>
        <v>6511</v>
      </c>
      <c r="D358" s="9" t="n">
        <f aca="false">Raw_Donors!C358</f>
        <v>0</v>
      </c>
      <c r="E358" s="9" t="str">
        <f aca="false">IFERROR(IF(Raw_Donors!D358="","Unknown",Raw_Donors!D358),"Unknown")</f>
        <v>Single</v>
      </c>
      <c r="F358" s="9" t="str">
        <f aca="false">IFERROR(IF(Raw_Donors!E358="","Unknown",Raw_Donors!E358),"Unknown")</f>
        <v>Female</v>
      </c>
      <c r="G358" s="9" t="str">
        <f aca="false">PROPER(TRIM(Raw_Donors!F358))</f>
        <v>Individual Donor</v>
      </c>
      <c r="H358" s="9" t="str">
        <f aca="false">IFERROR(IF(Raw_Donors!G358="","N",Raw_Donors!G358),"N")</f>
        <v>N</v>
      </c>
      <c r="I358" s="9" t="str">
        <f aca="false">IF(Raw_Donors!H358="","Not Rated",Raw_Donors!H358)</f>
        <v>Not Rated</v>
      </c>
      <c r="J358" s="9" t="str">
        <f aca="false">IF(TRIM(Raw_Donors!I358)="","Unknown",TRIM(Raw_Donors!I358))</f>
        <v>HOME</v>
      </c>
      <c r="K358" s="9" t="str">
        <f aca="false">Raw_Donors!J358</f>
        <v>N</v>
      </c>
      <c r="L358" s="9" t="n">
        <f aca="false">Raw_Donors!K358</f>
        <v>5</v>
      </c>
      <c r="M358" s="10" t="n">
        <f aca="false">IFERROR(VALUE(SUBSTITUTE(SUBSTITUTE(Raw_Donors!L358,"$",""),",","")),0)</f>
        <v>10</v>
      </c>
      <c r="N358" s="10" t="n">
        <f aca="false">IFERROR(VALUE(SUBSTITUTE(SUBSTITUTE(Raw_Donors!M358,"$",""),",","")),0)</f>
        <v>0</v>
      </c>
      <c r="O358" s="10" t="n">
        <f aca="false">IFERROR(VALUE(SUBSTITUTE(SUBSTITUTE(Raw_Donors!N358,"$",""),",","")),0)</f>
        <v>0</v>
      </c>
      <c r="P358" s="10" t="n">
        <f aca="false">IFERROR(VALUE(SUBSTITUTE(SUBSTITUTE(Raw_Donors!O358,"$",""),",","")),0)</f>
        <v>0</v>
      </c>
      <c r="Q358" s="10" t="n">
        <f aca="false">IFERROR(VALUE(SUBSTITUTE(SUBSTITUTE(Raw_Donors!P358,"$",""),",","")),0)</f>
        <v>0</v>
      </c>
      <c r="R358" s="10" t="n">
        <f aca="false">Raw_Donors!Q358</f>
        <v>84</v>
      </c>
      <c r="S358" s="9" t="str">
        <f aca="false">Raw_Donors!R358</f>
        <v>Y</v>
      </c>
      <c r="T358" s="9" t="str">
        <f aca="false">IF(Raw_Donors!S358="","",Raw_Donors!S358)</f>
        <v/>
      </c>
      <c r="U358" s="9" t="str">
        <f aca="false">IF(AND((O358+P358)&gt;0,Q358=0),"Lapsed - Follow Up","")</f>
        <v/>
      </c>
      <c r="V358" s="9" t="n">
        <f aca="false">RANK(R358,$R$2:$R$759)+COUNTIF($R$2:R358,R358)-1</f>
        <v>320</v>
      </c>
      <c r="W358" s="9" t="str">
        <f aca="false">IF(U358="Lapsed - Follow Up",COUNTIF($U$2:U358,"Lapsed - Follow Up"),"")</f>
        <v/>
      </c>
    </row>
    <row r="359" customFormat="false" ht="15" hidden="false" customHeight="true" outlineLevel="0" collapsed="false">
      <c r="A359" s="9" t="str">
        <f aca="false">Raw_Donors!A359</f>
        <v>D1357</v>
      </c>
      <c r="B359" s="9" t="str">
        <f aca="false">IF(ISNUMBER(SEARCH("-DUP",A359)),"Duplicate ID","")</f>
        <v/>
      </c>
      <c r="C359" s="9" t="n">
        <f aca="false">Raw_Donors!B359</f>
        <v>25988</v>
      </c>
      <c r="D359" s="9" t="n">
        <f aca="false">Raw_Donors!C359</f>
        <v>0</v>
      </c>
      <c r="E359" s="9" t="str">
        <f aca="false">IFERROR(IF(Raw_Donors!D359="","Unknown",Raw_Donors!D359),"Unknown")</f>
        <v>Unknown</v>
      </c>
      <c r="F359" s="9" t="str">
        <f aca="false">IFERROR(IF(Raw_Donors!E359="","Unknown",Raw_Donors!E359),"Unknown")</f>
        <v>Female</v>
      </c>
      <c r="G359" s="9" t="str">
        <f aca="false">PROPER(TRIM(Raw_Donors!F359))</f>
        <v>Individual Donor</v>
      </c>
      <c r="H359" s="9" t="str">
        <f aca="false">IFERROR(IF(Raw_Donors!G359="","N",Raw_Donors!G359),"N")</f>
        <v>N</v>
      </c>
      <c r="I359" s="9" t="str">
        <f aca="false">IF(Raw_Donors!H359="","Not Rated",Raw_Donors!H359)</f>
        <v>Not Rated</v>
      </c>
      <c r="J359" s="9" t="str">
        <f aca="false">IF(TRIM(Raw_Donors!I359)="","Unknown",TRIM(Raw_Donors!I359))</f>
        <v>HOME</v>
      </c>
      <c r="K359" s="9" t="str">
        <f aca="false">Raw_Donors!J359</f>
        <v>N</v>
      </c>
      <c r="L359" s="9" t="n">
        <f aca="false">Raw_Donors!K359</f>
        <v>1</v>
      </c>
      <c r="M359" s="10" t="n">
        <f aca="false">IFERROR(VALUE(SUBSTITUTE(SUBSTITUTE(Raw_Donors!L359,"$",""),",","")),0)</f>
        <v>0</v>
      </c>
      <c r="N359" s="10" t="n">
        <f aca="false">IFERROR(VALUE(SUBSTITUTE(SUBSTITUTE(Raw_Donors!M359,"$",""),",","")),0)</f>
        <v>0</v>
      </c>
      <c r="O359" s="10" t="n">
        <f aca="false">IFERROR(VALUE(SUBSTITUTE(SUBSTITUTE(Raw_Donors!N359,"$",""),",","")),0)</f>
        <v>0</v>
      </c>
      <c r="P359" s="10" t="n">
        <f aca="false">IFERROR(VALUE(SUBSTITUTE(SUBSTITUTE(Raw_Donors!O359,"$",""),",","")),0)</f>
        <v>0</v>
      </c>
      <c r="Q359" s="10" t="n">
        <f aca="false">IFERROR(VALUE(SUBSTITUTE(SUBSTITUTE(Raw_Donors!P359,"$",""),",","")),0)</f>
        <v>0</v>
      </c>
      <c r="R359" s="10" t="n">
        <f aca="false">Raw_Donors!Q359</f>
        <v>105</v>
      </c>
      <c r="S359" s="9" t="str">
        <f aca="false">Raw_Donors!R359</f>
        <v>Y</v>
      </c>
      <c r="T359" s="9" t="str">
        <f aca="false">IF(Raw_Donors!S359="","",Raw_Donors!S359)</f>
        <v/>
      </c>
      <c r="U359" s="9" t="str">
        <f aca="false">IF(AND((O359+P359)&gt;0,Q359=0),"Lapsed - Follow Up","")</f>
        <v/>
      </c>
      <c r="V359" s="9" t="n">
        <f aca="false">RANK(R359,$R$2:$R$759)+COUNTIF($R$2:R359,R359)-1</f>
        <v>267</v>
      </c>
      <c r="W359" s="9" t="str">
        <f aca="false">IF(U359="Lapsed - Follow Up",COUNTIF($U$2:U359,"Lapsed - Follow Up"),"")</f>
        <v/>
      </c>
    </row>
    <row r="360" customFormat="false" ht="15" hidden="false" customHeight="true" outlineLevel="0" collapsed="false">
      <c r="A360" s="9" t="str">
        <f aca="false">Raw_Donors!A360</f>
        <v>D1358</v>
      </c>
      <c r="B360" s="9" t="str">
        <f aca="false">IF(ISNUMBER(SEARCH("-DUP",A360)),"Duplicate ID","")</f>
        <v/>
      </c>
      <c r="C360" s="9" t="n">
        <f aca="false">Raw_Donors!B360</f>
        <v>4497</v>
      </c>
      <c r="D360" s="9" t="n">
        <f aca="false">Raw_Donors!C360</f>
        <v>0</v>
      </c>
      <c r="E360" s="9" t="str">
        <f aca="false">IFERROR(IF(Raw_Donors!D360="","Unknown",Raw_Donors!D360),"Unknown")</f>
        <v>Unknown</v>
      </c>
      <c r="F360" s="9" t="str">
        <f aca="false">IFERROR(IF(Raw_Donors!E360="","Unknown",Raw_Donors!E360),"Unknown")</f>
        <v>Male</v>
      </c>
      <c r="G360" s="9" t="str">
        <f aca="false">PROPER(TRIM(Raw_Donors!F360))</f>
        <v>Individual Donor</v>
      </c>
      <c r="H360" s="9" t="str">
        <f aca="false">IFERROR(IF(Raw_Donors!G360="","N",Raw_Donors!G360),"N")</f>
        <v>N</v>
      </c>
      <c r="I360" s="9" t="str">
        <f aca="false">IF(Raw_Donors!H360="","Not Rated",Raw_Donors!H360)</f>
        <v>Not Rated</v>
      </c>
      <c r="J360" s="9" t="str">
        <f aca="false">IF(TRIM(Raw_Donors!I360)="","Unknown",TRIM(Raw_Donors!I360))</f>
        <v>Unknown</v>
      </c>
      <c r="K360" s="9" t="str">
        <f aca="false">Raw_Donors!J360</f>
        <v>N</v>
      </c>
      <c r="L360" s="9" t="n">
        <f aca="false">Raw_Donors!K360</f>
        <v>0</v>
      </c>
      <c r="M360" s="10" t="n">
        <f aca="false">IFERROR(VALUE(SUBSTITUTE(SUBSTITUTE(Raw_Donors!L360,"$",""),",","")),0)</f>
        <v>0</v>
      </c>
      <c r="N360" s="10" t="n">
        <f aca="false">IFERROR(VALUE(SUBSTITUTE(SUBSTITUTE(Raw_Donors!M360,"$",""),",","")),0)</f>
        <v>0</v>
      </c>
      <c r="O360" s="10" t="n">
        <f aca="false">IFERROR(VALUE(SUBSTITUTE(SUBSTITUTE(Raw_Donors!N360,"$",""),",","")),0)</f>
        <v>0</v>
      </c>
      <c r="P360" s="10" t="n">
        <f aca="false">IFERROR(VALUE(SUBSTITUTE(SUBSTITUTE(Raw_Donors!O360,"$",""),",","")),0)</f>
        <v>0</v>
      </c>
      <c r="Q360" s="10" t="n">
        <f aca="false">IFERROR(VALUE(SUBSTITUTE(SUBSTITUTE(Raw_Donors!P360,"$",""),",","")),0)</f>
        <v>0</v>
      </c>
      <c r="R360" s="10" t="n">
        <f aca="false">Raw_Donors!Q360</f>
        <v>0</v>
      </c>
      <c r="S360" s="9" t="str">
        <f aca="false">Raw_Donors!R360</f>
        <v>N</v>
      </c>
      <c r="T360" s="9" t="str">
        <f aca="false">IF(Raw_Donors!S360="","",Raw_Donors!S360)</f>
        <v/>
      </c>
      <c r="U360" s="9" t="str">
        <f aca="false">IF(AND((O360+P360)&gt;0,Q360=0),"Lapsed - Follow Up","")</f>
        <v/>
      </c>
      <c r="V360" s="9" t="n">
        <f aca="false">RANK(R360,$R$2:$R$759)+COUNTIF($R$2:R360,R360)-1</f>
        <v>648</v>
      </c>
      <c r="W360" s="9" t="str">
        <f aca="false">IF(U360="Lapsed - Follow Up",COUNTIF($U$2:U360,"Lapsed - Follow Up"),"")</f>
        <v/>
      </c>
    </row>
    <row r="361" customFormat="false" ht="15" hidden="false" customHeight="true" outlineLevel="0" collapsed="false">
      <c r="A361" s="9" t="str">
        <f aca="false">Raw_Donors!A361</f>
        <v>D1359</v>
      </c>
      <c r="B361" s="9" t="str">
        <f aca="false">IF(ISNUMBER(SEARCH("-DUP",A361)),"Duplicate ID","")</f>
        <v/>
      </c>
      <c r="C361" s="9" t="n">
        <f aca="false">Raw_Donors!B361</f>
        <v>61759</v>
      </c>
      <c r="D361" s="9" t="n">
        <f aca="false">Raw_Donors!C361</f>
        <v>84</v>
      </c>
      <c r="E361" s="9" t="str">
        <f aca="false">IFERROR(IF(Raw_Donors!D361="","Unknown",Raw_Donors!D361),"Unknown")</f>
        <v>Unknown</v>
      </c>
      <c r="F361" s="9" t="str">
        <f aca="false">IFERROR(IF(Raw_Donors!E361="","Unknown",Raw_Donors!E361),"Unknown")</f>
        <v>Female</v>
      </c>
      <c r="G361" s="9" t="str">
        <f aca="false">PROPER(TRIM(Raw_Donors!F361))</f>
        <v>Individual Donor</v>
      </c>
      <c r="H361" s="9" t="str">
        <f aca="false">IFERROR(IF(Raw_Donors!G361="","N",Raw_Donors!G361),"N")</f>
        <v>Y</v>
      </c>
      <c r="I361" s="9" t="str">
        <f aca="false">IF(Raw_Donors!H361="","Not Rated",Raw_Donors!H361)</f>
        <v>Not Rated</v>
      </c>
      <c r="J361" s="9" t="str">
        <f aca="false">IF(TRIM(Raw_Donors!I361)="","Unknown",TRIM(Raw_Donors!I361))</f>
        <v>HOME</v>
      </c>
      <c r="K361" s="9" t="str">
        <f aca="false">Raw_Donors!J361</f>
        <v>N</v>
      </c>
      <c r="L361" s="9" t="n">
        <f aca="false">Raw_Donors!K361</f>
        <v>3</v>
      </c>
      <c r="M361" s="10" t="n">
        <f aca="false">IFERROR(VALUE(SUBSTITUTE(SUBSTITUTE(Raw_Donors!L361,"$",""),",","")),0)</f>
        <v>375</v>
      </c>
      <c r="N361" s="10" t="n">
        <f aca="false">IFERROR(VALUE(SUBSTITUTE(SUBSTITUTE(Raw_Donors!M361,"$",""),",","")),0)</f>
        <v>0</v>
      </c>
      <c r="O361" s="10" t="n">
        <f aca="false">IFERROR(VALUE(SUBSTITUTE(SUBSTITUTE(Raw_Donors!N361,"$",""),",","")),0)</f>
        <v>0</v>
      </c>
      <c r="P361" s="10" t="n">
        <f aca="false">IFERROR(VALUE(SUBSTITUTE(SUBSTITUTE(Raw_Donors!O361,"$",""),",","")),0)</f>
        <v>1</v>
      </c>
      <c r="Q361" s="10" t="n">
        <f aca="false">IFERROR(VALUE(SUBSTITUTE(SUBSTITUTE(Raw_Donors!P361,"$",""),",","")),0)</f>
        <v>0</v>
      </c>
      <c r="R361" s="10" t="n">
        <f aca="false">Raw_Donors!Q361</f>
        <v>376</v>
      </c>
      <c r="S361" s="9" t="str">
        <f aca="false">Raw_Donors!R361</f>
        <v>Y</v>
      </c>
      <c r="T361" s="9" t="str">
        <f aca="false">IF(Raw_Donors!S361="","",Raw_Donors!S361)</f>
        <v>1933-03-08</v>
      </c>
      <c r="U361" s="9" t="str">
        <f aca="false">IF(AND((O361+P361)&gt;0,Q361=0),"Lapsed - Follow Up","")</f>
        <v>Lapsed - Follow Up</v>
      </c>
      <c r="V361" s="9" t="n">
        <f aca="false">RANK(R361,$R$2:$R$759)+COUNTIF($R$2:R361,R361)-1</f>
        <v>118</v>
      </c>
      <c r="W361" s="9" t="n">
        <f aca="false">IF(U361="Lapsed - Follow Up",COUNTIF($U$2:U361,"Lapsed - Follow Up"),"")</f>
        <v>52</v>
      </c>
    </row>
    <row r="362" customFormat="false" ht="15" hidden="false" customHeight="true" outlineLevel="0" collapsed="false">
      <c r="A362" s="9" t="str">
        <f aca="false">Raw_Donors!A362</f>
        <v>D1360</v>
      </c>
      <c r="B362" s="9" t="str">
        <f aca="false">IF(ISNUMBER(SEARCH("-DUP",A362)),"Duplicate ID","")</f>
        <v/>
      </c>
      <c r="C362" s="9" t="n">
        <f aca="false">Raw_Donors!B362</f>
        <v>70049</v>
      </c>
      <c r="D362" s="9" t="n">
        <f aca="false">Raw_Donors!C362</f>
        <v>0</v>
      </c>
      <c r="E362" s="9" t="str">
        <f aca="false">IFERROR(IF(Raw_Donors!D362="","Unknown",Raw_Donors!D362),"Unknown")</f>
        <v>Married</v>
      </c>
      <c r="F362" s="9" t="str">
        <f aca="false">IFERROR(IF(Raw_Donors!E362="","Unknown",Raw_Donors!E362),"Unknown")</f>
        <v>Male</v>
      </c>
      <c r="G362" s="9" t="str">
        <f aca="false">PROPER(TRIM(Raw_Donors!F362))</f>
        <v>Family Donor</v>
      </c>
      <c r="H362" s="9" t="str">
        <f aca="false">IFERROR(IF(Raw_Donors!G362="","N",Raw_Donors!G362),"N")</f>
        <v>N</v>
      </c>
      <c r="I362" s="9" t="str">
        <f aca="false">IF(Raw_Donors!H362="","Not Rated",Raw_Donors!H362)</f>
        <v>$50,000-$99,999</v>
      </c>
      <c r="J362" s="9" t="str">
        <f aca="false">IF(TRIM(Raw_Donors!I362)="","Unknown",TRIM(Raw_Donors!I362))</f>
        <v>HOME</v>
      </c>
      <c r="K362" s="9" t="str">
        <f aca="false">Raw_Donors!J362</f>
        <v>Y</v>
      </c>
      <c r="L362" s="9" t="n">
        <f aca="false">Raw_Donors!K362</f>
        <v>0</v>
      </c>
      <c r="M362" s="10" t="n">
        <f aca="false">IFERROR(VALUE(SUBSTITUTE(SUBSTITUTE(Raw_Donors!L362,"$",""),",","")),0)</f>
        <v>0</v>
      </c>
      <c r="N362" s="10" t="n">
        <f aca="false">IFERROR(VALUE(SUBSTITUTE(SUBSTITUTE(Raw_Donors!M362,"$",""),",","")),0)</f>
        <v>0</v>
      </c>
      <c r="O362" s="10" t="n">
        <f aca="false">IFERROR(VALUE(SUBSTITUTE(SUBSTITUTE(Raw_Donors!N362,"$",""),",","")),0)</f>
        <v>0</v>
      </c>
      <c r="P362" s="10" t="n">
        <f aca="false">IFERROR(VALUE(SUBSTITUTE(SUBSTITUTE(Raw_Donors!O362,"$",""),",","")),0)</f>
        <v>0</v>
      </c>
      <c r="Q362" s="10" t="n">
        <f aca="false">IFERROR(VALUE(SUBSTITUTE(SUBSTITUTE(Raw_Donors!P362,"$",""),",","")),0)</f>
        <v>0</v>
      </c>
      <c r="R362" s="10" t="n">
        <f aca="false">Raw_Donors!Q362</f>
        <v>100</v>
      </c>
      <c r="S362" s="9" t="str">
        <f aca="false">Raw_Donors!R362</f>
        <v>Y</v>
      </c>
      <c r="T362" s="9" t="str">
        <f aca="false">IF(Raw_Donors!S362="","",Raw_Donors!S362)</f>
        <v/>
      </c>
      <c r="U362" s="9" t="str">
        <f aca="false">IF(AND((O362+P362)&gt;0,Q362=0),"Lapsed - Follow Up","")</f>
        <v/>
      </c>
      <c r="V362" s="9" t="n">
        <f aca="false">RANK(R362,$R$2:$R$759)+COUNTIF($R$2:R362,R362)-1</f>
        <v>285</v>
      </c>
      <c r="W362" s="9" t="str">
        <f aca="false">IF(U362="Lapsed - Follow Up",COUNTIF($U$2:U362,"Lapsed - Follow Up"),"")</f>
        <v/>
      </c>
    </row>
    <row r="363" customFormat="false" ht="15" hidden="false" customHeight="true" outlineLevel="0" collapsed="false">
      <c r="A363" s="9" t="str">
        <f aca="false">Raw_Donors!A363</f>
        <v>D1361</v>
      </c>
      <c r="B363" s="9" t="str">
        <f aca="false">IF(ISNUMBER(SEARCH("-DUP",A363)),"Duplicate ID","")</f>
        <v/>
      </c>
      <c r="C363" s="9" t="n">
        <f aca="false">Raw_Donors!B363</f>
        <v>94164</v>
      </c>
      <c r="D363" s="9" t="n">
        <f aca="false">Raw_Donors!C363</f>
        <v>0</v>
      </c>
      <c r="E363" s="9" t="str">
        <f aca="false">IFERROR(IF(Raw_Donors!D363="","Unknown",Raw_Donors!D363),"Unknown")</f>
        <v>Married</v>
      </c>
      <c r="F363" s="9" t="str">
        <f aca="false">IFERROR(IF(Raw_Donors!E363="","Unknown",Raw_Donors!E363),"Unknown")</f>
        <v>Male</v>
      </c>
      <c r="G363" s="9" t="str">
        <f aca="false">PROPER(TRIM(Raw_Donors!F363))</f>
        <v>Individual Donor</v>
      </c>
      <c r="H363" s="9" t="str">
        <f aca="false">IFERROR(IF(Raw_Donors!G363="","N",Raw_Donors!G363),"N")</f>
        <v>Y</v>
      </c>
      <c r="I363" s="9" t="str">
        <f aca="false">IF(Raw_Donors!H363="","Not Rated",Raw_Donors!H363)</f>
        <v>Not Rated</v>
      </c>
      <c r="J363" s="9" t="str">
        <f aca="false">IF(TRIM(Raw_Donors!I363)="","Unknown",TRIM(Raw_Donors!I363))</f>
        <v>HOME</v>
      </c>
      <c r="K363" s="9" t="str">
        <f aca="false">Raw_Donors!J363</f>
        <v>N</v>
      </c>
      <c r="L363" s="9" t="n">
        <f aca="false">Raw_Donors!K363</f>
        <v>2</v>
      </c>
      <c r="M363" s="10" t="n">
        <f aca="false">IFERROR(VALUE(SUBSTITUTE(SUBSTITUTE(Raw_Donors!L363,"$",""),",","")),0)</f>
        <v>0</v>
      </c>
      <c r="N363" s="10" t="n">
        <f aca="false">IFERROR(VALUE(SUBSTITUTE(SUBSTITUTE(Raw_Donors!M363,"$",""),",","")),0)</f>
        <v>0</v>
      </c>
      <c r="O363" s="10" t="n">
        <f aca="false">IFERROR(VALUE(SUBSTITUTE(SUBSTITUTE(Raw_Donors!N363,"$",""),",","")),0)</f>
        <v>0</v>
      </c>
      <c r="P363" s="10" t="n">
        <f aca="false">IFERROR(VALUE(SUBSTITUTE(SUBSTITUTE(Raw_Donors!O363,"$",""),",","")),0)</f>
        <v>0</v>
      </c>
      <c r="Q363" s="10" t="n">
        <f aca="false">IFERROR(VALUE(SUBSTITUTE(SUBSTITUTE(Raw_Donors!P363,"$",""),",","")),0)</f>
        <v>0</v>
      </c>
      <c r="R363" s="10" t="n">
        <f aca="false">Raw_Donors!Q363</f>
        <v>100</v>
      </c>
      <c r="S363" s="9" t="str">
        <f aca="false">Raw_Donors!R363</f>
        <v>Y</v>
      </c>
      <c r="T363" s="9" t="str">
        <f aca="false">IF(Raw_Donors!S363="","",Raw_Donors!S363)</f>
        <v/>
      </c>
      <c r="U363" s="9" t="str">
        <f aca="false">IF(AND((O363+P363)&gt;0,Q363=0),"Lapsed - Follow Up","")</f>
        <v/>
      </c>
      <c r="V363" s="9" t="n">
        <f aca="false">RANK(R363,$R$2:$R$759)+COUNTIF($R$2:R363,R363)-1</f>
        <v>286</v>
      </c>
      <c r="W363" s="9" t="str">
        <f aca="false">IF(U363="Lapsed - Follow Up",COUNTIF($U$2:U363,"Lapsed - Follow Up"),"")</f>
        <v/>
      </c>
    </row>
    <row r="364" customFormat="false" ht="15" hidden="false" customHeight="true" outlineLevel="0" collapsed="false">
      <c r="A364" s="9" t="str">
        <f aca="false">Raw_Donors!A364</f>
        <v>D1362</v>
      </c>
      <c r="B364" s="9" t="str">
        <f aca="false">IF(ISNUMBER(SEARCH("-DUP",A364)),"Duplicate ID","")</f>
        <v/>
      </c>
      <c r="C364" s="9" t="n">
        <f aca="false">Raw_Donors!B364</f>
        <v>95022</v>
      </c>
      <c r="D364" s="9" t="n">
        <f aca="false">Raw_Donors!C364</f>
        <v>0</v>
      </c>
      <c r="E364" s="9" t="str">
        <f aca="false">IFERROR(IF(Raw_Donors!D364="","Unknown",Raw_Donors!D364),"Unknown")</f>
        <v>Unknown</v>
      </c>
      <c r="F364" s="9" t="str">
        <f aca="false">IFERROR(IF(Raw_Donors!E364="","Unknown",Raw_Donors!E364),"Unknown")</f>
        <v>Male</v>
      </c>
      <c r="G364" s="9" t="str">
        <f aca="false">PROPER(TRIM(Raw_Donors!F364))</f>
        <v>Individual Donor</v>
      </c>
      <c r="H364" s="9" t="str">
        <f aca="false">IFERROR(IF(Raw_Donors!G364="","N",Raw_Donors!G364),"N")</f>
        <v>Y</v>
      </c>
      <c r="I364" s="9" t="str">
        <f aca="false">IF(Raw_Donors!H364="","Not Rated",Raw_Donors!H364)</f>
        <v>Not Rated</v>
      </c>
      <c r="J364" s="9" t="str">
        <f aca="false">IF(TRIM(Raw_Donors!I364)="","Unknown",TRIM(Raw_Donors!I364))</f>
        <v>HOME</v>
      </c>
      <c r="K364" s="9" t="str">
        <f aca="false">Raw_Donors!J364</f>
        <v>Y</v>
      </c>
      <c r="L364" s="9" t="n">
        <f aca="false">Raw_Donors!K364</f>
        <v>4</v>
      </c>
      <c r="M364" s="10" t="n">
        <f aca="false">IFERROR(VALUE(SUBSTITUTE(SUBSTITUTE(Raw_Donors!L364,"$",""),",","")),0)</f>
        <v>0</v>
      </c>
      <c r="N364" s="10" t="n">
        <f aca="false">IFERROR(VALUE(SUBSTITUTE(SUBSTITUTE(Raw_Donors!M364,"$",""),",","")),0)</f>
        <v>0</v>
      </c>
      <c r="O364" s="10" t="n">
        <f aca="false">IFERROR(VALUE(SUBSTITUTE(SUBSTITUTE(Raw_Donors!N364,"$",""),",","")),0)</f>
        <v>0</v>
      </c>
      <c r="P364" s="10" t="n">
        <f aca="false">IFERROR(VALUE(SUBSTITUTE(SUBSTITUTE(Raw_Donors!O364,"$",""),",","")),0)</f>
        <v>0</v>
      </c>
      <c r="Q364" s="10" t="n">
        <f aca="false">IFERROR(VALUE(SUBSTITUTE(SUBSTITUTE(Raw_Donors!P364,"$",""),",","")),0)</f>
        <v>0</v>
      </c>
      <c r="R364" s="10" t="n">
        <f aca="false">Raw_Donors!Q364</f>
        <v>0</v>
      </c>
      <c r="S364" s="9" t="str">
        <f aca="false">Raw_Donors!R364</f>
        <v>N</v>
      </c>
      <c r="T364" s="9" t="str">
        <f aca="false">IF(Raw_Donors!S364="","",Raw_Donors!S364)</f>
        <v/>
      </c>
      <c r="U364" s="9" t="str">
        <f aca="false">IF(AND((O364+P364)&gt;0,Q364=0),"Lapsed - Follow Up","")</f>
        <v/>
      </c>
      <c r="V364" s="9" t="n">
        <f aca="false">RANK(R364,$R$2:$R$759)+COUNTIF($R$2:R364,R364)-1</f>
        <v>649</v>
      </c>
      <c r="W364" s="9" t="str">
        <f aca="false">IF(U364="Lapsed - Follow Up",COUNTIF($U$2:U364,"Lapsed - Follow Up"),"")</f>
        <v/>
      </c>
    </row>
    <row r="365" customFormat="false" ht="15" hidden="false" customHeight="true" outlineLevel="0" collapsed="false">
      <c r="A365" s="9" t="str">
        <f aca="false">Raw_Donors!A365</f>
        <v>D1363</v>
      </c>
      <c r="B365" s="9" t="str">
        <f aca="false">IF(ISNUMBER(SEARCH("-DUP",A365)),"Duplicate ID","")</f>
        <v/>
      </c>
      <c r="C365" s="9" t="n">
        <f aca="false">Raw_Donors!B365</f>
        <v>79110</v>
      </c>
      <c r="D365" s="9" t="n">
        <f aca="false">Raw_Donors!C365</f>
        <v>0</v>
      </c>
      <c r="E365" s="9" t="str">
        <f aca="false">IFERROR(IF(Raw_Donors!D365="","Unknown",Raw_Donors!D365),"Unknown")</f>
        <v>Unknown</v>
      </c>
      <c r="F365" s="9" t="str">
        <f aca="false">IFERROR(IF(Raw_Donors!E365="","Unknown",Raw_Donors!E365),"Unknown")</f>
        <v>Female</v>
      </c>
      <c r="G365" s="9" t="str">
        <f aca="false">PROPER(TRIM(Raw_Donors!F365))</f>
        <v>Individual Donor</v>
      </c>
      <c r="H365" s="9" t="str">
        <f aca="false">IFERROR(IF(Raw_Donors!G365="","N",Raw_Donors!G365),"N")</f>
        <v>N</v>
      </c>
      <c r="I365" s="9" t="str">
        <f aca="false">IF(Raw_Donors!H365="","Not Rated",Raw_Donors!H365)</f>
        <v>Not Rated</v>
      </c>
      <c r="J365" s="9" t="str">
        <f aca="false">IF(TRIM(Raw_Donors!I365)="","Unknown",TRIM(Raw_Donors!I365))</f>
        <v>HOME</v>
      </c>
      <c r="K365" s="9" t="str">
        <f aca="false">Raw_Donors!J365</f>
        <v>N</v>
      </c>
      <c r="L365" s="9" t="n">
        <f aca="false">Raw_Donors!K365</f>
        <v>11</v>
      </c>
      <c r="M365" s="10" t="n">
        <f aca="false">IFERROR(VALUE(SUBSTITUTE(SUBSTITUTE(Raw_Donors!L365,"$",""),",","")),0)</f>
        <v>0</v>
      </c>
      <c r="N365" s="10" t="n">
        <f aca="false">IFERROR(VALUE(SUBSTITUTE(SUBSTITUTE(Raw_Donors!M365,"$",""),",","")),0)</f>
        <v>0</v>
      </c>
      <c r="O365" s="10" t="n">
        <f aca="false">IFERROR(VALUE(SUBSTITUTE(SUBSTITUTE(Raw_Donors!N365,"$",""),",","")),0)</f>
        <v>0</v>
      </c>
      <c r="P365" s="10" t="n">
        <f aca="false">IFERROR(VALUE(SUBSTITUTE(SUBSTITUTE(Raw_Donors!O365,"$",""),",","")),0)</f>
        <v>0</v>
      </c>
      <c r="Q365" s="10" t="n">
        <f aca="false">IFERROR(VALUE(SUBSTITUTE(SUBSTITUTE(Raw_Donors!P365,"$",""),",","")),0)</f>
        <v>0</v>
      </c>
      <c r="R365" s="10" t="n">
        <f aca="false">Raw_Donors!Q365</f>
        <v>2200</v>
      </c>
      <c r="S365" s="9" t="str">
        <f aca="false">Raw_Donors!R365</f>
        <v>Y</v>
      </c>
      <c r="T365" s="9" t="str">
        <f aca="false">IF(Raw_Donors!S365="","",Raw_Donors!S365)</f>
        <v/>
      </c>
      <c r="U365" s="9" t="str">
        <f aca="false">IF(AND((O365+P365)&gt;0,Q365=0),"Lapsed - Follow Up","")</f>
        <v/>
      </c>
      <c r="V365" s="9" t="n">
        <f aca="false">RANK(R365,$R$2:$R$759)+COUNTIF($R$2:R365,R365)-1</f>
        <v>27</v>
      </c>
      <c r="W365" s="9" t="str">
        <f aca="false">IF(U365="Lapsed - Follow Up",COUNTIF($U$2:U365,"Lapsed - Follow Up"),"")</f>
        <v/>
      </c>
    </row>
    <row r="366" customFormat="false" ht="15" hidden="false" customHeight="true" outlineLevel="0" collapsed="false">
      <c r="A366" s="9" t="str">
        <f aca="false">Raw_Donors!A366</f>
        <v>D1364</v>
      </c>
      <c r="B366" s="9" t="str">
        <f aca="false">IF(ISNUMBER(SEARCH("-DUP",A366)),"Duplicate ID","")</f>
        <v/>
      </c>
      <c r="C366" s="9" t="n">
        <f aca="false">Raw_Donors!B366</f>
        <v>90265</v>
      </c>
      <c r="D366" s="9" t="n">
        <f aca="false">Raw_Donors!C366</f>
        <v>0</v>
      </c>
      <c r="E366" s="9" t="str">
        <f aca="false">IFERROR(IF(Raw_Donors!D366="","Unknown",Raw_Donors!D366),"Unknown")</f>
        <v>Unknown</v>
      </c>
      <c r="F366" s="9" t="str">
        <f aca="false">IFERROR(IF(Raw_Donors!E366="","Unknown",Raw_Donors!E366),"Unknown")</f>
        <v>Male</v>
      </c>
      <c r="G366" s="9" t="str">
        <f aca="false">PROPER(TRIM(Raw_Donors!F366))</f>
        <v>Individual Donor</v>
      </c>
      <c r="H366" s="9" t="str">
        <f aca="false">IFERROR(IF(Raw_Donors!G366="","N",Raw_Donors!G366),"N")</f>
        <v>N</v>
      </c>
      <c r="I366" s="9" t="str">
        <f aca="false">IF(Raw_Donors!H366="","Not Rated",Raw_Donors!H366)</f>
        <v>Not Rated</v>
      </c>
      <c r="J366" s="9" t="str">
        <f aca="false">IF(TRIM(Raw_Donors!I366)="","Unknown",TRIM(Raw_Donors!I366))</f>
        <v>HOME</v>
      </c>
      <c r="K366" s="9" t="str">
        <f aca="false">Raw_Donors!J366</f>
        <v>Y</v>
      </c>
      <c r="L366" s="9" t="n">
        <f aca="false">Raw_Donors!K366</f>
        <v>1</v>
      </c>
      <c r="M366" s="10" t="n">
        <f aca="false">IFERROR(VALUE(SUBSTITUTE(SUBSTITUTE(Raw_Donors!L366,"$",""),",","")),0)</f>
        <v>0</v>
      </c>
      <c r="N366" s="10" t="n">
        <f aca="false">IFERROR(VALUE(SUBSTITUTE(SUBSTITUTE(Raw_Donors!M366,"$",""),",","")),0)</f>
        <v>0</v>
      </c>
      <c r="O366" s="10" t="n">
        <f aca="false">IFERROR(VALUE(SUBSTITUTE(SUBSTITUTE(Raw_Donors!N366,"$",""),",","")),0)</f>
        <v>0</v>
      </c>
      <c r="P366" s="10" t="n">
        <f aca="false">IFERROR(VALUE(SUBSTITUTE(SUBSTITUTE(Raw_Donors!O366,"$",""),",","")),0)</f>
        <v>0</v>
      </c>
      <c r="Q366" s="10" t="n">
        <f aca="false">IFERROR(VALUE(SUBSTITUTE(SUBSTITUTE(Raw_Donors!P366,"$",""),",","")),0)</f>
        <v>0</v>
      </c>
      <c r="R366" s="10" t="n">
        <f aca="false">Raw_Donors!Q366</f>
        <v>0</v>
      </c>
      <c r="S366" s="9" t="str">
        <f aca="false">Raw_Donors!R366</f>
        <v>N</v>
      </c>
      <c r="T366" s="9" t="str">
        <f aca="false">IF(Raw_Donors!S366="","",Raw_Donors!S366)</f>
        <v/>
      </c>
      <c r="U366" s="9" t="str">
        <f aca="false">IF(AND((O366+P366)&gt;0,Q366=0),"Lapsed - Follow Up","")</f>
        <v/>
      </c>
      <c r="V366" s="9" t="n">
        <f aca="false">RANK(R366,$R$2:$R$759)+COUNTIF($R$2:R366,R366)-1</f>
        <v>650</v>
      </c>
      <c r="W366" s="9" t="str">
        <f aca="false">IF(U366="Lapsed - Follow Up",COUNTIF($U$2:U366,"Lapsed - Follow Up"),"")</f>
        <v/>
      </c>
    </row>
    <row r="367" customFormat="false" ht="15" hidden="false" customHeight="true" outlineLevel="0" collapsed="false">
      <c r="A367" s="9" t="str">
        <f aca="false">Raw_Donors!A367</f>
        <v>D1365</v>
      </c>
      <c r="B367" s="9" t="str">
        <f aca="false">IF(ISNUMBER(SEARCH("-DUP",A367)),"Duplicate ID","")</f>
        <v/>
      </c>
      <c r="C367" s="9" t="n">
        <f aca="false">Raw_Donors!B367</f>
        <v>20018</v>
      </c>
      <c r="D367" s="9" t="n">
        <f aca="false">Raw_Donors!C367</f>
        <v>46</v>
      </c>
      <c r="E367" s="9" t="str">
        <f aca="false">IFERROR(IF(Raw_Donors!D367="","Unknown",Raw_Donors!D367),"Unknown")</f>
        <v>Unknown</v>
      </c>
      <c r="F367" s="9" t="str">
        <f aca="false">IFERROR(IF(Raw_Donors!E367="","Unknown",Raw_Donors!E367),"Unknown")</f>
        <v>Female</v>
      </c>
      <c r="G367" s="9" t="str">
        <f aca="false">PROPER(TRIM(Raw_Donors!F367))</f>
        <v>Individual Donor</v>
      </c>
      <c r="H367" s="9" t="str">
        <f aca="false">IFERROR(IF(Raw_Donors!G367="","N",Raw_Donors!G367),"N")</f>
        <v>N</v>
      </c>
      <c r="I367" s="9" t="str">
        <f aca="false">IF(Raw_Donors!H367="","Not Rated",Raw_Donors!H367)</f>
        <v>Not Rated</v>
      </c>
      <c r="J367" s="9" t="str">
        <f aca="false">IF(TRIM(Raw_Donors!I367)="","Unknown",TRIM(Raw_Donors!I367))</f>
        <v>HOME</v>
      </c>
      <c r="K367" s="9" t="str">
        <f aca="false">Raw_Donors!J367</f>
        <v>Y</v>
      </c>
      <c r="L367" s="9" t="n">
        <f aca="false">Raw_Donors!K367</f>
        <v>0</v>
      </c>
      <c r="M367" s="10" t="n">
        <f aca="false">IFERROR(VALUE(SUBSTITUTE(SUBSTITUTE(Raw_Donors!L367,"$",""),",","")),0)</f>
        <v>0</v>
      </c>
      <c r="N367" s="10" t="n">
        <f aca="false">IFERROR(VALUE(SUBSTITUTE(SUBSTITUTE(Raw_Donors!M367,"$",""),",","")),0)</f>
        <v>0</v>
      </c>
      <c r="O367" s="10" t="n">
        <f aca="false">IFERROR(VALUE(SUBSTITUTE(SUBSTITUTE(Raw_Donors!N367,"$",""),",","")),0)</f>
        <v>0</v>
      </c>
      <c r="P367" s="10" t="n">
        <f aca="false">IFERROR(VALUE(SUBSTITUTE(SUBSTITUTE(Raw_Donors!O367,"$",""),",","")),0)</f>
        <v>0</v>
      </c>
      <c r="Q367" s="10" t="n">
        <f aca="false">IFERROR(VALUE(SUBSTITUTE(SUBSTITUTE(Raw_Donors!P367,"$",""),",","")),0)</f>
        <v>0</v>
      </c>
      <c r="R367" s="10" t="n">
        <f aca="false">Raw_Donors!Q367</f>
        <v>1526</v>
      </c>
      <c r="S367" s="9" t="str">
        <f aca="false">Raw_Donors!R367</f>
        <v>Y</v>
      </c>
      <c r="T367" s="9" t="str">
        <f aca="false">IF(Raw_Donors!S367="","",Raw_Donors!S367)</f>
        <v>1971-01-15</v>
      </c>
      <c r="U367" s="9" t="str">
        <f aca="false">IF(AND((O367+P367)&gt;0,Q367=0),"Lapsed - Follow Up","")</f>
        <v/>
      </c>
      <c r="V367" s="9" t="n">
        <f aca="false">RANK(R367,$R$2:$R$759)+COUNTIF($R$2:R367,R367)-1</f>
        <v>38</v>
      </c>
      <c r="W367" s="9" t="str">
        <f aca="false">IF(U367="Lapsed - Follow Up",COUNTIF($U$2:U367,"Lapsed - Follow Up"),"")</f>
        <v/>
      </c>
    </row>
    <row r="368" customFormat="false" ht="15" hidden="false" customHeight="true" outlineLevel="0" collapsed="false">
      <c r="A368" s="9" t="str">
        <f aca="false">Raw_Donors!A368</f>
        <v>D1366</v>
      </c>
      <c r="B368" s="9" t="str">
        <f aca="false">IF(ISNUMBER(SEARCH("-DUP",A368)),"Duplicate ID","")</f>
        <v/>
      </c>
      <c r="C368" s="9" t="n">
        <f aca="false">Raw_Donors!B368</f>
        <v>53956</v>
      </c>
      <c r="D368" s="9" t="n">
        <f aca="false">Raw_Donors!C368</f>
        <v>0</v>
      </c>
      <c r="E368" s="9" t="str">
        <f aca="false">IFERROR(IF(Raw_Donors!D368="","Unknown",Raw_Donors!D368),"Unknown")</f>
        <v>Unknown</v>
      </c>
      <c r="F368" s="9" t="str">
        <f aca="false">IFERROR(IF(Raw_Donors!E368="","Unknown",Raw_Donors!E368),"Unknown")</f>
        <v>Male</v>
      </c>
      <c r="G368" s="9" t="str">
        <f aca="false">PROPER(TRIM(Raw_Donors!F368))</f>
        <v>Individual Donor</v>
      </c>
      <c r="H368" s="9" t="str">
        <f aca="false">IFERROR(IF(Raw_Donors!G368="","N",Raw_Donors!G368),"N")</f>
        <v>N</v>
      </c>
      <c r="I368" s="9" t="str">
        <f aca="false">IF(Raw_Donors!H368="","Not Rated",Raw_Donors!H368)</f>
        <v>Not Rated</v>
      </c>
      <c r="J368" s="9" t="str">
        <f aca="false">IF(TRIM(Raw_Donors!I368)="","Unknown",TRIM(Raw_Donors!I368))</f>
        <v>HOME</v>
      </c>
      <c r="K368" s="9" t="str">
        <f aca="false">Raw_Donors!J368</f>
        <v>N</v>
      </c>
      <c r="L368" s="9" t="n">
        <f aca="false">Raw_Donors!K368</f>
        <v>1</v>
      </c>
      <c r="M368" s="10" t="n">
        <f aca="false">IFERROR(VALUE(SUBSTITUTE(SUBSTITUTE(Raw_Donors!L368,"$",""),",","")),0)</f>
        <v>0</v>
      </c>
      <c r="N368" s="10" t="n">
        <f aca="false">IFERROR(VALUE(SUBSTITUTE(SUBSTITUTE(Raw_Donors!M368,"$",""),",","")),0)</f>
        <v>0</v>
      </c>
      <c r="O368" s="10" t="n">
        <f aca="false">IFERROR(VALUE(SUBSTITUTE(SUBSTITUTE(Raw_Donors!N368,"$",""),",","")),0)</f>
        <v>0</v>
      </c>
      <c r="P368" s="10" t="n">
        <f aca="false">IFERROR(VALUE(SUBSTITUTE(SUBSTITUTE(Raw_Donors!O368,"$",""),",","")),0)</f>
        <v>0</v>
      </c>
      <c r="Q368" s="10" t="n">
        <f aca="false">IFERROR(VALUE(SUBSTITUTE(SUBSTITUTE(Raw_Donors!P368,"$",""),",","")),0)</f>
        <v>0</v>
      </c>
      <c r="R368" s="10" t="n">
        <f aca="false">Raw_Donors!Q368</f>
        <v>10</v>
      </c>
      <c r="S368" s="9" t="str">
        <f aca="false">Raw_Donors!R368</f>
        <v>Y</v>
      </c>
      <c r="T368" s="9" t="str">
        <f aca="false">IF(Raw_Donors!S368="","",Raw_Donors!S368)</f>
        <v/>
      </c>
      <c r="U368" s="9" t="str">
        <f aca="false">IF(AND((O368+P368)&gt;0,Q368=0),"Lapsed - Follow Up","")</f>
        <v/>
      </c>
      <c r="V368" s="9" t="n">
        <f aca="false">RANK(R368,$R$2:$R$759)+COUNTIF($R$2:R368,R368)-1</f>
        <v>497</v>
      </c>
      <c r="W368" s="9" t="str">
        <f aca="false">IF(U368="Lapsed - Follow Up",COUNTIF($U$2:U368,"Lapsed - Follow Up"),"")</f>
        <v/>
      </c>
    </row>
    <row r="369" customFormat="false" ht="15" hidden="false" customHeight="true" outlineLevel="0" collapsed="false">
      <c r="A369" s="9" t="str">
        <f aca="false">Raw_Donors!A369</f>
        <v>D1367</v>
      </c>
      <c r="B369" s="9" t="str">
        <f aca="false">IF(ISNUMBER(SEARCH("-DUP",A369)),"Duplicate ID","")</f>
        <v/>
      </c>
      <c r="C369" s="9" t="n">
        <f aca="false">Raw_Donors!B369</f>
        <v>47246</v>
      </c>
      <c r="D369" s="9" t="n">
        <f aca="false">Raw_Donors!C369</f>
        <v>0</v>
      </c>
      <c r="E369" s="9" t="str">
        <f aca="false">IFERROR(IF(Raw_Donors!D369="","Unknown",Raw_Donors!D369),"Unknown")</f>
        <v>Unknown</v>
      </c>
      <c r="F369" s="9" t="str">
        <f aca="false">IFERROR(IF(Raw_Donors!E369="","Unknown",Raw_Donors!E369),"Unknown")</f>
        <v>Male</v>
      </c>
      <c r="G369" s="9" t="str">
        <f aca="false">PROPER(TRIM(Raw_Donors!F369))</f>
        <v>Individual Donor</v>
      </c>
      <c r="H369" s="9" t="str">
        <f aca="false">IFERROR(IF(Raw_Donors!G369="","N",Raw_Donors!G369),"N")</f>
        <v>N</v>
      </c>
      <c r="I369" s="9" t="str">
        <f aca="false">IF(Raw_Donors!H369="","Not Rated",Raw_Donors!H369)</f>
        <v>Not Rated</v>
      </c>
      <c r="J369" s="9" t="str">
        <f aca="false">IF(TRIM(Raw_Donors!I369)="","Unknown",TRIM(Raw_Donors!I369))</f>
        <v>HOME</v>
      </c>
      <c r="K369" s="9" t="str">
        <f aca="false">Raw_Donors!J369</f>
        <v>Y</v>
      </c>
      <c r="L369" s="9" t="n">
        <f aca="false">Raw_Donors!K369</f>
        <v>1</v>
      </c>
      <c r="M369" s="10" t="n">
        <f aca="false">IFERROR(VALUE(SUBSTITUTE(SUBSTITUTE(Raw_Donors!L369,"$",""),",","")),0)</f>
        <v>0</v>
      </c>
      <c r="N369" s="10" t="n">
        <f aca="false">IFERROR(VALUE(SUBSTITUTE(SUBSTITUTE(Raw_Donors!M369,"$",""),",","")),0)</f>
        <v>0</v>
      </c>
      <c r="O369" s="10" t="n">
        <f aca="false">IFERROR(VALUE(SUBSTITUTE(SUBSTITUTE(Raw_Donors!N369,"$",""),",","")),0)</f>
        <v>0</v>
      </c>
      <c r="P369" s="10" t="n">
        <f aca="false">IFERROR(VALUE(SUBSTITUTE(SUBSTITUTE(Raw_Donors!O369,"$",""),",","")),0)</f>
        <v>0</v>
      </c>
      <c r="Q369" s="10" t="n">
        <f aca="false">IFERROR(VALUE(SUBSTITUTE(SUBSTITUTE(Raw_Donors!P369,"$",""),",","")),0)</f>
        <v>0</v>
      </c>
      <c r="R369" s="10" t="n">
        <f aca="false">Raw_Donors!Q369</f>
        <v>0</v>
      </c>
      <c r="S369" s="9" t="str">
        <f aca="false">Raw_Donors!R369</f>
        <v>N</v>
      </c>
      <c r="T369" s="9" t="str">
        <f aca="false">IF(Raw_Donors!S369="","",Raw_Donors!S369)</f>
        <v/>
      </c>
      <c r="U369" s="9" t="str">
        <f aca="false">IF(AND((O369+P369)&gt;0,Q369=0),"Lapsed - Follow Up","")</f>
        <v/>
      </c>
      <c r="V369" s="9" t="n">
        <f aca="false">RANK(R369,$R$2:$R$759)+COUNTIF($R$2:R369,R369)-1</f>
        <v>651</v>
      </c>
      <c r="W369" s="9" t="str">
        <f aca="false">IF(U369="Lapsed - Follow Up",COUNTIF($U$2:U369,"Lapsed - Follow Up"),"")</f>
        <v/>
      </c>
    </row>
    <row r="370" customFormat="false" ht="15" hidden="false" customHeight="true" outlineLevel="0" collapsed="false">
      <c r="A370" s="9" t="str">
        <f aca="false">Raw_Donors!A370</f>
        <v>D1368</v>
      </c>
      <c r="B370" s="9" t="str">
        <f aca="false">IF(ISNUMBER(SEARCH("-DUP",A370)),"Duplicate ID","")</f>
        <v/>
      </c>
      <c r="C370" s="9" t="n">
        <f aca="false">Raw_Donors!B370</f>
        <v>7946</v>
      </c>
      <c r="D370" s="9" t="n">
        <f aca="false">Raw_Donors!C370</f>
        <v>0</v>
      </c>
      <c r="E370" s="9" t="str">
        <f aca="false">IFERROR(IF(Raw_Donors!D370="","Unknown",Raw_Donors!D370),"Unknown")</f>
        <v>Unknown</v>
      </c>
      <c r="F370" s="9" t="str">
        <f aca="false">IFERROR(IF(Raw_Donors!E370="","Unknown",Raw_Donors!E370),"Unknown")</f>
        <v>Male</v>
      </c>
      <c r="G370" s="9" t="str">
        <f aca="false">PROPER(TRIM(Raw_Donors!F370))</f>
        <v>Individual Donor</v>
      </c>
      <c r="H370" s="9" t="str">
        <f aca="false">IFERROR(IF(Raw_Donors!G370="","N",Raw_Donors!G370),"N")</f>
        <v>N</v>
      </c>
      <c r="I370" s="9" t="str">
        <f aca="false">IF(Raw_Donors!H370="","Not Rated",Raw_Donors!H370)</f>
        <v>Not Rated</v>
      </c>
      <c r="J370" s="9" t="str">
        <f aca="false">IF(TRIM(Raw_Donors!I370)="","Unknown",TRIM(Raw_Donors!I370))</f>
        <v>HOME</v>
      </c>
      <c r="K370" s="9" t="str">
        <f aca="false">Raw_Donors!J370</f>
        <v>Y</v>
      </c>
      <c r="L370" s="9" t="n">
        <f aca="false">Raw_Donors!K370</f>
        <v>1</v>
      </c>
      <c r="M370" s="10" t="n">
        <f aca="false">IFERROR(VALUE(SUBSTITUTE(SUBSTITUTE(Raw_Donors!L370,"$",""),",","")),0)</f>
        <v>0</v>
      </c>
      <c r="N370" s="10" t="n">
        <f aca="false">IFERROR(VALUE(SUBSTITUTE(SUBSTITUTE(Raw_Donors!M370,"$",""),",","")),0)</f>
        <v>0</v>
      </c>
      <c r="O370" s="10" t="n">
        <f aca="false">IFERROR(VALUE(SUBSTITUTE(SUBSTITUTE(Raw_Donors!N370,"$",""),",","")),0)</f>
        <v>0</v>
      </c>
      <c r="P370" s="10" t="n">
        <f aca="false">IFERROR(VALUE(SUBSTITUTE(SUBSTITUTE(Raw_Donors!O370,"$",""),",","")),0)</f>
        <v>0</v>
      </c>
      <c r="Q370" s="10" t="n">
        <f aca="false">IFERROR(VALUE(SUBSTITUTE(SUBSTITUTE(Raw_Donors!P370,"$",""),",","")),0)</f>
        <v>0</v>
      </c>
      <c r="R370" s="10" t="n">
        <f aca="false">Raw_Donors!Q370</f>
        <v>100</v>
      </c>
      <c r="S370" s="9" t="str">
        <f aca="false">Raw_Donors!R370</f>
        <v>Y</v>
      </c>
      <c r="T370" s="9" t="str">
        <f aca="false">IF(Raw_Donors!S370="","",Raw_Donors!S370)</f>
        <v/>
      </c>
      <c r="U370" s="9" t="str">
        <f aca="false">IF(AND((O370+P370)&gt;0,Q370=0),"Lapsed - Follow Up","")</f>
        <v/>
      </c>
      <c r="V370" s="9" t="n">
        <f aca="false">RANK(R370,$R$2:$R$759)+COUNTIF($R$2:R370,R370)-1</f>
        <v>287</v>
      </c>
      <c r="W370" s="9" t="str">
        <f aca="false">IF(U370="Lapsed - Follow Up",COUNTIF($U$2:U370,"Lapsed - Follow Up"),"")</f>
        <v/>
      </c>
    </row>
    <row r="371" customFormat="false" ht="15" hidden="false" customHeight="true" outlineLevel="0" collapsed="false">
      <c r="A371" s="9" t="str">
        <f aca="false">Raw_Donors!A371</f>
        <v>D1369</v>
      </c>
      <c r="B371" s="9" t="str">
        <f aca="false">IF(ISNUMBER(SEARCH("-DUP",A371)),"Duplicate ID","")</f>
        <v/>
      </c>
      <c r="C371" s="9" t="n">
        <f aca="false">Raw_Donors!B371</f>
        <v>28388</v>
      </c>
      <c r="D371" s="9" t="n">
        <f aca="false">Raw_Donors!C371</f>
        <v>41</v>
      </c>
      <c r="E371" s="9" t="str">
        <f aca="false">IFERROR(IF(Raw_Donors!D371="","Unknown",Raw_Donors!D371),"Unknown")</f>
        <v>Unknown</v>
      </c>
      <c r="F371" s="9" t="str">
        <f aca="false">IFERROR(IF(Raw_Donors!E371="","Unknown",Raw_Donors!E371),"Unknown")</f>
        <v>Male</v>
      </c>
      <c r="G371" s="9" t="str">
        <f aca="false">PROPER(TRIM(Raw_Donors!F371))</f>
        <v>Individual Donor</v>
      </c>
      <c r="H371" s="9" t="str">
        <f aca="false">IFERROR(IF(Raw_Donors!G371="","N",Raw_Donors!G371),"N")</f>
        <v>N</v>
      </c>
      <c r="I371" s="9" t="str">
        <f aca="false">IF(Raw_Donors!H371="","Not Rated",Raw_Donors!H371)</f>
        <v>Not Rated</v>
      </c>
      <c r="J371" s="9" t="str">
        <f aca="false">IF(TRIM(Raw_Donors!I371)="","Unknown",TRIM(Raw_Donors!I371))</f>
        <v>HOME</v>
      </c>
      <c r="K371" s="9" t="str">
        <f aca="false">Raw_Donors!J371</f>
        <v>N</v>
      </c>
      <c r="L371" s="9" t="n">
        <f aca="false">Raw_Donors!K371</f>
        <v>0</v>
      </c>
      <c r="M371" s="10" t="n">
        <f aca="false">IFERROR(VALUE(SUBSTITUTE(SUBSTITUTE(Raw_Donors!L371,"$",""),",","")),0)</f>
        <v>0</v>
      </c>
      <c r="N371" s="10" t="n">
        <f aca="false">IFERROR(VALUE(SUBSTITUTE(SUBSTITUTE(Raw_Donors!M371,"$",""),",","")),0)</f>
        <v>0</v>
      </c>
      <c r="O371" s="10" t="n">
        <f aca="false">IFERROR(VALUE(SUBSTITUTE(SUBSTITUTE(Raw_Donors!N371,"$",""),",","")),0)</f>
        <v>0</v>
      </c>
      <c r="P371" s="10" t="n">
        <f aca="false">IFERROR(VALUE(SUBSTITUTE(SUBSTITUTE(Raw_Donors!O371,"$",""),",","")),0)</f>
        <v>0</v>
      </c>
      <c r="Q371" s="10" t="n">
        <f aca="false">IFERROR(VALUE(SUBSTITUTE(SUBSTITUTE(Raw_Donors!P371,"$",""),",","")),0)</f>
        <v>0</v>
      </c>
      <c r="R371" s="10" t="n">
        <f aca="false">Raw_Donors!Q371</f>
        <v>0</v>
      </c>
      <c r="S371" s="9" t="str">
        <f aca="false">Raw_Donors!R371</f>
        <v>N</v>
      </c>
      <c r="T371" s="9" t="str">
        <f aca="false">IF(Raw_Donors!S371="","",Raw_Donors!S371)</f>
        <v>1976-09-16</v>
      </c>
      <c r="U371" s="9" t="str">
        <f aca="false">IF(AND((O371+P371)&gt;0,Q371=0),"Lapsed - Follow Up","")</f>
        <v/>
      </c>
      <c r="V371" s="9" t="n">
        <f aca="false">RANK(R371,$R$2:$R$759)+COUNTIF($R$2:R371,R371)-1</f>
        <v>652</v>
      </c>
      <c r="W371" s="9" t="str">
        <f aca="false">IF(U371="Lapsed - Follow Up",COUNTIF($U$2:U371,"Lapsed - Follow Up"),"")</f>
        <v/>
      </c>
    </row>
    <row r="372" customFormat="false" ht="15" hidden="false" customHeight="true" outlineLevel="0" collapsed="false">
      <c r="A372" s="9" t="str">
        <f aca="false">Raw_Donors!A372</f>
        <v>D1370</v>
      </c>
      <c r="B372" s="9" t="str">
        <f aca="false">IF(ISNUMBER(SEARCH("-DUP",A372)),"Duplicate ID","")</f>
        <v/>
      </c>
      <c r="C372" s="9" t="n">
        <f aca="false">Raw_Donors!B372</f>
        <v>47137</v>
      </c>
      <c r="D372" s="9" t="n">
        <f aca="false">Raw_Donors!C372</f>
        <v>0</v>
      </c>
      <c r="E372" s="9" t="str">
        <f aca="false">IFERROR(IF(Raw_Donors!D372="","Unknown",Raw_Donors!D372),"Unknown")</f>
        <v>Unknown</v>
      </c>
      <c r="F372" s="9" t="str">
        <f aca="false">IFERROR(IF(Raw_Donors!E372="","Unknown",Raw_Donors!E372),"Unknown")</f>
        <v>Female</v>
      </c>
      <c r="G372" s="9" t="str">
        <f aca="false">PROPER(TRIM(Raw_Donors!F372))</f>
        <v>Community Partner</v>
      </c>
      <c r="H372" s="9" t="str">
        <f aca="false">IFERROR(IF(Raw_Donors!G372="","N",Raw_Donors!G372),"N")</f>
        <v>Y</v>
      </c>
      <c r="I372" s="9" t="str">
        <f aca="false">IF(Raw_Donors!H372="","Not Rated",Raw_Donors!H372)</f>
        <v>Not Rated</v>
      </c>
      <c r="J372" s="9" t="str">
        <f aca="false">IF(TRIM(Raw_Donors!I372)="","Unknown",TRIM(Raw_Donors!I372))</f>
        <v>HOME</v>
      </c>
      <c r="K372" s="9" t="str">
        <f aca="false">Raw_Donors!J372</f>
        <v>Y</v>
      </c>
      <c r="L372" s="9" t="n">
        <f aca="false">Raw_Donors!K372</f>
        <v>1</v>
      </c>
      <c r="M372" s="10" t="n">
        <f aca="false">IFERROR(VALUE(SUBSTITUTE(SUBSTITUTE(Raw_Donors!L372,"$",""),",","")),0)</f>
        <v>0</v>
      </c>
      <c r="N372" s="10" t="n">
        <f aca="false">IFERROR(VALUE(SUBSTITUTE(SUBSTITUTE(Raw_Donors!M372,"$",""),",","")),0)</f>
        <v>0</v>
      </c>
      <c r="O372" s="10" t="n">
        <f aca="false">IFERROR(VALUE(SUBSTITUTE(SUBSTITUTE(Raw_Donors!N372,"$",""),",","")),0)</f>
        <v>0</v>
      </c>
      <c r="P372" s="10" t="n">
        <f aca="false">IFERROR(VALUE(SUBSTITUTE(SUBSTITUTE(Raw_Donors!O372,"$",""),",","")),0)</f>
        <v>0</v>
      </c>
      <c r="Q372" s="10" t="n">
        <f aca="false">IFERROR(VALUE(SUBSTITUTE(SUBSTITUTE(Raw_Donors!P372,"$",""),",","")),0)</f>
        <v>0</v>
      </c>
      <c r="R372" s="10" t="n">
        <f aca="false">Raw_Donors!Q372</f>
        <v>210</v>
      </c>
      <c r="S372" s="9" t="str">
        <f aca="false">Raw_Donors!R372</f>
        <v>Y</v>
      </c>
      <c r="T372" s="9" t="str">
        <f aca="false">IF(Raw_Donors!S372="","",Raw_Donors!S372)</f>
        <v/>
      </c>
      <c r="U372" s="9" t="str">
        <f aca="false">IF(AND((O372+P372)&gt;0,Q372=0),"Lapsed - Follow Up","")</f>
        <v/>
      </c>
      <c r="V372" s="9" t="n">
        <f aca="false">RANK(R372,$R$2:$R$759)+COUNTIF($R$2:R372,R372)-1</f>
        <v>191</v>
      </c>
      <c r="W372" s="9" t="str">
        <f aca="false">IF(U372="Lapsed - Follow Up",COUNTIF($U$2:U372,"Lapsed - Follow Up"),"")</f>
        <v/>
      </c>
    </row>
    <row r="373" customFormat="false" ht="15" hidden="false" customHeight="true" outlineLevel="0" collapsed="false">
      <c r="A373" s="9" t="str">
        <f aca="false">Raw_Donors!A373</f>
        <v>D1371</v>
      </c>
      <c r="B373" s="9" t="str">
        <f aca="false">IF(ISNUMBER(SEARCH("-DUP",A373)),"Duplicate ID","")</f>
        <v/>
      </c>
      <c r="C373" s="9" t="n">
        <f aca="false">Raw_Donors!B373</f>
        <v>17760</v>
      </c>
      <c r="D373" s="9" t="n">
        <f aca="false">Raw_Donors!C373</f>
        <v>96</v>
      </c>
      <c r="E373" s="9" t="str">
        <f aca="false">IFERROR(IF(Raw_Donors!D373="","Unknown",Raw_Donors!D373),"Unknown")</f>
        <v>Unknown</v>
      </c>
      <c r="F373" s="9" t="str">
        <f aca="false">IFERROR(IF(Raw_Donors!E373="","Unknown",Raw_Donors!E373),"Unknown")</f>
        <v>Male</v>
      </c>
      <c r="G373" s="9" t="str">
        <f aca="false">PROPER(TRIM(Raw_Donors!F373))</f>
        <v>Community Partner</v>
      </c>
      <c r="H373" s="9" t="str">
        <f aca="false">IFERROR(IF(Raw_Donors!G373="","N",Raw_Donors!G373),"N")</f>
        <v>Y</v>
      </c>
      <c r="I373" s="9" t="str">
        <f aca="false">IF(Raw_Donors!H373="","Not Rated",Raw_Donors!H373)</f>
        <v>Not Rated</v>
      </c>
      <c r="J373" s="9" t="str">
        <f aca="false">IF(TRIM(Raw_Donors!I373)="","Unknown",TRIM(Raw_Donors!I373))</f>
        <v>HOME</v>
      </c>
      <c r="K373" s="9" t="str">
        <f aca="false">Raw_Donors!J373</f>
        <v>N</v>
      </c>
      <c r="L373" s="9" t="n">
        <f aca="false">Raw_Donors!K373</f>
        <v>5</v>
      </c>
      <c r="M373" s="10" t="n">
        <f aca="false">IFERROR(VALUE(SUBSTITUTE(SUBSTITUTE(Raw_Donors!L373,"$",""),",","")),0)</f>
        <v>0</v>
      </c>
      <c r="N373" s="10" t="n">
        <f aca="false">IFERROR(VALUE(SUBSTITUTE(SUBSTITUTE(Raw_Donors!M373,"$",""),",","")),0)</f>
        <v>0</v>
      </c>
      <c r="O373" s="10" t="n">
        <f aca="false">IFERROR(VALUE(SUBSTITUTE(SUBSTITUTE(Raw_Donors!N373,"$",""),",","")),0)</f>
        <v>0</v>
      </c>
      <c r="P373" s="10" t="n">
        <f aca="false">IFERROR(VALUE(SUBSTITUTE(SUBSTITUTE(Raw_Donors!O373,"$",""),",","")),0)</f>
        <v>0</v>
      </c>
      <c r="Q373" s="10" t="n">
        <f aca="false">IFERROR(VALUE(SUBSTITUTE(SUBSTITUTE(Raw_Donors!P373,"$",""),",","")),0)</f>
        <v>0</v>
      </c>
      <c r="R373" s="10" t="n">
        <f aca="false">Raw_Donors!Q373</f>
        <v>255</v>
      </c>
      <c r="S373" s="9" t="str">
        <f aca="false">Raw_Donors!R373</f>
        <v>Y</v>
      </c>
      <c r="T373" s="9" t="str">
        <f aca="false">IF(Raw_Donors!S373="","",Raw_Donors!S373)</f>
        <v>1921-12-08</v>
      </c>
      <c r="U373" s="9" t="str">
        <f aca="false">IF(AND((O373+P373)&gt;0,Q373=0),"Lapsed - Follow Up","")</f>
        <v/>
      </c>
      <c r="V373" s="9" t="n">
        <f aca="false">RANK(R373,$R$2:$R$759)+COUNTIF($R$2:R373,R373)-1</f>
        <v>160</v>
      </c>
      <c r="W373" s="9" t="str">
        <f aca="false">IF(U373="Lapsed - Follow Up",COUNTIF($U$2:U373,"Lapsed - Follow Up"),"")</f>
        <v/>
      </c>
    </row>
    <row r="374" customFormat="false" ht="15" hidden="false" customHeight="true" outlineLevel="0" collapsed="false">
      <c r="A374" s="9" t="str">
        <f aca="false">Raw_Donors!A374</f>
        <v>D1372</v>
      </c>
      <c r="B374" s="9" t="str">
        <f aca="false">IF(ISNUMBER(SEARCH("-DUP",A374)),"Duplicate ID","")</f>
        <v/>
      </c>
      <c r="C374" s="9" t="n">
        <f aca="false">Raw_Donors!B374</f>
        <v>57559</v>
      </c>
      <c r="D374" s="9" t="n">
        <f aca="false">Raw_Donors!C374</f>
        <v>0</v>
      </c>
      <c r="E374" s="9" t="str">
        <f aca="false">IFERROR(IF(Raw_Donors!D374="","Unknown",Raw_Donors!D374),"Unknown")</f>
        <v>Married</v>
      </c>
      <c r="F374" s="9" t="str">
        <f aca="false">IFERROR(IF(Raw_Donors!E374="","Unknown",Raw_Donors!E374),"Unknown")</f>
        <v>Female</v>
      </c>
      <c r="G374" s="9" t="str">
        <f aca="false">PROPER(TRIM(Raw_Donors!F374))</f>
        <v>Family Donor</v>
      </c>
      <c r="H374" s="9" t="str">
        <f aca="false">IFERROR(IF(Raw_Donors!G374="","N",Raw_Donors!G374),"N")</f>
        <v>N</v>
      </c>
      <c r="I374" s="9" t="str">
        <f aca="false">IF(Raw_Donors!H374="","Not Rated",Raw_Donors!H374)</f>
        <v>Not Rated</v>
      </c>
      <c r="J374" s="9" t="str">
        <f aca="false">IF(TRIM(Raw_Donors!I374)="","Unknown",TRIM(Raw_Donors!I374))</f>
        <v>BUSN</v>
      </c>
      <c r="K374" s="9" t="str">
        <f aca="false">Raw_Donors!J374</f>
        <v>Y</v>
      </c>
      <c r="L374" s="9" t="n">
        <f aca="false">Raw_Donors!K374</f>
        <v>0</v>
      </c>
      <c r="M374" s="10" t="n">
        <f aca="false">IFERROR(VALUE(SUBSTITUTE(SUBSTITUTE(Raw_Donors!L374,"$",""),",","")),0)</f>
        <v>0</v>
      </c>
      <c r="N374" s="10" t="n">
        <f aca="false">IFERROR(VALUE(SUBSTITUTE(SUBSTITUTE(Raw_Donors!M374,"$",""),",","")),0)</f>
        <v>0</v>
      </c>
      <c r="O374" s="10" t="n">
        <f aca="false">IFERROR(VALUE(SUBSTITUTE(SUBSTITUTE(Raw_Donors!N374,"$",""),",","")),0)</f>
        <v>0</v>
      </c>
      <c r="P374" s="10" t="n">
        <f aca="false">IFERROR(VALUE(SUBSTITUTE(SUBSTITUTE(Raw_Donors!O374,"$",""),",","")),0)</f>
        <v>0</v>
      </c>
      <c r="Q374" s="10" t="n">
        <f aca="false">IFERROR(VALUE(SUBSTITUTE(SUBSTITUTE(Raw_Donors!P374,"$",""),",","")),0)</f>
        <v>0</v>
      </c>
      <c r="R374" s="10" t="n">
        <f aca="false">Raw_Donors!Q374</f>
        <v>0</v>
      </c>
      <c r="S374" s="9" t="str">
        <f aca="false">Raw_Donors!R374</f>
        <v>N</v>
      </c>
      <c r="T374" s="9" t="str">
        <f aca="false">IF(Raw_Donors!S374="","",Raw_Donors!S374)</f>
        <v/>
      </c>
      <c r="U374" s="9" t="str">
        <f aca="false">IF(AND((O374+P374)&gt;0,Q374=0),"Lapsed - Follow Up","")</f>
        <v/>
      </c>
      <c r="V374" s="9" t="n">
        <f aca="false">RANK(R374,$R$2:$R$759)+COUNTIF($R$2:R374,R374)-1</f>
        <v>653</v>
      </c>
      <c r="W374" s="9" t="str">
        <f aca="false">IF(U374="Lapsed - Follow Up",COUNTIF($U$2:U374,"Lapsed - Follow Up"),"")</f>
        <v/>
      </c>
    </row>
    <row r="375" customFormat="false" ht="15" hidden="false" customHeight="true" outlineLevel="0" collapsed="false">
      <c r="A375" s="9" t="str">
        <f aca="false">Raw_Donors!A375</f>
        <v>D1373</v>
      </c>
      <c r="B375" s="9" t="str">
        <f aca="false">IF(ISNUMBER(SEARCH("-DUP",A375)),"Duplicate ID","")</f>
        <v/>
      </c>
      <c r="C375" s="9" t="n">
        <f aca="false">Raw_Donors!B375</f>
        <v>31903</v>
      </c>
      <c r="D375" s="9" t="n">
        <f aca="false">Raw_Donors!C375</f>
        <v>0</v>
      </c>
      <c r="E375" s="9" t="str">
        <f aca="false">IFERROR(IF(Raw_Donors!D375="","Unknown",Raw_Donors!D375),"Unknown")</f>
        <v>Unknown</v>
      </c>
      <c r="F375" s="9" t="str">
        <f aca="false">IFERROR(IF(Raw_Donors!E375="","Unknown",Raw_Donors!E375),"Unknown")</f>
        <v>Male</v>
      </c>
      <c r="G375" s="9" t="str">
        <f aca="false">PROPER(TRIM(Raw_Donors!F375))</f>
        <v>Individual Donor</v>
      </c>
      <c r="H375" s="9" t="str">
        <f aca="false">IFERROR(IF(Raw_Donors!G375="","N",Raw_Donors!G375),"N")</f>
        <v>N</v>
      </c>
      <c r="I375" s="9" t="str">
        <f aca="false">IF(Raw_Donors!H375="","Not Rated",Raw_Donors!H375)</f>
        <v>Not Rated</v>
      </c>
      <c r="J375" s="9" t="str">
        <f aca="false">IF(TRIM(Raw_Donors!I375)="","Unknown",TRIM(Raw_Donors!I375))</f>
        <v>HOME</v>
      </c>
      <c r="K375" s="9" t="str">
        <f aca="false">Raw_Donors!J375</f>
        <v>Y</v>
      </c>
      <c r="L375" s="9" t="n">
        <f aca="false">Raw_Donors!K375</f>
        <v>2</v>
      </c>
      <c r="M375" s="10" t="n">
        <f aca="false">IFERROR(VALUE(SUBSTITUTE(SUBSTITUTE(Raw_Donors!L375,"$",""),",","")),0)</f>
        <v>0</v>
      </c>
      <c r="N375" s="10" t="n">
        <f aca="false">IFERROR(VALUE(SUBSTITUTE(SUBSTITUTE(Raw_Donors!M375,"$",""),",","")),0)</f>
        <v>0</v>
      </c>
      <c r="O375" s="10" t="n">
        <f aca="false">IFERROR(VALUE(SUBSTITUTE(SUBSTITUTE(Raw_Donors!N375,"$",""),",","")),0)</f>
        <v>0</v>
      </c>
      <c r="P375" s="10" t="n">
        <f aca="false">IFERROR(VALUE(SUBSTITUTE(SUBSTITUTE(Raw_Donors!O375,"$",""),",","")),0)</f>
        <v>0</v>
      </c>
      <c r="Q375" s="10" t="n">
        <f aca="false">IFERROR(VALUE(SUBSTITUTE(SUBSTITUTE(Raw_Donors!P375,"$",""),",","")),0)</f>
        <v>0</v>
      </c>
      <c r="R375" s="10" t="n">
        <f aca="false">Raw_Donors!Q375</f>
        <v>0</v>
      </c>
      <c r="S375" s="9" t="str">
        <f aca="false">Raw_Donors!R375</f>
        <v>N</v>
      </c>
      <c r="T375" s="9" t="str">
        <f aca="false">IF(Raw_Donors!S375="","",Raw_Donors!S375)</f>
        <v/>
      </c>
      <c r="U375" s="9" t="str">
        <f aca="false">IF(AND((O375+P375)&gt;0,Q375=0),"Lapsed - Follow Up","")</f>
        <v/>
      </c>
      <c r="V375" s="9" t="n">
        <f aca="false">RANK(R375,$R$2:$R$759)+COUNTIF($R$2:R375,R375)-1</f>
        <v>654</v>
      </c>
      <c r="W375" s="9" t="str">
        <f aca="false">IF(U375="Lapsed - Follow Up",COUNTIF($U$2:U375,"Lapsed - Follow Up"),"")</f>
        <v/>
      </c>
    </row>
    <row r="376" customFormat="false" ht="15" hidden="false" customHeight="true" outlineLevel="0" collapsed="false">
      <c r="A376" s="9" t="str">
        <f aca="false">Raw_Donors!A376</f>
        <v>D1374</v>
      </c>
      <c r="B376" s="9" t="str">
        <f aca="false">IF(ISNUMBER(SEARCH("-DUP",A376)),"Duplicate ID","")</f>
        <v/>
      </c>
      <c r="C376" s="9" t="n">
        <f aca="false">Raw_Donors!B376</f>
        <v>90265</v>
      </c>
      <c r="D376" s="9" t="n">
        <f aca="false">Raw_Donors!C376</f>
        <v>32</v>
      </c>
      <c r="E376" s="9" t="str">
        <f aca="false">IFERROR(IF(Raw_Donors!D376="","Unknown",Raw_Donors!D376),"Unknown")</f>
        <v>Unknown</v>
      </c>
      <c r="F376" s="9" t="str">
        <f aca="false">IFERROR(IF(Raw_Donors!E376="","Unknown",Raw_Donors!E376),"Unknown")</f>
        <v>Male</v>
      </c>
      <c r="G376" s="9" t="str">
        <f aca="false">PROPER(TRIM(Raw_Donors!F376))</f>
        <v>Individual Donor</v>
      </c>
      <c r="H376" s="9" t="str">
        <f aca="false">IFERROR(IF(Raw_Donors!G376="","N",Raw_Donors!G376),"N")</f>
        <v>N</v>
      </c>
      <c r="I376" s="9" t="str">
        <f aca="false">IF(Raw_Donors!H376="","Not Rated",Raw_Donors!H376)</f>
        <v>Not Rated</v>
      </c>
      <c r="J376" s="9" t="str">
        <f aca="false">IF(TRIM(Raw_Donors!I376)="","Unknown",TRIM(Raw_Donors!I376))</f>
        <v>CAMP</v>
      </c>
      <c r="K376" s="9" t="str">
        <f aca="false">Raw_Donors!J376</f>
        <v>Y</v>
      </c>
      <c r="L376" s="9" t="n">
        <f aca="false">Raw_Donors!K376</f>
        <v>0</v>
      </c>
      <c r="M376" s="10" t="n">
        <f aca="false">IFERROR(VALUE(SUBSTITUTE(SUBSTITUTE(Raw_Donors!L376,"$",""),",","")),0)</f>
        <v>0</v>
      </c>
      <c r="N376" s="10" t="n">
        <f aca="false">IFERROR(VALUE(SUBSTITUTE(SUBSTITUTE(Raw_Donors!M376,"$",""),",","")),0)</f>
        <v>0</v>
      </c>
      <c r="O376" s="10" t="n">
        <f aca="false">IFERROR(VALUE(SUBSTITUTE(SUBSTITUTE(Raw_Donors!N376,"$",""),",","")),0)</f>
        <v>0</v>
      </c>
      <c r="P376" s="10" t="n">
        <f aca="false">IFERROR(VALUE(SUBSTITUTE(SUBSTITUTE(Raw_Donors!O376,"$",""),",","")),0)</f>
        <v>0</v>
      </c>
      <c r="Q376" s="10" t="n">
        <f aca="false">IFERROR(VALUE(SUBSTITUTE(SUBSTITUTE(Raw_Donors!P376,"$",""),",","")),0)</f>
        <v>0</v>
      </c>
      <c r="R376" s="10" t="n">
        <f aca="false">Raw_Donors!Q376</f>
        <v>75</v>
      </c>
      <c r="S376" s="9" t="str">
        <f aca="false">Raw_Donors!R376</f>
        <v>Y</v>
      </c>
      <c r="T376" s="9" t="str">
        <f aca="false">IF(Raw_Donors!S376="","",Raw_Donors!S376)</f>
        <v>1985-09-08</v>
      </c>
      <c r="U376" s="9" t="str">
        <f aca="false">IF(AND((O376+P376)&gt;0,Q376=0),"Lapsed - Follow Up","")</f>
        <v/>
      </c>
      <c r="V376" s="9" t="n">
        <f aca="false">RANK(R376,$R$2:$R$759)+COUNTIF($R$2:R376,R376)-1</f>
        <v>331</v>
      </c>
      <c r="W376" s="9" t="str">
        <f aca="false">IF(U376="Lapsed - Follow Up",COUNTIF($U$2:U376,"Lapsed - Follow Up"),"")</f>
        <v/>
      </c>
    </row>
    <row r="377" customFormat="false" ht="15" hidden="false" customHeight="true" outlineLevel="0" collapsed="false">
      <c r="A377" s="9" t="str">
        <f aca="false">Raw_Donors!A377</f>
        <v>D1375</v>
      </c>
      <c r="B377" s="9" t="str">
        <f aca="false">IF(ISNUMBER(SEARCH("-DUP",A377)),"Duplicate ID","")</f>
        <v/>
      </c>
      <c r="C377" s="9" t="n">
        <f aca="false">Raw_Donors!B377</f>
        <v>77075</v>
      </c>
      <c r="D377" s="9" t="n">
        <f aca="false">Raw_Donors!C377</f>
        <v>0</v>
      </c>
      <c r="E377" s="9" t="str">
        <f aca="false">IFERROR(IF(Raw_Donors!D377="","Unknown",Raw_Donors!D377),"Unknown")</f>
        <v>Married</v>
      </c>
      <c r="F377" s="9" t="str">
        <f aca="false">IFERROR(IF(Raw_Donors!E377="","Unknown",Raw_Donors!E377),"Unknown")</f>
        <v>Female</v>
      </c>
      <c r="G377" s="9" t="str">
        <f aca="false">PROPER(TRIM(Raw_Donors!F377))</f>
        <v>Individual Donor</v>
      </c>
      <c r="H377" s="9" t="str">
        <f aca="false">IFERROR(IF(Raw_Donors!G377="","N",Raw_Donors!G377),"N")</f>
        <v>N</v>
      </c>
      <c r="I377" s="9" t="str">
        <f aca="false">IF(Raw_Donors!H377="","Not Rated",Raw_Donors!H377)</f>
        <v>Not Rated</v>
      </c>
      <c r="J377" s="9" t="str">
        <f aca="false">IF(TRIM(Raw_Donors!I377)="","Unknown",TRIM(Raw_Donors!I377))</f>
        <v>HOME</v>
      </c>
      <c r="K377" s="9" t="str">
        <f aca="false">Raw_Donors!J377</f>
        <v>N</v>
      </c>
      <c r="L377" s="9" t="n">
        <f aca="false">Raw_Donors!K377</f>
        <v>0</v>
      </c>
      <c r="M377" s="10" t="n">
        <f aca="false">IFERROR(VALUE(SUBSTITUTE(SUBSTITUTE(Raw_Donors!L377,"$",""),",","")),0)</f>
        <v>0</v>
      </c>
      <c r="N377" s="10" t="n">
        <f aca="false">IFERROR(VALUE(SUBSTITUTE(SUBSTITUTE(Raw_Donors!M377,"$",""),",","")),0)</f>
        <v>0</v>
      </c>
      <c r="O377" s="10" t="n">
        <f aca="false">IFERROR(VALUE(SUBSTITUTE(SUBSTITUTE(Raw_Donors!N377,"$",""),",","")),0)</f>
        <v>0</v>
      </c>
      <c r="P377" s="10" t="n">
        <f aca="false">IFERROR(VALUE(SUBSTITUTE(SUBSTITUTE(Raw_Donors!O377,"$",""),",","")),0)</f>
        <v>0</v>
      </c>
      <c r="Q377" s="10" t="n">
        <f aca="false">IFERROR(VALUE(SUBSTITUTE(SUBSTITUTE(Raw_Donors!P377,"$",""),",","")),0)</f>
        <v>0</v>
      </c>
      <c r="R377" s="10" t="n">
        <f aca="false">Raw_Donors!Q377</f>
        <v>1638</v>
      </c>
      <c r="S377" s="9" t="str">
        <f aca="false">Raw_Donors!R377</f>
        <v>Y</v>
      </c>
      <c r="T377" s="9" t="str">
        <f aca="false">IF(Raw_Donors!S377="","",Raw_Donors!S377)</f>
        <v/>
      </c>
      <c r="U377" s="9" t="str">
        <f aca="false">IF(AND((O377+P377)&gt;0,Q377=0),"Lapsed - Follow Up","")</f>
        <v/>
      </c>
      <c r="V377" s="9" t="n">
        <f aca="false">RANK(R377,$R$2:$R$759)+COUNTIF($R$2:R377,R377)-1</f>
        <v>37</v>
      </c>
      <c r="W377" s="9" t="str">
        <f aca="false">IF(U377="Lapsed - Follow Up",COUNTIF($U$2:U377,"Lapsed - Follow Up"),"")</f>
        <v/>
      </c>
    </row>
    <row r="378" customFormat="false" ht="15" hidden="false" customHeight="true" outlineLevel="0" collapsed="false">
      <c r="A378" s="9" t="str">
        <f aca="false">Raw_Donors!A378</f>
        <v>D1376</v>
      </c>
      <c r="B378" s="9" t="str">
        <f aca="false">IF(ISNUMBER(SEARCH("-DUP",A378)),"Duplicate ID","")</f>
        <v/>
      </c>
      <c r="C378" s="9" t="n">
        <f aca="false">Raw_Donors!B378</f>
        <v>12458</v>
      </c>
      <c r="D378" s="9" t="n">
        <f aca="false">Raw_Donors!C378</f>
        <v>0</v>
      </c>
      <c r="E378" s="9" t="str">
        <f aca="false">IFERROR(IF(Raw_Donors!D378="","Unknown",Raw_Donors!D378),"Unknown")</f>
        <v>Single</v>
      </c>
      <c r="F378" s="9" t="str">
        <f aca="false">IFERROR(IF(Raw_Donors!E378="","Unknown",Raw_Donors!E378),"Unknown")</f>
        <v>Female</v>
      </c>
      <c r="G378" s="9" t="str">
        <f aca="false">PROPER(TRIM(Raw_Donors!F378))</f>
        <v>Individual Donor</v>
      </c>
      <c r="H378" s="9" t="str">
        <f aca="false">IFERROR(IF(Raw_Donors!G378="","N",Raw_Donors!G378),"N")</f>
        <v>N</v>
      </c>
      <c r="I378" s="9" t="str">
        <f aca="false">IF(Raw_Donors!H378="","Not Rated",Raw_Donors!H378)</f>
        <v>Not Rated</v>
      </c>
      <c r="J378" s="9" t="str">
        <f aca="false">IF(TRIM(Raw_Donors!I378)="","Unknown",TRIM(Raw_Donors!I378))</f>
        <v>Unknown</v>
      </c>
      <c r="K378" s="9" t="str">
        <f aca="false">Raw_Donors!J378</f>
        <v>N</v>
      </c>
      <c r="L378" s="9" t="n">
        <f aca="false">Raw_Donors!K378</f>
        <v>0</v>
      </c>
      <c r="M378" s="10" t="n">
        <f aca="false">IFERROR(VALUE(SUBSTITUTE(SUBSTITUTE(Raw_Donors!L378,"$",""),",","")),0)</f>
        <v>0</v>
      </c>
      <c r="N378" s="10" t="n">
        <f aca="false">IFERROR(VALUE(SUBSTITUTE(SUBSTITUTE(Raw_Donors!M378,"$",""),",","")),0)</f>
        <v>0</v>
      </c>
      <c r="O378" s="10" t="n">
        <f aca="false">IFERROR(VALUE(SUBSTITUTE(SUBSTITUTE(Raw_Donors!N378,"$",""),",","")),0)</f>
        <v>0</v>
      </c>
      <c r="P378" s="10" t="n">
        <f aca="false">IFERROR(VALUE(SUBSTITUTE(SUBSTITUTE(Raw_Donors!O378,"$",""),",","")),0)</f>
        <v>60</v>
      </c>
      <c r="Q378" s="10" t="n">
        <f aca="false">IFERROR(VALUE(SUBSTITUTE(SUBSTITUTE(Raw_Donors!P378,"$",""),",","")),0)</f>
        <v>0</v>
      </c>
      <c r="R378" s="10" t="n">
        <f aca="false">Raw_Donors!Q378</f>
        <v>60</v>
      </c>
      <c r="S378" s="9" t="str">
        <f aca="false">Raw_Donors!R378</f>
        <v>Y</v>
      </c>
      <c r="T378" s="9" t="str">
        <f aca="false">IF(Raw_Donors!S378="","",Raw_Donors!S378)</f>
        <v/>
      </c>
      <c r="U378" s="9" t="str">
        <f aca="false">IF(AND((O378+P378)&gt;0,Q378=0),"Lapsed - Follow Up","")</f>
        <v>Lapsed - Follow Up</v>
      </c>
      <c r="V378" s="9" t="n">
        <f aca="false">RANK(R378,$R$2:$R$759)+COUNTIF($R$2:R378,R378)-1</f>
        <v>354</v>
      </c>
      <c r="W378" s="9" t="n">
        <f aca="false">IF(U378="Lapsed - Follow Up",COUNTIF($U$2:U378,"Lapsed - Follow Up"),"")</f>
        <v>53</v>
      </c>
    </row>
    <row r="379" customFormat="false" ht="15" hidden="false" customHeight="true" outlineLevel="0" collapsed="false">
      <c r="A379" s="9" t="str">
        <f aca="false">Raw_Donors!A379</f>
        <v>D1377</v>
      </c>
      <c r="B379" s="9" t="str">
        <f aca="false">IF(ISNUMBER(SEARCH("-DUP",A379)),"Duplicate ID","")</f>
        <v/>
      </c>
      <c r="C379" s="9" t="n">
        <f aca="false">Raw_Donors!B379</f>
        <v>24073</v>
      </c>
      <c r="D379" s="9" t="n">
        <f aca="false">Raw_Donors!C379</f>
        <v>0</v>
      </c>
      <c r="E379" s="9" t="str">
        <f aca="false">IFERROR(IF(Raw_Donors!D379="","Unknown",Raw_Donors!D379),"Unknown")</f>
        <v>Unknown</v>
      </c>
      <c r="F379" s="9" t="str">
        <f aca="false">IFERROR(IF(Raw_Donors!E379="","Unknown",Raw_Donors!E379),"Unknown")</f>
        <v>Female</v>
      </c>
      <c r="G379" s="9" t="str">
        <f aca="false">PROPER(TRIM(Raw_Donors!F379))</f>
        <v>Individual Donor</v>
      </c>
      <c r="H379" s="9" t="str">
        <f aca="false">IFERROR(IF(Raw_Donors!G379="","N",Raw_Donors!G379),"N")</f>
        <v>N</v>
      </c>
      <c r="I379" s="9" t="str">
        <f aca="false">IF(Raw_Donors!H379="","Not Rated",Raw_Donors!H379)</f>
        <v>Not Rated</v>
      </c>
      <c r="J379" s="9" t="str">
        <f aca="false">IF(TRIM(Raw_Donors!I379)="","Unknown",TRIM(Raw_Donors!I379))</f>
        <v>HOME</v>
      </c>
      <c r="K379" s="9" t="str">
        <f aca="false">Raw_Donors!J379</f>
        <v>N</v>
      </c>
      <c r="L379" s="9" t="n">
        <f aca="false">Raw_Donors!K379</f>
        <v>1</v>
      </c>
      <c r="M379" s="10" t="n">
        <f aca="false">IFERROR(VALUE(SUBSTITUTE(SUBSTITUTE(Raw_Donors!L379,"$",""),",","")),0)</f>
        <v>0</v>
      </c>
      <c r="N379" s="10" t="n">
        <f aca="false">IFERROR(VALUE(SUBSTITUTE(SUBSTITUTE(Raw_Donors!M379,"$",""),",","")),0)</f>
        <v>0</v>
      </c>
      <c r="O379" s="10" t="n">
        <f aca="false">IFERROR(VALUE(SUBSTITUTE(SUBSTITUTE(Raw_Donors!N379,"$",""),",","")),0)</f>
        <v>0</v>
      </c>
      <c r="P379" s="10" t="n">
        <f aca="false">IFERROR(VALUE(SUBSTITUTE(SUBSTITUTE(Raw_Donors!O379,"$",""),",","")),0)</f>
        <v>0</v>
      </c>
      <c r="Q379" s="10" t="n">
        <f aca="false">IFERROR(VALUE(SUBSTITUTE(SUBSTITUTE(Raw_Donors!P379,"$",""),",","")),0)</f>
        <v>0</v>
      </c>
      <c r="R379" s="10" t="n">
        <f aca="false">Raw_Donors!Q379</f>
        <v>1000</v>
      </c>
      <c r="S379" s="9" t="str">
        <f aca="false">Raw_Donors!R379</f>
        <v>Y</v>
      </c>
      <c r="T379" s="9" t="str">
        <f aca="false">IF(Raw_Donors!S379="","",Raw_Donors!S379)</f>
        <v/>
      </c>
      <c r="U379" s="9" t="str">
        <f aca="false">IF(AND((O379+P379)&gt;0,Q379=0),"Lapsed - Follow Up","")</f>
        <v/>
      </c>
      <c r="V379" s="9" t="n">
        <f aca="false">RANK(R379,$R$2:$R$759)+COUNTIF($R$2:R379,R379)-1</f>
        <v>61</v>
      </c>
      <c r="W379" s="9" t="str">
        <f aca="false">IF(U379="Lapsed - Follow Up",COUNTIF($U$2:U379,"Lapsed - Follow Up"),"")</f>
        <v/>
      </c>
    </row>
    <row r="380" customFormat="false" ht="15" hidden="false" customHeight="true" outlineLevel="0" collapsed="false">
      <c r="A380" s="9" t="str">
        <f aca="false">Raw_Donors!A380</f>
        <v>D1378</v>
      </c>
      <c r="B380" s="9" t="str">
        <f aca="false">IF(ISNUMBER(SEARCH("-DUP",A380)),"Duplicate ID","")</f>
        <v/>
      </c>
      <c r="C380" s="9" t="n">
        <f aca="false">Raw_Donors!B380</f>
        <v>51240</v>
      </c>
      <c r="D380" s="9" t="n">
        <f aca="false">Raw_Donors!C380</f>
        <v>0</v>
      </c>
      <c r="E380" s="9" t="str">
        <f aca="false">IFERROR(IF(Raw_Donors!D380="","Unknown",Raw_Donors!D380),"Unknown")</f>
        <v>Unknown</v>
      </c>
      <c r="F380" s="9" t="str">
        <f aca="false">IFERROR(IF(Raw_Donors!E380="","Unknown",Raw_Donors!E380),"Unknown")</f>
        <v>Male</v>
      </c>
      <c r="G380" s="9" t="str">
        <f aca="false">PROPER(TRIM(Raw_Donors!F380))</f>
        <v>Individual Donor</v>
      </c>
      <c r="H380" s="9" t="str">
        <f aca="false">IFERROR(IF(Raw_Donors!G380="","N",Raw_Donors!G380),"N")</f>
        <v>N</v>
      </c>
      <c r="I380" s="9" t="str">
        <f aca="false">IF(Raw_Donors!H380="","Not Rated",Raw_Donors!H380)</f>
        <v>Not Rated</v>
      </c>
      <c r="J380" s="9" t="str">
        <f aca="false">IF(TRIM(Raw_Donors!I380)="","Unknown",TRIM(Raw_Donors!I380))</f>
        <v>HOME</v>
      </c>
      <c r="K380" s="9" t="str">
        <f aca="false">Raw_Donors!J380</f>
        <v>N</v>
      </c>
      <c r="L380" s="9" t="n">
        <f aca="false">Raw_Donors!K380</f>
        <v>1</v>
      </c>
      <c r="M380" s="10" t="n">
        <f aca="false">IFERROR(VALUE(SUBSTITUTE(SUBSTITUTE(Raw_Donors!L380,"$",""),",","")),0)</f>
        <v>0</v>
      </c>
      <c r="N380" s="10" t="n">
        <f aca="false">IFERROR(VALUE(SUBSTITUTE(SUBSTITUTE(Raw_Donors!M380,"$",""),",","")),0)</f>
        <v>0</v>
      </c>
      <c r="O380" s="10" t="n">
        <f aca="false">IFERROR(VALUE(SUBSTITUTE(SUBSTITUTE(Raw_Donors!N380,"$",""),",","")),0)</f>
        <v>25</v>
      </c>
      <c r="P380" s="10" t="n">
        <f aca="false">IFERROR(VALUE(SUBSTITUTE(SUBSTITUTE(Raw_Donors!O380,"$",""),",","")),0)</f>
        <v>0</v>
      </c>
      <c r="Q380" s="10" t="n">
        <f aca="false">IFERROR(VALUE(SUBSTITUTE(SUBSTITUTE(Raw_Donors!P380,"$",""),",","")),0)</f>
        <v>0</v>
      </c>
      <c r="R380" s="10" t="n">
        <f aca="false">Raw_Donors!Q380</f>
        <v>25</v>
      </c>
      <c r="S380" s="9" t="str">
        <f aca="false">Raw_Donors!R380</f>
        <v>Y</v>
      </c>
      <c r="T380" s="9" t="str">
        <f aca="false">IF(Raw_Donors!S380="","",Raw_Donors!S380)</f>
        <v/>
      </c>
      <c r="U380" s="9" t="str">
        <f aca="false">IF(AND((O380+P380)&gt;0,Q380=0),"Lapsed - Follow Up","")</f>
        <v>Lapsed - Follow Up</v>
      </c>
      <c r="V380" s="9" t="n">
        <f aca="false">RANK(R380,$R$2:$R$759)+COUNTIF($R$2:R380,R380)-1</f>
        <v>446</v>
      </c>
      <c r="W380" s="9" t="n">
        <f aca="false">IF(U380="Lapsed - Follow Up",COUNTIF($U$2:U380,"Lapsed - Follow Up"),"")</f>
        <v>54</v>
      </c>
    </row>
    <row r="381" customFormat="false" ht="15" hidden="false" customHeight="true" outlineLevel="0" collapsed="false">
      <c r="A381" s="9" t="str">
        <f aca="false">Raw_Donors!A381</f>
        <v>D1379</v>
      </c>
      <c r="B381" s="9" t="str">
        <f aca="false">IF(ISNUMBER(SEARCH("-DUP",A381)),"Duplicate ID","")</f>
        <v/>
      </c>
      <c r="C381" s="9" t="n">
        <f aca="false">Raw_Donors!B381</f>
        <v>77096</v>
      </c>
      <c r="D381" s="9" t="n">
        <f aca="false">Raw_Donors!C381</f>
        <v>0</v>
      </c>
      <c r="E381" s="9" t="str">
        <f aca="false">IFERROR(IF(Raw_Donors!D381="","Unknown",Raw_Donors!D381),"Unknown")</f>
        <v>Unknown</v>
      </c>
      <c r="F381" s="9" t="str">
        <f aca="false">IFERROR(IF(Raw_Donors!E381="","Unknown",Raw_Donors!E381),"Unknown")</f>
        <v>Female</v>
      </c>
      <c r="G381" s="9" t="str">
        <f aca="false">PROPER(TRIM(Raw_Donors!F381))</f>
        <v>Individual Donor</v>
      </c>
      <c r="H381" s="9" t="str">
        <f aca="false">IFERROR(IF(Raw_Donors!G381="","N",Raw_Donors!G381),"N")</f>
        <v>N</v>
      </c>
      <c r="I381" s="9" t="str">
        <f aca="false">IF(Raw_Donors!H381="","Not Rated",Raw_Donors!H381)</f>
        <v>Not Rated</v>
      </c>
      <c r="J381" s="9" t="str">
        <f aca="false">IF(TRIM(Raw_Donors!I381)="","Unknown",TRIM(Raw_Donors!I381))</f>
        <v>HOME</v>
      </c>
      <c r="K381" s="9" t="str">
        <f aca="false">Raw_Donors!J381</f>
        <v>N</v>
      </c>
      <c r="L381" s="9" t="n">
        <f aca="false">Raw_Donors!K381</f>
        <v>1</v>
      </c>
      <c r="M381" s="10" t="n">
        <f aca="false">IFERROR(VALUE(SUBSTITUTE(SUBSTITUTE(Raw_Donors!L381,"$",""),",","")),0)</f>
        <v>0</v>
      </c>
      <c r="N381" s="10" t="n">
        <f aca="false">IFERROR(VALUE(SUBSTITUTE(SUBSTITUTE(Raw_Donors!M381,"$",""),",","")),0)</f>
        <v>0</v>
      </c>
      <c r="O381" s="10" t="n">
        <f aca="false">IFERROR(VALUE(SUBSTITUTE(SUBSTITUTE(Raw_Donors!N381,"$",""),",","")),0)</f>
        <v>0</v>
      </c>
      <c r="P381" s="10" t="n">
        <f aca="false">IFERROR(VALUE(SUBSTITUTE(SUBSTITUTE(Raw_Donors!O381,"$",""),",","")),0)</f>
        <v>0</v>
      </c>
      <c r="Q381" s="10" t="n">
        <f aca="false">IFERROR(VALUE(SUBSTITUTE(SUBSTITUTE(Raw_Donors!P381,"$",""),",","")),0)</f>
        <v>0</v>
      </c>
      <c r="R381" s="10" t="n">
        <f aca="false">Raw_Donors!Q381</f>
        <v>0</v>
      </c>
      <c r="S381" s="9" t="str">
        <f aca="false">Raw_Donors!R381</f>
        <v>N</v>
      </c>
      <c r="T381" s="9" t="str">
        <f aca="false">IF(Raw_Donors!S381="","",Raw_Donors!S381)</f>
        <v/>
      </c>
      <c r="U381" s="9" t="str">
        <f aca="false">IF(AND((O381+P381)&gt;0,Q381=0),"Lapsed - Follow Up","")</f>
        <v/>
      </c>
      <c r="V381" s="9" t="n">
        <f aca="false">RANK(R381,$R$2:$R$759)+COUNTIF($R$2:R381,R381)-1</f>
        <v>655</v>
      </c>
      <c r="W381" s="9" t="str">
        <f aca="false">IF(U381="Lapsed - Follow Up",COUNTIF($U$2:U381,"Lapsed - Follow Up"),"")</f>
        <v/>
      </c>
    </row>
    <row r="382" customFormat="false" ht="15" hidden="false" customHeight="true" outlineLevel="0" collapsed="false">
      <c r="A382" s="9" t="str">
        <f aca="false">Raw_Donors!A382</f>
        <v>D1380</v>
      </c>
      <c r="B382" s="9" t="str">
        <f aca="false">IF(ISNUMBER(SEARCH("-DUP",A382)),"Duplicate ID","")</f>
        <v/>
      </c>
      <c r="C382" s="9" t="n">
        <f aca="false">Raw_Donors!B382</f>
        <v>95962</v>
      </c>
      <c r="D382" s="9" t="n">
        <f aca="false">Raw_Donors!C382</f>
        <v>0</v>
      </c>
      <c r="E382" s="9" t="str">
        <f aca="false">IFERROR(IF(Raw_Donors!D382="","Unknown",Raw_Donors!D382),"Unknown")</f>
        <v>Unknown</v>
      </c>
      <c r="F382" s="9" t="str">
        <f aca="false">IFERROR(IF(Raw_Donors!E382="","Unknown",Raw_Donors!E382),"Unknown")</f>
        <v>Female</v>
      </c>
      <c r="G382" s="9" t="str">
        <f aca="false">PROPER(TRIM(Raw_Donors!F382))</f>
        <v>Individual Donor</v>
      </c>
      <c r="H382" s="9" t="str">
        <f aca="false">IFERROR(IF(Raw_Donors!G382="","N",Raw_Donors!G382),"N")</f>
        <v>N</v>
      </c>
      <c r="I382" s="9" t="str">
        <f aca="false">IF(Raw_Donors!H382="","Not Rated",Raw_Donors!H382)</f>
        <v>Not Rated</v>
      </c>
      <c r="J382" s="9" t="str">
        <f aca="false">IF(TRIM(Raw_Donors!I382)="","Unknown",TRIM(Raw_Donors!I382))</f>
        <v>HOME</v>
      </c>
      <c r="K382" s="9" t="str">
        <f aca="false">Raw_Donors!J382</f>
        <v>N</v>
      </c>
      <c r="L382" s="9" t="n">
        <f aca="false">Raw_Donors!K382</f>
        <v>0</v>
      </c>
      <c r="M382" s="10" t="n">
        <f aca="false">IFERROR(VALUE(SUBSTITUTE(SUBSTITUTE(Raw_Donors!L382,"$",""),",","")),0)</f>
        <v>0</v>
      </c>
      <c r="N382" s="10" t="n">
        <f aca="false">IFERROR(VALUE(SUBSTITUTE(SUBSTITUTE(Raw_Donors!M382,"$",""),",","")),0)</f>
        <v>0</v>
      </c>
      <c r="O382" s="10" t="n">
        <f aca="false">IFERROR(VALUE(SUBSTITUTE(SUBSTITUTE(Raw_Donors!N382,"$",""),",","")),0)</f>
        <v>0</v>
      </c>
      <c r="P382" s="10" t="n">
        <f aca="false">IFERROR(VALUE(SUBSTITUTE(SUBSTITUTE(Raw_Donors!O382,"$",""),",","")),0)</f>
        <v>0</v>
      </c>
      <c r="Q382" s="10" t="n">
        <f aca="false">IFERROR(VALUE(SUBSTITUTE(SUBSTITUTE(Raw_Donors!P382,"$",""),",","")),0)</f>
        <v>0</v>
      </c>
      <c r="R382" s="10" t="n">
        <f aca="false">Raw_Donors!Q382</f>
        <v>135</v>
      </c>
      <c r="S382" s="9" t="str">
        <f aca="false">Raw_Donors!R382</f>
        <v>Y</v>
      </c>
      <c r="T382" s="9" t="str">
        <f aca="false">IF(Raw_Donors!S382="","",Raw_Donors!S382)</f>
        <v/>
      </c>
      <c r="U382" s="9" t="str">
        <f aca="false">IF(AND((O382+P382)&gt;0,Q382=0),"Lapsed - Follow Up","")</f>
        <v/>
      </c>
      <c r="V382" s="9" t="n">
        <f aca="false">RANK(R382,$R$2:$R$759)+COUNTIF($R$2:R382,R382)-1</f>
        <v>238</v>
      </c>
      <c r="W382" s="9" t="str">
        <f aca="false">IF(U382="Lapsed - Follow Up",COUNTIF($U$2:U382,"Lapsed - Follow Up"),"")</f>
        <v/>
      </c>
    </row>
    <row r="383" customFormat="false" ht="15" hidden="false" customHeight="true" outlineLevel="0" collapsed="false">
      <c r="A383" s="9" t="str">
        <f aca="false">Raw_Donors!A383</f>
        <v>D1381</v>
      </c>
      <c r="B383" s="9" t="str">
        <f aca="false">IF(ISNUMBER(SEARCH("-DUP",A383)),"Duplicate ID","")</f>
        <v/>
      </c>
      <c r="C383" s="9" t="n">
        <f aca="false">Raw_Donors!B383</f>
        <v>85746</v>
      </c>
      <c r="D383" s="9" t="n">
        <f aca="false">Raw_Donors!C383</f>
        <v>0</v>
      </c>
      <c r="E383" s="9" t="str">
        <f aca="false">IFERROR(IF(Raw_Donors!D383="","Unknown",Raw_Donors!D383),"Unknown")</f>
        <v>Single</v>
      </c>
      <c r="F383" s="9" t="str">
        <f aca="false">IFERROR(IF(Raw_Donors!E383="","Unknown",Raw_Donors!E383),"Unknown")</f>
        <v>Female</v>
      </c>
      <c r="G383" s="9" t="str">
        <f aca="false">PROPER(TRIM(Raw_Donors!F383))</f>
        <v>Individual Donor</v>
      </c>
      <c r="H383" s="9" t="str">
        <f aca="false">IFERROR(IF(Raw_Donors!G383="","N",Raw_Donors!G383),"N")</f>
        <v>N</v>
      </c>
      <c r="I383" s="9" t="str">
        <f aca="false">IF(Raw_Donors!H383="","Not Rated",Raw_Donors!H383)</f>
        <v>Not Rated</v>
      </c>
      <c r="J383" s="9" t="str">
        <f aca="false">IF(TRIM(Raw_Donors!I383)="","Unknown",TRIM(Raw_Donors!I383))</f>
        <v>HOME</v>
      </c>
      <c r="K383" s="9" t="str">
        <f aca="false">Raw_Donors!J383</f>
        <v>N</v>
      </c>
      <c r="L383" s="9" t="n">
        <f aca="false">Raw_Donors!K383</f>
        <v>1</v>
      </c>
      <c r="M383" s="10" t="n">
        <f aca="false">IFERROR(VALUE(SUBSTITUTE(SUBSTITUTE(Raw_Donors!L383,"$",""),",","")),0)</f>
        <v>0</v>
      </c>
      <c r="N383" s="10" t="n">
        <f aca="false">IFERROR(VALUE(SUBSTITUTE(SUBSTITUTE(Raw_Donors!M383,"$",""),",","")),0)</f>
        <v>0</v>
      </c>
      <c r="O383" s="10" t="n">
        <f aca="false">IFERROR(VALUE(SUBSTITUTE(SUBSTITUTE(Raw_Donors!N383,"$",""),",","")),0)</f>
        <v>1</v>
      </c>
      <c r="P383" s="10" t="n">
        <f aca="false">IFERROR(VALUE(SUBSTITUTE(SUBSTITUTE(Raw_Donors!O383,"$",""),",","")),0)</f>
        <v>0</v>
      </c>
      <c r="Q383" s="10" t="n">
        <f aca="false">IFERROR(VALUE(SUBSTITUTE(SUBSTITUTE(Raw_Donors!P383,"$",""),",","")),0)</f>
        <v>0</v>
      </c>
      <c r="R383" s="10" t="n">
        <f aca="false">Raw_Donors!Q383</f>
        <v>180</v>
      </c>
      <c r="S383" s="9" t="str">
        <f aca="false">Raw_Donors!R383</f>
        <v>Y</v>
      </c>
      <c r="T383" s="9" t="str">
        <f aca="false">IF(Raw_Donors!S383="","",Raw_Donors!S383)</f>
        <v/>
      </c>
      <c r="U383" s="9" t="str">
        <f aca="false">IF(AND((O383+P383)&gt;0,Q383=0),"Lapsed - Follow Up","")</f>
        <v>Lapsed - Follow Up</v>
      </c>
      <c r="V383" s="9" t="n">
        <f aca="false">RANK(R383,$R$2:$R$759)+COUNTIF($R$2:R383,R383)-1</f>
        <v>213</v>
      </c>
      <c r="W383" s="9" t="n">
        <f aca="false">IF(U383="Lapsed - Follow Up",COUNTIF($U$2:U383,"Lapsed - Follow Up"),"")</f>
        <v>55</v>
      </c>
    </row>
    <row r="384" customFormat="false" ht="15" hidden="false" customHeight="true" outlineLevel="0" collapsed="false">
      <c r="A384" s="9" t="str">
        <f aca="false">Raw_Donors!A384</f>
        <v>D1382</v>
      </c>
      <c r="B384" s="9" t="str">
        <f aca="false">IF(ISNUMBER(SEARCH("-DUP",A384)),"Duplicate ID","")</f>
        <v/>
      </c>
      <c r="C384" s="9" t="n">
        <f aca="false">Raw_Donors!B384</f>
        <v>91115</v>
      </c>
      <c r="D384" s="9" t="n">
        <f aca="false">Raw_Donors!C384</f>
        <v>36</v>
      </c>
      <c r="E384" s="9" t="str">
        <f aca="false">IFERROR(IF(Raw_Donors!D384="","Unknown",Raw_Donors!D384),"Unknown")</f>
        <v>Unknown</v>
      </c>
      <c r="F384" s="9" t="str">
        <f aca="false">IFERROR(IF(Raw_Donors!E384="","Unknown",Raw_Donors!E384),"Unknown")</f>
        <v>Male</v>
      </c>
      <c r="G384" s="9" t="str">
        <f aca="false">PROPER(TRIM(Raw_Donors!F384))</f>
        <v>Community Partner</v>
      </c>
      <c r="H384" s="9" t="str">
        <f aca="false">IFERROR(IF(Raw_Donors!G384="","N",Raw_Donors!G384),"N")</f>
        <v>Y</v>
      </c>
      <c r="I384" s="9" t="str">
        <f aca="false">IF(Raw_Donors!H384="","Not Rated",Raw_Donors!H384)</f>
        <v>Not Rated</v>
      </c>
      <c r="J384" s="9" t="str">
        <f aca="false">IF(TRIM(Raw_Donors!I384)="","Unknown",TRIM(Raw_Donors!I384))</f>
        <v>HOME</v>
      </c>
      <c r="K384" s="9" t="str">
        <f aca="false">Raw_Donors!J384</f>
        <v>Y</v>
      </c>
      <c r="L384" s="9" t="n">
        <f aca="false">Raw_Donors!K384</f>
        <v>3</v>
      </c>
      <c r="M384" s="10" t="n">
        <f aca="false">IFERROR(VALUE(SUBSTITUTE(SUBSTITUTE(Raw_Donors!L384,"$",""),",","")),0)</f>
        <v>0</v>
      </c>
      <c r="N384" s="10" t="n">
        <f aca="false">IFERROR(VALUE(SUBSTITUTE(SUBSTITUTE(Raw_Donors!M384,"$",""),",","")),0)</f>
        <v>0</v>
      </c>
      <c r="O384" s="10" t="n">
        <f aca="false">IFERROR(VALUE(SUBSTITUTE(SUBSTITUTE(Raw_Donors!N384,"$",""),",","")),0)</f>
        <v>0</v>
      </c>
      <c r="P384" s="10" t="n">
        <f aca="false">IFERROR(VALUE(SUBSTITUTE(SUBSTITUTE(Raw_Donors!O384,"$",""),",","")),0)</f>
        <v>0</v>
      </c>
      <c r="Q384" s="10" t="n">
        <f aca="false">IFERROR(VALUE(SUBSTITUTE(SUBSTITUTE(Raw_Donors!P384,"$",""),",","")),0)</f>
        <v>0</v>
      </c>
      <c r="R384" s="10" t="n">
        <f aca="false">Raw_Donors!Q384</f>
        <v>1765</v>
      </c>
      <c r="S384" s="9" t="str">
        <f aca="false">Raw_Donors!R384</f>
        <v>Y</v>
      </c>
      <c r="T384" s="9" t="str">
        <f aca="false">IF(Raw_Donors!S384="","",Raw_Donors!S384)</f>
        <v>1981-05-10</v>
      </c>
      <c r="U384" s="9" t="str">
        <f aca="false">IF(AND((O384+P384)&gt;0,Q384=0),"Lapsed - Follow Up","")</f>
        <v/>
      </c>
      <c r="V384" s="9" t="n">
        <f aca="false">RANK(R384,$R$2:$R$759)+COUNTIF($R$2:R384,R384)-1</f>
        <v>33</v>
      </c>
      <c r="W384" s="9" t="str">
        <f aca="false">IF(U384="Lapsed - Follow Up",COUNTIF($U$2:U384,"Lapsed - Follow Up"),"")</f>
        <v/>
      </c>
    </row>
    <row r="385" customFormat="false" ht="15" hidden="false" customHeight="true" outlineLevel="0" collapsed="false">
      <c r="A385" s="9" t="str">
        <f aca="false">Raw_Donors!A385</f>
        <v>D1383</v>
      </c>
      <c r="B385" s="9" t="str">
        <f aca="false">IF(ISNUMBER(SEARCH("-DUP",A385)),"Duplicate ID","")</f>
        <v/>
      </c>
      <c r="C385" s="9" t="n">
        <f aca="false">Raw_Donors!B385</f>
        <v>62468</v>
      </c>
      <c r="D385" s="9" t="n">
        <f aca="false">Raw_Donors!C385</f>
        <v>35</v>
      </c>
      <c r="E385" s="9" t="str">
        <f aca="false">IFERROR(IF(Raw_Donors!D385="","Unknown",Raw_Donors!D385),"Unknown")</f>
        <v>Unknown</v>
      </c>
      <c r="F385" s="9" t="str">
        <f aca="false">IFERROR(IF(Raw_Donors!E385="","Unknown",Raw_Donors!E385),"Unknown")</f>
        <v>Female</v>
      </c>
      <c r="G385" s="9" t="str">
        <f aca="false">PROPER(TRIM(Raw_Donors!F385))</f>
        <v>Community Partner</v>
      </c>
      <c r="H385" s="9" t="str">
        <f aca="false">IFERROR(IF(Raw_Donors!G385="","N",Raw_Donors!G385),"N")</f>
        <v>Y</v>
      </c>
      <c r="I385" s="9" t="str">
        <f aca="false">IF(Raw_Donors!H385="","Not Rated",Raw_Donors!H385)</f>
        <v>Not Rated</v>
      </c>
      <c r="J385" s="9" t="str">
        <f aca="false">IF(TRIM(Raw_Donors!I385)="","Unknown",TRIM(Raw_Donors!I385))</f>
        <v>HOME</v>
      </c>
      <c r="K385" s="9" t="str">
        <f aca="false">Raw_Donors!J385</f>
        <v>Y</v>
      </c>
      <c r="L385" s="9" t="n">
        <f aca="false">Raw_Donors!K385</f>
        <v>0</v>
      </c>
      <c r="M385" s="10" t="n">
        <f aca="false">IFERROR(VALUE(SUBSTITUTE(SUBSTITUTE(Raw_Donors!L385,"$",""),",","")),0)</f>
        <v>0</v>
      </c>
      <c r="N385" s="10" t="n">
        <f aca="false">IFERROR(VALUE(SUBSTITUTE(SUBSTITUTE(Raw_Donors!M385,"$",""),",","")),0)</f>
        <v>0</v>
      </c>
      <c r="O385" s="10" t="n">
        <f aca="false">IFERROR(VALUE(SUBSTITUTE(SUBSTITUTE(Raw_Donors!N385,"$",""),",","")),0)</f>
        <v>25</v>
      </c>
      <c r="P385" s="10" t="n">
        <f aca="false">IFERROR(VALUE(SUBSTITUTE(SUBSTITUTE(Raw_Donors!O385,"$",""),",","")),0)</f>
        <v>360</v>
      </c>
      <c r="Q385" s="10" t="n">
        <f aca="false">IFERROR(VALUE(SUBSTITUTE(SUBSTITUTE(Raw_Donors!P385,"$",""),",","")),0)</f>
        <v>0</v>
      </c>
      <c r="R385" s="10" t="n">
        <f aca="false">Raw_Donors!Q385</f>
        <v>385</v>
      </c>
      <c r="S385" s="9" t="str">
        <f aca="false">Raw_Donors!R385</f>
        <v>Y</v>
      </c>
      <c r="T385" s="9" t="str">
        <f aca="false">IF(Raw_Donors!S385="","",Raw_Donors!S385)</f>
        <v>1982-08-05</v>
      </c>
      <c r="U385" s="9" t="str">
        <f aca="false">IF(AND((O385+P385)&gt;0,Q385=0),"Lapsed - Follow Up","")</f>
        <v>Lapsed - Follow Up</v>
      </c>
      <c r="V385" s="9" t="n">
        <f aca="false">RANK(R385,$R$2:$R$759)+COUNTIF($R$2:R385,R385)-1</f>
        <v>116</v>
      </c>
      <c r="W385" s="9" t="n">
        <f aca="false">IF(U385="Lapsed - Follow Up",COUNTIF($U$2:U385,"Lapsed - Follow Up"),"")</f>
        <v>56</v>
      </c>
    </row>
    <row r="386" customFormat="false" ht="15" hidden="false" customHeight="true" outlineLevel="0" collapsed="false">
      <c r="A386" s="9" t="str">
        <f aca="false">Raw_Donors!A386</f>
        <v>D1384</v>
      </c>
      <c r="B386" s="9" t="str">
        <f aca="false">IF(ISNUMBER(SEARCH("-DUP",A386)),"Duplicate ID","")</f>
        <v/>
      </c>
      <c r="C386" s="9" t="n">
        <f aca="false">Raw_Donors!B386</f>
        <v>90265</v>
      </c>
      <c r="D386" s="9" t="n">
        <f aca="false">Raw_Donors!C386</f>
        <v>57</v>
      </c>
      <c r="E386" s="9" t="str">
        <f aca="false">IFERROR(IF(Raw_Donors!D386="","Unknown",Raw_Donors!D386),"Unknown")</f>
        <v>Unknown</v>
      </c>
      <c r="F386" s="9" t="str">
        <f aca="false">IFERROR(IF(Raw_Donors!E386="","Unknown",Raw_Donors!E386),"Unknown")</f>
        <v>Male</v>
      </c>
      <c r="G386" s="9" t="str">
        <f aca="false">PROPER(TRIM(Raw_Donors!F386))</f>
        <v>Community Partner</v>
      </c>
      <c r="H386" s="9" t="str">
        <f aca="false">IFERROR(IF(Raw_Donors!G386="","N",Raw_Donors!G386),"N")</f>
        <v>N</v>
      </c>
      <c r="I386" s="9" t="str">
        <f aca="false">IF(Raw_Donors!H386="","Not Rated",Raw_Donors!H386)</f>
        <v>$50,000-$99,999</v>
      </c>
      <c r="J386" s="9" t="str">
        <f aca="false">IF(TRIM(Raw_Donors!I386)="","Unknown",TRIM(Raw_Donors!I386))</f>
        <v>HOME</v>
      </c>
      <c r="K386" s="9" t="str">
        <f aca="false">Raw_Donors!J386</f>
        <v>Y</v>
      </c>
      <c r="L386" s="9" t="n">
        <f aca="false">Raw_Donors!K386</f>
        <v>1</v>
      </c>
      <c r="M386" s="10" t="n">
        <f aca="false">IFERROR(VALUE(SUBSTITUTE(SUBSTITUTE(Raw_Donors!L386,"$",""),",","")),0)</f>
        <v>0</v>
      </c>
      <c r="N386" s="10" t="n">
        <f aca="false">IFERROR(VALUE(SUBSTITUTE(SUBSTITUTE(Raw_Donors!M386,"$",""),",","")),0)</f>
        <v>0</v>
      </c>
      <c r="O386" s="10" t="n">
        <f aca="false">IFERROR(VALUE(SUBSTITUTE(SUBSTITUTE(Raw_Donors!N386,"$",""),",","")),0)</f>
        <v>0</v>
      </c>
      <c r="P386" s="10" t="n">
        <f aca="false">IFERROR(VALUE(SUBSTITUTE(SUBSTITUTE(Raw_Donors!O386,"$",""),",","")),0)</f>
        <v>0</v>
      </c>
      <c r="Q386" s="10" t="n">
        <f aca="false">IFERROR(VALUE(SUBSTITUTE(SUBSTITUTE(Raw_Donors!P386,"$",""),",","")),0)</f>
        <v>0</v>
      </c>
      <c r="R386" s="10" t="n">
        <f aca="false">Raw_Donors!Q386</f>
        <v>0</v>
      </c>
      <c r="S386" s="9" t="str">
        <f aca="false">Raw_Donors!R386</f>
        <v>N</v>
      </c>
      <c r="T386" s="9" t="str">
        <f aca="false">IF(Raw_Donors!S386="","",Raw_Donors!S386)</f>
        <v>1960-12-11</v>
      </c>
      <c r="U386" s="9" t="str">
        <f aca="false">IF(AND((O386+P386)&gt;0,Q386=0),"Lapsed - Follow Up","")</f>
        <v/>
      </c>
      <c r="V386" s="9" t="n">
        <f aca="false">RANK(R386,$R$2:$R$759)+COUNTIF($R$2:R386,R386)-1</f>
        <v>656</v>
      </c>
      <c r="W386" s="9" t="str">
        <f aca="false">IF(U386="Lapsed - Follow Up",COUNTIF($U$2:U386,"Lapsed - Follow Up"),"")</f>
        <v/>
      </c>
    </row>
    <row r="387" customFormat="false" ht="15" hidden="false" customHeight="true" outlineLevel="0" collapsed="false">
      <c r="A387" s="9" t="str">
        <f aca="false">Raw_Donors!A387</f>
        <v>D1385</v>
      </c>
      <c r="B387" s="9" t="str">
        <f aca="false">IF(ISNUMBER(SEARCH("-DUP",A387)),"Duplicate ID","")</f>
        <v/>
      </c>
      <c r="C387" s="9" t="n">
        <f aca="false">Raw_Donors!B387</f>
        <v>90265</v>
      </c>
      <c r="D387" s="9" t="n">
        <f aca="false">Raw_Donors!C387</f>
        <v>0</v>
      </c>
      <c r="E387" s="9" t="str">
        <f aca="false">IFERROR(IF(Raw_Donors!D387="","Unknown",Raw_Donors!D387),"Unknown")</f>
        <v>Married</v>
      </c>
      <c r="F387" s="9" t="str">
        <f aca="false">IFERROR(IF(Raw_Donors!E387="","Unknown",Raw_Donors!E387),"Unknown")</f>
        <v>Male</v>
      </c>
      <c r="G387" s="9" t="str">
        <f aca="false">PROPER(TRIM(Raw_Donors!F387))</f>
        <v>Family Donor</v>
      </c>
      <c r="H387" s="9" t="str">
        <f aca="false">IFERROR(IF(Raw_Donors!G387="","N",Raw_Donors!G387),"N")</f>
        <v>N</v>
      </c>
      <c r="I387" s="9" t="str">
        <f aca="false">IF(Raw_Donors!H387="","Not Rated",Raw_Donors!H387)</f>
        <v>Not Rated</v>
      </c>
      <c r="J387" s="9" t="str">
        <f aca="false">IF(TRIM(Raw_Donors!I387)="","Unknown",TRIM(Raw_Donors!I387))</f>
        <v>HOME</v>
      </c>
      <c r="K387" s="9" t="str">
        <f aca="false">Raw_Donors!J387</f>
        <v>Y</v>
      </c>
      <c r="L387" s="9" t="n">
        <f aca="false">Raw_Donors!K387</f>
        <v>0</v>
      </c>
      <c r="M387" s="10" t="n">
        <f aca="false">IFERROR(VALUE(SUBSTITUTE(SUBSTITUTE(Raw_Donors!L387,"$",""),",","")),0)</f>
        <v>0</v>
      </c>
      <c r="N387" s="10" t="n">
        <f aca="false">IFERROR(VALUE(SUBSTITUTE(SUBSTITUTE(Raw_Donors!M387,"$",""),",","")),0)</f>
        <v>0</v>
      </c>
      <c r="O387" s="10" t="n">
        <f aca="false">IFERROR(VALUE(SUBSTITUTE(SUBSTITUTE(Raw_Donors!N387,"$",""),",","")),0)</f>
        <v>0</v>
      </c>
      <c r="P387" s="10" t="n">
        <f aca="false">IFERROR(VALUE(SUBSTITUTE(SUBSTITUTE(Raw_Donors!O387,"$",""),",","")),0)</f>
        <v>0</v>
      </c>
      <c r="Q387" s="10" t="n">
        <f aca="false">IFERROR(VALUE(SUBSTITUTE(SUBSTITUTE(Raw_Donors!P387,"$",""),",","")),0)</f>
        <v>0</v>
      </c>
      <c r="R387" s="10" t="n">
        <f aca="false">Raw_Donors!Q387</f>
        <v>10</v>
      </c>
      <c r="S387" s="9" t="str">
        <f aca="false">Raw_Donors!R387</f>
        <v>Y</v>
      </c>
      <c r="T387" s="9" t="str">
        <f aca="false">IF(Raw_Donors!S387="","",Raw_Donors!S387)</f>
        <v/>
      </c>
      <c r="U387" s="9" t="str">
        <f aca="false">IF(AND((O387+P387)&gt;0,Q387=0),"Lapsed - Follow Up","")</f>
        <v/>
      </c>
      <c r="V387" s="9" t="n">
        <f aca="false">RANK(R387,$R$2:$R$759)+COUNTIF($R$2:R387,R387)-1</f>
        <v>498</v>
      </c>
      <c r="W387" s="9" t="str">
        <f aca="false">IF(U387="Lapsed - Follow Up",COUNTIF($U$2:U387,"Lapsed - Follow Up"),"")</f>
        <v/>
      </c>
    </row>
    <row r="388" customFormat="false" ht="15" hidden="false" customHeight="true" outlineLevel="0" collapsed="false">
      <c r="A388" s="9" t="str">
        <f aca="false">Raw_Donors!A388</f>
        <v>D1386</v>
      </c>
      <c r="B388" s="9" t="str">
        <f aca="false">IF(ISNUMBER(SEARCH("-DUP",A388)),"Duplicate ID","")</f>
        <v/>
      </c>
      <c r="C388" s="9" t="n">
        <f aca="false">Raw_Donors!B388</f>
        <v>99033</v>
      </c>
      <c r="D388" s="9" t="n">
        <f aca="false">Raw_Donors!C388</f>
        <v>51</v>
      </c>
      <c r="E388" s="9" t="str">
        <f aca="false">IFERROR(IF(Raw_Donors!D388="","Unknown",Raw_Donors!D388),"Unknown")</f>
        <v>Unknown</v>
      </c>
      <c r="F388" s="9" t="str">
        <f aca="false">IFERROR(IF(Raw_Donors!E388="","Unknown",Raw_Donors!E388),"Unknown")</f>
        <v>Female</v>
      </c>
      <c r="G388" s="9" t="str">
        <f aca="false">PROPER(TRIM(Raw_Donors!F388))</f>
        <v>Individual Donor</v>
      </c>
      <c r="H388" s="9" t="str">
        <f aca="false">IFERROR(IF(Raw_Donors!G388="","N",Raw_Donors!G388),"N")</f>
        <v>N</v>
      </c>
      <c r="I388" s="9" t="str">
        <f aca="false">IF(Raw_Donors!H388="","Not Rated",Raw_Donors!H388)</f>
        <v>Not Rated</v>
      </c>
      <c r="J388" s="9" t="str">
        <f aca="false">IF(TRIM(Raw_Donors!I388)="","Unknown",TRIM(Raw_Donors!I388))</f>
        <v>HOME</v>
      </c>
      <c r="K388" s="9" t="str">
        <f aca="false">Raw_Donors!J388</f>
        <v>Y</v>
      </c>
      <c r="L388" s="9" t="n">
        <f aca="false">Raw_Donors!K388</f>
        <v>0</v>
      </c>
      <c r="M388" s="10" t="n">
        <f aca="false">IFERROR(VALUE(SUBSTITUTE(SUBSTITUTE(Raw_Donors!L388,"$",""),",","")),0)</f>
        <v>0</v>
      </c>
      <c r="N388" s="10" t="n">
        <f aca="false">IFERROR(VALUE(SUBSTITUTE(SUBSTITUTE(Raw_Donors!M388,"$",""),",","")),0)</f>
        <v>0</v>
      </c>
      <c r="O388" s="10" t="n">
        <f aca="false">IFERROR(VALUE(SUBSTITUTE(SUBSTITUTE(Raw_Donors!N388,"$",""),",","")),0)</f>
        <v>0</v>
      </c>
      <c r="P388" s="10" t="n">
        <f aca="false">IFERROR(VALUE(SUBSTITUTE(SUBSTITUTE(Raw_Donors!O388,"$",""),",","")),0)</f>
        <v>0</v>
      </c>
      <c r="Q388" s="10" t="n">
        <f aca="false">IFERROR(VALUE(SUBSTITUTE(SUBSTITUTE(Raw_Donors!P388,"$",""),",","")),0)</f>
        <v>0</v>
      </c>
      <c r="R388" s="10" t="n">
        <f aca="false">Raw_Donors!Q388</f>
        <v>500</v>
      </c>
      <c r="S388" s="9" t="str">
        <f aca="false">Raw_Donors!R388</f>
        <v>Y</v>
      </c>
      <c r="T388" s="9" t="str">
        <f aca="false">IF(Raw_Donors!S388="","",Raw_Donors!S388)</f>
        <v>1966-12-01</v>
      </c>
      <c r="U388" s="9" t="str">
        <f aca="false">IF(AND((O388+P388)&gt;0,Q388=0),"Lapsed - Follow Up","")</f>
        <v/>
      </c>
      <c r="V388" s="9" t="n">
        <f aca="false">RANK(R388,$R$2:$R$759)+COUNTIF($R$2:R388,R388)-1</f>
        <v>91</v>
      </c>
      <c r="W388" s="9" t="str">
        <f aca="false">IF(U388="Lapsed - Follow Up",COUNTIF($U$2:U388,"Lapsed - Follow Up"),"")</f>
        <v/>
      </c>
    </row>
    <row r="389" customFormat="false" ht="15" hidden="false" customHeight="true" outlineLevel="0" collapsed="false">
      <c r="A389" s="9" t="str">
        <f aca="false">Raw_Donors!A389</f>
        <v>D1387</v>
      </c>
      <c r="B389" s="9" t="str">
        <f aca="false">IF(ISNUMBER(SEARCH("-DUP",A389)),"Duplicate ID","")</f>
        <v/>
      </c>
      <c r="C389" s="9" t="n">
        <f aca="false">Raw_Donors!B389</f>
        <v>32901</v>
      </c>
      <c r="D389" s="9" t="n">
        <f aca="false">Raw_Donors!C389</f>
        <v>0</v>
      </c>
      <c r="E389" s="9" t="str">
        <f aca="false">IFERROR(IF(Raw_Donors!D389="","Unknown",Raw_Donors!D389),"Unknown")</f>
        <v>Unknown</v>
      </c>
      <c r="F389" s="9" t="str">
        <f aca="false">IFERROR(IF(Raw_Donors!E389="","Unknown",Raw_Donors!E389),"Unknown")</f>
        <v>Male</v>
      </c>
      <c r="G389" s="9" t="str">
        <f aca="false">PROPER(TRIM(Raw_Donors!F389))</f>
        <v>Individual Donor</v>
      </c>
      <c r="H389" s="9" t="str">
        <f aca="false">IFERROR(IF(Raw_Donors!G389="","N",Raw_Donors!G389),"N")</f>
        <v>N</v>
      </c>
      <c r="I389" s="9" t="str">
        <f aca="false">IF(Raw_Donors!H389="","Not Rated",Raw_Donors!H389)</f>
        <v>$100,000-$249,999</v>
      </c>
      <c r="J389" s="9" t="str">
        <f aca="false">IF(TRIM(Raw_Donors!I389)="","Unknown",TRIM(Raw_Donors!I389))</f>
        <v>HOME</v>
      </c>
      <c r="K389" s="9" t="str">
        <f aca="false">Raw_Donors!J389</f>
        <v>N</v>
      </c>
      <c r="L389" s="9" t="n">
        <f aca="false">Raw_Donors!K389</f>
        <v>1</v>
      </c>
      <c r="M389" s="10" t="n">
        <f aca="false">IFERROR(VALUE(SUBSTITUTE(SUBSTITUTE(Raw_Donors!L389,"$",""),",","")),0)</f>
        <v>0</v>
      </c>
      <c r="N389" s="10" t="n">
        <f aca="false">IFERROR(VALUE(SUBSTITUTE(SUBSTITUTE(Raw_Donors!M389,"$",""),",","")),0)</f>
        <v>0</v>
      </c>
      <c r="O389" s="10" t="n">
        <f aca="false">IFERROR(VALUE(SUBSTITUTE(SUBSTITUTE(Raw_Donors!N389,"$",""),",","")),0)</f>
        <v>0</v>
      </c>
      <c r="P389" s="10" t="n">
        <f aca="false">IFERROR(VALUE(SUBSTITUTE(SUBSTITUTE(Raw_Donors!O389,"$",""),",","")),0)</f>
        <v>0</v>
      </c>
      <c r="Q389" s="10" t="n">
        <f aca="false">IFERROR(VALUE(SUBSTITUTE(SUBSTITUTE(Raw_Donors!P389,"$",""),",","")),0)</f>
        <v>130</v>
      </c>
      <c r="R389" s="10" t="n">
        <f aca="false">Raw_Donors!Q389</f>
        <v>130</v>
      </c>
      <c r="S389" s="9" t="str">
        <f aca="false">Raw_Donors!R389</f>
        <v>Y</v>
      </c>
      <c r="T389" s="9" t="str">
        <f aca="false">IF(Raw_Donors!S389="","",Raw_Donors!S389)</f>
        <v/>
      </c>
      <c r="U389" s="9" t="str">
        <f aca="false">IF(AND((O389+P389)&gt;0,Q389=0),"Lapsed - Follow Up","")</f>
        <v/>
      </c>
      <c r="V389" s="9" t="n">
        <f aca="false">RANK(R389,$R$2:$R$759)+COUNTIF($R$2:R389,R389)-1</f>
        <v>241</v>
      </c>
      <c r="W389" s="9" t="str">
        <f aca="false">IF(U389="Lapsed - Follow Up",COUNTIF($U$2:U389,"Lapsed - Follow Up"),"")</f>
        <v/>
      </c>
    </row>
    <row r="390" customFormat="false" ht="15" hidden="false" customHeight="true" outlineLevel="0" collapsed="false">
      <c r="A390" s="9" t="str">
        <f aca="false">Raw_Donors!A390</f>
        <v>D1388</v>
      </c>
      <c r="B390" s="9" t="str">
        <f aca="false">IF(ISNUMBER(SEARCH("-DUP",A390)),"Duplicate ID","")</f>
        <v/>
      </c>
      <c r="C390" s="9" t="n">
        <f aca="false">Raw_Donors!B390</f>
        <v>71343</v>
      </c>
      <c r="D390" s="9" t="n">
        <f aca="false">Raw_Donors!C390</f>
        <v>0</v>
      </c>
      <c r="E390" s="9" t="str">
        <f aca="false">IFERROR(IF(Raw_Donors!D390="","Unknown",Raw_Donors!D390),"Unknown")</f>
        <v>Unknown</v>
      </c>
      <c r="F390" s="9" t="str">
        <f aca="false">IFERROR(IF(Raw_Donors!E390="","Unknown",Raw_Donors!E390),"Unknown")</f>
        <v>Male</v>
      </c>
      <c r="G390" s="9" t="str">
        <f aca="false">PROPER(TRIM(Raw_Donors!F390))</f>
        <v>Individual Donor</v>
      </c>
      <c r="H390" s="9" t="str">
        <f aca="false">IFERROR(IF(Raw_Donors!G390="","N",Raw_Donors!G390),"N")</f>
        <v>N</v>
      </c>
      <c r="I390" s="9" t="str">
        <f aca="false">IF(Raw_Donors!H390="","Not Rated",Raw_Donors!H390)</f>
        <v>Not Rated</v>
      </c>
      <c r="J390" s="9" t="str">
        <f aca="false">IF(TRIM(Raw_Donors!I390)="","Unknown",TRIM(Raw_Donors!I390))</f>
        <v>HOME</v>
      </c>
      <c r="K390" s="9" t="str">
        <f aca="false">Raw_Donors!J390</f>
        <v>N</v>
      </c>
      <c r="L390" s="9" t="n">
        <f aca="false">Raw_Donors!K390</f>
        <v>1</v>
      </c>
      <c r="M390" s="10" t="n">
        <f aca="false">IFERROR(VALUE(SUBSTITUTE(SUBSTITUTE(Raw_Donors!L390,"$",""),",","")),0)</f>
        <v>0</v>
      </c>
      <c r="N390" s="10" t="n">
        <f aca="false">IFERROR(VALUE(SUBSTITUTE(SUBSTITUTE(Raw_Donors!M390,"$",""),",","")),0)</f>
        <v>0</v>
      </c>
      <c r="O390" s="10" t="n">
        <f aca="false">IFERROR(VALUE(SUBSTITUTE(SUBSTITUTE(Raw_Donors!N390,"$",""),",","")),0)</f>
        <v>0</v>
      </c>
      <c r="P390" s="10" t="n">
        <f aca="false">IFERROR(VALUE(SUBSTITUTE(SUBSTITUTE(Raw_Donors!O390,"$",""),",","")),0)</f>
        <v>0</v>
      </c>
      <c r="Q390" s="10" t="n">
        <f aca="false">IFERROR(VALUE(SUBSTITUTE(SUBSTITUTE(Raw_Donors!P390,"$",""),",","")),0)</f>
        <v>0</v>
      </c>
      <c r="R390" s="10" t="n">
        <f aca="false">Raw_Donors!Q390</f>
        <v>50</v>
      </c>
      <c r="S390" s="9" t="str">
        <f aca="false">Raw_Donors!R390</f>
        <v>Y</v>
      </c>
      <c r="T390" s="9" t="str">
        <f aca="false">IF(Raw_Donors!S390="","",Raw_Donors!S390)</f>
        <v/>
      </c>
      <c r="U390" s="9" t="str">
        <f aca="false">IF(AND((O390+P390)&gt;0,Q390=0),"Lapsed - Follow Up","")</f>
        <v/>
      </c>
      <c r="V390" s="9" t="n">
        <f aca="false">RANK(R390,$R$2:$R$759)+COUNTIF($R$2:R390,R390)-1</f>
        <v>378</v>
      </c>
      <c r="W390" s="9" t="str">
        <f aca="false">IF(U390="Lapsed - Follow Up",COUNTIF($U$2:U390,"Lapsed - Follow Up"),"")</f>
        <v/>
      </c>
    </row>
    <row r="391" customFormat="false" ht="15" hidden="false" customHeight="true" outlineLevel="0" collapsed="false">
      <c r="A391" s="9" t="str">
        <f aca="false">Raw_Donors!A391</f>
        <v>D1389</v>
      </c>
      <c r="B391" s="9" t="str">
        <f aca="false">IF(ISNUMBER(SEARCH("-DUP",A391)),"Duplicate ID","")</f>
        <v/>
      </c>
      <c r="C391" s="9" t="n">
        <f aca="false">Raw_Donors!B391</f>
        <v>78603</v>
      </c>
      <c r="D391" s="9" t="n">
        <f aca="false">Raw_Donors!C391</f>
        <v>52</v>
      </c>
      <c r="E391" s="9" t="str">
        <f aca="false">IFERROR(IF(Raw_Donors!D391="","Unknown",Raw_Donors!D391),"Unknown")</f>
        <v>Unknown</v>
      </c>
      <c r="F391" s="9" t="str">
        <f aca="false">IFERROR(IF(Raw_Donors!E391="","Unknown",Raw_Donors!E391),"Unknown")</f>
        <v>Female</v>
      </c>
      <c r="G391" s="9" t="str">
        <f aca="false">PROPER(TRIM(Raw_Donors!F391))</f>
        <v>Individual Donor</v>
      </c>
      <c r="H391" s="9" t="str">
        <f aca="false">IFERROR(IF(Raw_Donors!G391="","N",Raw_Donors!G391),"N")</f>
        <v>N</v>
      </c>
      <c r="I391" s="9" t="str">
        <f aca="false">IF(Raw_Donors!H391="","Not Rated",Raw_Donors!H391)</f>
        <v>Not Rated</v>
      </c>
      <c r="J391" s="9" t="str">
        <f aca="false">IF(TRIM(Raw_Donors!I391)="","Unknown",TRIM(Raw_Donors!I391))</f>
        <v>HOME</v>
      </c>
      <c r="K391" s="9" t="str">
        <f aca="false">Raw_Donors!J391</f>
        <v>N</v>
      </c>
      <c r="L391" s="9" t="n">
        <f aca="false">Raw_Donors!K391</f>
        <v>0</v>
      </c>
      <c r="M391" s="10" t="n">
        <f aca="false">IFERROR(VALUE(SUBSTITUTE(SUBSTITUTE(Raw_Donors!L391,"$",""),",","")),0)</f>
        <v>0</v>
      </c>
      <c r="N391" s="10" t="n">
        <f aca="false">IFERROR(VALUE(SUBSTITUTE(SUBSTITUTE(Raw_Donors!M391,"$",""),",","")),0)</f>
        <v>0</v>
      </c>
      <c r="O391" s="10" t="n">
        <f aca="false">IFERROR(VALUE(SUBSTITUTE(SUBSTITUTE(Raw_Donors!N391,"$",""),",","")),0)</f>
        <v>0</v>
      </c>
      <c r="P391" s="10" t="n">
        <f aca="false">IFERROR(VALUE(SUBSTITUTE(SUBSTITUTE(Raw_Donors!O391,"$",""),",","")),0)</f>
        <v>0</v>
      </c>
      <c r="Q391" s="10" t="n">
        <f aca="false">IFERROR(VALUE(SUBSTITUTE(SUBSTITUTE(Raw_Donors!P391,"$",""),",","")),0)</f>
        <v>200</v>
      </c>
      <c r="R391" s="10" t="n">
        <f aca="false">Raw_Donors!Q391</f>
        <v>200</v>
      </c>
      <c r="S391" s="9" t="str">
        <f aca="false">Raw_Donors!R391</f>
        <v>Y</v>
      </c>
      <c r="T391" s="9" t="str">
        <f aca="false">IF(Raw_Donors!S391="","",Raw_Donors!S391)</f>
        <v>1965-05-11</v>
      </c>
      <c r="U391" s="9" t="str">
        <f aca="false">IF(AND((O391+P391)&gt;0,Q391=0),"Lapsed - Follow Up","")</f>
        <v/>
      </c>
      <c r="V391" s="9" t="n">
        <f aca="false">RANK(R391,$R$2:$R$759)+COUNTIF($R$2:R391,R391)-1</f>
        <v>200</v>
      </c>
      <c r="W391" s="9" t="str">
        <f aca="false">IF(U391="Lapsed - Follow Up",COUNTIF($U$2:U391,"Lapsed - Follow Up"),"")</f>
        <v/>
      </c>
    </row>
    <row r="392" customFormat="false" ht="15" hidden="false" customHeight="true" outlineLevel="0" collapsed="false">
      <c r="A392" s="9" t="str">
        <f aca="false">Raw_Donors!A392</f>
        <v>D1390</v>
      </c>
      <c r="B392" s="9" t="str">
        <f aca="false">IF(ISNUMBER(SEARCH("-DUP",A392)),"Duplicate ID","")</f>
        <v/>
      </c>
      <c r="C392" s="9" t="n">
        <f aca="false">Raw_Donors!B392</f>
        <v>90265</v>
      </c>
      <c r="D392" s="9" t="n">
        <f aca="false">Raw_Donors!C392</f>
        <v>0</v>
      </c>
      <c r="E392" s="9" t="str">
        <f aca="false">IFERROR(IF(Raw_Donors!D392="","Unknown",Raw_Donors!D392),"Unknown")</f>
        <v>Unknown</v>
      </c>
      <c r="F392" s="9" t="str">
        <f aca="false">IFERROR(IF(Raw_Donors!E392="","Unknown",Raw_Donors!E392),"Unknown")</f>
        <v>Female</v>
      </c>
      <c r="G392" s="9" t="str">
        <f aca="false">PROPER(TRIM(Raw_Donors!F392))</f>
        <v>Community Partner</v>
      </c>
      <c r="H392" s="9" t="str">
        <f aca="false">IFERROR(IF(Raw_Donors!G392="","N",Raw_Donors!G392),"N")</f>
        <v>Y</v>
      </c>
      <c r="I392" s="9" t="str">
        <f aca="false">IF(Raw_Donors!H392="","Not Rated",Raw_Donors!H392)</f>
        <v>Not Rated</v>
      </c>
      <c r="J392" s="9" t="str">
        <f aca="false">IF(TRIM(Raw_Donors!I392)="","Unknown",TRIM(Raw_Donors!I392))</f>
        <v>HOME</v>
      </c>
      <c r="K392" s="9" t="str">
        <f aca="false">Raw_Donors!J392</f>
        <v>Y</v>
      </c>
      <c r="L392" s="9" t="n">
        <f aca="false">Raw_Donors!K392</f>
        <v>3</v>
      </c>
      <c r="M392" s="10" t="n">
        <f aca="false">IFERROR(VALUE(SUBSTITUTE(SUBSTITUTE(Raw_Donors!L392,"$",""),",","")),0)</f>
        <v>120</v>
      </c>
      <c r="N392" s="10" t="n">
        <f aca="false">IFERROR(VALUE(SUBSTITUTE(SUBSTITUTE(Raw_Donors!M392,"$",""),",","")),0)</f>
        <v>0</v>
      </c>
      <c r="O392" s="10" t="n">
        <f aca="false">IFERROR(VALUE(SUBSTITUTE(SUBSTITUTE(Raw_Donors!N392,"$",""),",","")),0)</f>
        <v>0</v>
      </c>
      <c r="P392" s="10" t="n">
        <f aca="false">IFERROR(VALUE(SUBSTITUTE(SUBSTITUTE(Raw_Donors!O392,"$",""),",","")),0)</f>
        <v>0</v>
      </c>
      <c r="Q392" s="10" t="n">
        <f aca="false">IFERROR(VALUE(SUBSTITUTE(SUBSTITUTE(Raw_Donors!P392,"$",""),",","")),0)</f>
        <v>0</v>
      </c>
      <c r="R392" s="10" t="n">
        <f aca="false">Raw_Donors!Q392</f>
        <v>120</v>
      </c>
      <c r="S392" s="9" t="str">
        <f aca="false">Raw_Donors!R392</f>
        <v>Y</v>
      </c>
      <c r="T392" s="9" t="str">
        <f aca="false">IF(Raw_Donors!S392="","",Raw_Donors!S392)</f>
        <v/>
      </c>
      <c r="U392" s="9" t="str">
        <f aca="false">IF(AND((O392+P392)&gt;0,Q392=0),"Lapsed - Follow Up","")</f>
        <v/>
      </c>
      <c r="V392" s="9" t="n">
        <f aca="false">RANK(R392,$R$2:$R$759)+COUNTIF($R$2:R392,R392)-1</f>
        <v>254</v>
      </c>
      <c r="W392" s="9" t="str">
        <f aca="false">IF(U392="Lapsed - Follow Up",COUNTIF($U$2:U392,"Lapsed - Follow Up"),"")</f>
        <v/>
      </c>
    </row>
    <row r="393" customFormat="false" ht="15" hidden="false" customHeight="true" outlineLevel="0" collapsed="false">
      <c r="A393" s="9" t="str">
        <f aca="false">Raw_Donors!A393</f>
        <v>D1391</v>
      </c>
      <c r="B393" s="9" t="str">
        <f aca="false">IF(ISNUMBER(SEARCH("-DUP",A393)),"Duplicate ID","")</f>
        <v/>
      </c>
      <c r="C393" s="9" t="n">
        <f aca="false">Raw_Donors!B393</f>
        <v>35761</v>
      </c>
      <c r="D393" s="9" t="n">
        <f aca="false">Raw_Donors!C393</f>
        <v>35</v>
      </c>
      <c r="E393" s="9" t="str">
        <f aca="false">IFERROR(IF(Raw_Donors!D393="","Unknown",Raw_Donors!D393),"Unknown")</f>
        <v>Unknown</v>
      </c>
      <c r="F393" s="9" t="str">
        <f aca="false">IFERROR(IF(Raw_Donors!E393="","Unknown",Raw_Donors!E393),"Unknown")</f>
        <v>Male</v>
      </c>
      <c r="G393" s="9" t="str">
        <f aca="false">PROPER(TRIM(Raw_Donors!F393))</f>
        <v>Individual Donor</v>
      </c>
      <c r="H393" s="9" t="str">
        <f aca="false">IFERROR(IF(Raw_Donors!G393="","N",Raw_Donors!G393),"N")</f>
        <v>N</v>
      </c>
      <c r="I393" s="9" t="str">
        <f aca="false">IF(Raw_Donors!H393="","Not Rated",Raw_Donors!H393)</f>
        <v>Not Rated</v>
      </c>
      <c r="J393" s="9" t="str">
        <f aca="false">IF(TRIM(Raw_Donors!I393)="","Unknown",TRIM(Raw_Donors!I393))</f>
        <v>HOME</v>
      </c>
      <c r="K393" s="9" t="str">
        <f aca="false">Raw_Donors!J393</f>
        <v>N</v>
      </c>
      <c r="L393" s="9" t="n">
        <f aca="false">Raw_Donors!K393</f>
        <v>0</v>
      </c>
      <c r="M393" s="10" t="n">
        <f aca="false">IFERROR(VALUE(SUBSTITUTE(SUBSTITUTE(Raw_Donors!L393,"$",""),",","")),0)</f>
        <v>0</v>
      </c>
      <c r="N393" s="10" t="n">
        <f aca="false">IFERROR(VALUE(SUBSTITUTE(SUBSTITUTE(Raw_Donors!M393,"$",""),",","")),0)</f>
        <v>0</v>
      </c>
      <c r="O393" s="10" t="n">
        <f aca="false">IFERROR(VALUE(SUBSTITUTE(SUBSTITUTE(Raw_Donors!N393,"$",""),",","")),0)</f>
        <v>0</v>
      </c>
      <c r="P393" s="10" t="n">
        <f aca="false">IFERROR(VALUE(SUBSTITUTE(SUBSTITUTE(Raw_Donors!O393,"$",""),",","")),0)</f>
        <v>0</v>
      </c>
      <c r="Q393" s="10" t="n">
        <f aca="false">IFERROR(VALUE(SUBSTITUTE(SUBSTITUTE(Raw_Donors!P393,"$",""),",","")),0)</f>
        <v>0</v>
      </c>
      <c r="R393" s="10" t="n">
        <f aca="false">Raw_Donors!Q393</f>
        <v>102</v>
      </c>
      <c r="S393" s="9" t="str">
        <f aca="false">Raw_Donors!R393</f>
        <v>Y</v>
      </c>
      <c r="T393" s="9" t="str">
        <f aca="false">IF(Raw_Donors!S393="","",Raw_Donors!S393)</f>
        <v>1982-12-08</v>
      </c>
      <c r="U393" s="9" t="str">
        <f aca="false">IF(AND((O393+P393)&gt;0,Q393=0),"Lapsed - Follow Up","")</f>
        <v/>
      </c>
      <c r="V393" s="9" t="n">
        <f aca="false">RANK(R393,$R$2:$R$759)+COUNTIF($R$2:R393,R393)-1</f>
        <v>269</v>
      </c>
      <c r="W393" s="9" t="str">
        <f aca="false">IF(U393="Lapsed - Follow Up",COUNTIF($U$2:U393,"Lapsed - Follow Up"),"")</f>
        <v/>
      </c>
    </row>
    <row r="394" customFormat="false" ht="15" hidden="false" customHeight="true" outlineLevel="0" collapsed="false">
      <c r="A394" s="9" t="str">
        <f aca="false">Raw_Donors!A394</f>
        <v>D1392</v>
      </c>
      <c r="B394" s="9" t="str">
        <f aca="false">IF(ISNUMBER(SEARCH("-DUP",A394)),"Duplicate ID","")</f>
        <v/>
      </c>
      <c r="C394" s="9" t="n">
        <f aca="false">Raw_Donors!B394</f>
        <v>3766</v>
      </c>
      <c r="D394" s="9" t="n">
        <f aca="false">Raw_Donors!C394</f>
        <v>40</v>
      </c>
      <c r="E394" s="9" t="str">
        <f aca="false">IFERROR(IF(Raw_Donors!D394="","Unknown",Raw_Donors!D394),"Unknown")</f>
        <v>Unknown</v>
      </c>
      <c r="F394" s="9" t="str">
        <f aca="false">IFERROR(IF(Raw_Donors!E394="","Unknown",Raw_Donors!E394),"Unknown")</f>
        <v>Male</v>
      </c>
      <c r="G394" s="9" t="str">
        <f aca="false">PROPER(TRIM(Raw_Donors!F394))</f>
        <v>Community Partner</v>
      </c>
      <c r="H394" s="9" t="str">
        <f aca="false">IFERROR(IF(Raw_Donors!G394="","N",Raw_Donors!G394),"N")</f>
        <v>Y</v>
      </c>
      <c r="I394" s="9" t="str">
        <f aca="false">IF(Raw_Donors!H394="","Not Rated",Raw_Donors!H394)</f>
        <v>$100,000-$249,999</v>
      </c>
      <c r="J394" s="9" t="str">
        <f aca="false">IF(TRIM(Raw_Donors!I394)="","Unknown",TRIM(Raw_Donors!I394))</f>
        <v>HOME</v>
      </c>
      <c r="K394" s="9" t="str">
        <f aca="false">Raw_Donors!J394</f>
        <v>Y</v>
      </c>
      <c r="L394" s="9" t="n">
        <f aca="false">Raw_Donors!K394</f>
        <v>0</v>
      </c>
      <c r="M394" s="10" t="n">
        <f aca="false">IFERROR(VALUE(SUBSTITUTE(SUBSTITUTE(Raw_Donors!L394,"$",""),",","")),0)</f>
        <v>0</v>
      </c>
      <c r="N394" s="10" t="n">
        <f aca="false">IFERROR(VALUE(SUBSTITUTE(SUBSTITUTE(Raw_Donors!M394,"$",""),",","")),0)</f>
        <v>0</v>
      </c>
      <c r="O394" s="10" t="n">
        <f aca="false">IFERROR(VALUE(SUBSTITUTE(SUBSTITUTE(Raw_Donors!N394,"$",""),",","")),0)</f>
        <v>0</v>
      </c>
      <c r="P394" s="10" t="n">
        <f aca="false">IFERROR(VALUE(SUBSTITUTE(SUBSTITUTE(Raw_Donors!O394,"$",""),",","")),0)</f>
        <v>0</v>
      </c>
      <c r="Q394" s="10" t="n">
        <f aca="false">IFERROR(VALUE(SUBSTITUTE(SUBSTITUTE(Raw_Donors!P394,"$",""),",","")),0)</f>
        <v>0</v>
      </c>
      <c r="R394" s="10" t="n">
        <f aca="false">Raw_Donors!Q394</f>
        <v>0</v>
      </c>
      <c r="S394" s="9" t="str">
        <f aca="false">Raw_Donors!R394</f>
        <v>N</v>
      </c>
      <c r="T394" s="9" t="str">
        <f aca="false">IF(Raw_Donors!S394="","",Raw_Donors!S394)</f>
        <v>1977-03-08</v>
      </c>
      <c r="U394" s="9" t="str">
        <f aca="false">IF(AND((O394+P394)&gt;0,Q394=0),"Lapsed - Follow Up","")</f>
        <v/>
      </c>
      <c r="V394" s="9" t="n">
        <f aca="false">RANK(R394,$R$2:$R$759)+COUNTIF($R$2:R394,R394)-1</f>
        <v>657</v>
      </c>
      <c r="W394" s="9" t="str">
        <f aca="false">IF(U394="Lapsed - Follow Up",COUNTIF($U$2:U394,"Lapsed - Follow Up"),"")</f>
        <v/>
      </c>
    </row>
    <row r="395" customFormat="false" ht="15" hidden="false" customHeight="true" outlineLevel="0" collapsed="false">
      <c r="A395" s="9" t="str">
        <f aca="false">Raw_Donors!A395</f>
        <v>D1393</v>
      </c>
      <c r="B395" s="9" t="str">
        <f aca="false">IF(ISNUMBER(SEARCH("-DUP",A395)),"Duplicate ID","")</f>
        <v/>
      </c>
      <c r="C395" s="9" t="n">
        <f aca="false">Raw_Donors!B395</f>
        <v>3851</v>
      </c>
      <c r="D395" s="9" t="n">
        <f aca="false">Raw_Donors!C395</f>
        <v>67</v>
      </c>
      <c r="E395" s="9" t="str">
        <f aca="false">IFERROR(IF(Raw_Donors!D395="","Unknown",Raw_Donors!D395),"Unknown")</f>
        <v>Unknown</v>
      </c>
      <c r="F395" s="9" t="str">
        <f aca="false">IFERROR(IF(Raw_Donors!E395="","Unknown",Raw_Donors!E395),"Unknown")</f>
        <v>Male</v>
      </c>
      <c r="G395" s="9" t="str">
        <f aca="false">PROPER(TRIM(Raw_Donors!F395))</f>
        <v>Individual Donor</v>
      </c>
      <c r="H395" s="9" t="str">
        <f aca="false">IFERROR(IF(Raw_Donors!G395="","N",Raw_Donors!G395),"N")</f>
        <v>N</v>
      </c>
      <c r="I395" s="9" t="str">
        <f aca="false">IF(Raw_Donors!H395="","Not Rated",Raw_Donors!H395)</f>
        <v>Not Rated</v>
      </c>
      <c r="J395" s="9" t="str">
        <f aca="false">IF(TRIM(Raw_Donors!I395)="","Unknown",TRIM(Raw_Donors!I395))</f>
        <v>HOME</v>
      </c>
      <c r="K395" s="9" t="str">
        <f aca="false">Raw_Donors!J395</f>
        <v>N</v>
      </c>
      <c r="L395" s="9" t="n">
        <f aca="false">Raw_Donors!K395</f>
        <v>0</v>
      </c>
      <c r="M395" s="10" t="n">
        <f aca="false">IFERROR(VALUE(SUBSTITUTE(SUBSTITUTE(Raw_Donors!L395,"$",""),",","")),0)</f>
        <v>0</v>
      </c>
      <c r="N395" s="10" t="n">
        <f aca="false">IFERROR(VALUE(SUBSTITUTE(SUBSTITUTE(Raw_Donors!M395,"$",""),",","")),0)</f>
        <v>0</v>
      </c>
      <c r="O395" s="10" t="n">
        <f aca="false">IFERROR(VALUE(SUBSTITUTE(SUBSTITUTE(Raw_Donors!N395,"$",""),",","")),0)</f>
        <v>0</v>
      </c>
      <c r="P395" s="10" t="n">
        <f aca="false">IFERROR(VALUE(SUBSTITUTE(SUBSTITUTE(Raw_Donors!O395,"$",""),",","")),0)</f>
        <v>0</v>
      </c>
      <c r="Q395" s="10" t="n">
        <f aca="false">IFERROR(VALUE(SUBSTITUTE(SUBSTITUTE(Raw_Donors!P395,"$",""),",","")),0)</f>
        <v>0</v>
      </c>
      <c r="R395" s="10" t="n">
        <f aca="false">Raw_Donors!Q395</f>
        <v>0</v>
      </c>
      <c r="S395" s="9" t="str">
        <f aca="false">Raw_Donors!R395</f>
        <v>N</v>
      </c>
      <c r="T395" s="9" t="str">
        <f aca="false">IF(Raw_Donors!S395="","",Raw_Donors!S395)</f>
        <v>1950-09-01</v>
      </c>
      <c r="U395" s="9" t="str">
        <f aca="false">IF(AND((O395+P395)&gt;0,Q395=0),"Lapsed - Follow Up","")</f>
        <v/>
      </c>
      <c r="V395" s="9" t="n">
        <f aca="false">RANK(R395,$R$2:$R$759)+COUNTIF($R$2:R395,R395)-1</f>
        <v>658</v>
      </c>
      <c r="W395" s="9" t="str">
        <f aca="false">IF(U395="Lapsed - Follow Up",COUNTIF($U$2:U395,"Lapsed - Follow Up"),"")</f>
        <v/>
      </c>
    </row>
    <row r="396" customFormat="false" ht="15" hidden="false" customHeight="true" outlineLevel="0" collapsed="false">
      <c r="A396" s="9" t="str">
        <f aca="false">Raw_Donors!A396</f>
        <v>D1394</v>
      </c>
      <c r="B396" s="9" t="str">
        <f aca="false">IF(ISNUMBER(SEARCH("-DUP",A396)),"Duplicate ID","")</f>
        <v/>
      </c>
      <c r="C396" s="9" t="n">
        <f aca="false">Raw_Donors!B396</f>
        <v>55129</v>
      </c>
      <c r="D396" s="9" t="n">
        <f aca="false">Raw_Donors!C396</f>
        <v>0</v>
      </c>
      <c r="E396" s="9" t="str">
        <f aca="false">IFERROR(IF(Raw_Donors!D396="","Unknown",Raw_Donors!D396),"Unknown")</f>
        <v>Married</v>
      </c>
      <c r="F396" s="9" t="str">
        <f aca="false">IFERROR(IF(Raw_Donors!E396="","Unknown",Raw_Donors!E396),"Unknown")</f>
        <v>Male</v>
      </c>
      <c r="G396" s="9" t="str">
        <f aca="false">PROPER(TRIM(Raw_Donors!F396))</f>
        <v>Family Donor</v>
      </c>
      <c r="H396" s="9" t="str">
        <f aca="false">IFERROR(IF(Raw_Donors!G396="","N",Raw_Donors!G396),"N")</f>
        <v>N</v>
      </c>
      <c r="I396" s="9" t="str">
        <f aca="false">IF(Raw_Donors!H396="","Not Rated",Raw_Donors!H396)</f>
        <v>Not Rated</v>
      </c>
      <c r="J396" s="9" t="str">
        <f aca="false">IF(TRIM(Raw_Donors!I396)="","Unknown",TRIM(Raw_Donors!I396))</f>
        <v>HOME</v>
      </c>
      <c r="K396" s="9" t="str">
        <f aca="false">Raw_Donors!J396</f>
        <v>N</v>
      </c>
      <c r="L396" s="9" t="n">
        <f aca="false">Raw_Donors!K396</f>
        <v>0</v>
      </c>
      <c r="M396" s="10" t="n">
        <f aca="false">IFERROR(VALUE(SUBSTITUTE(SUBSTITUTE(Raw_Donors!L396,"$",""),",","")),0)</f>
        <v>0</v>
      </c>
      <c r="N396" s="10" t="n">
        <f aca="false">IFERROR(VALUE(SUBSTITUTE(SUBSTITUTE(Raw_Donors!M396,"$",""),",","")),0)</f>
        <v>0</v>
      </c>
      <c r="O396" s="10" t="n">
        <f aca="false">IFERROR(VALUE(SUBSTITUTE(SUBSTITUTE(Raw_Donors!N396,"$",""),",","")),0)</f>
        <v>0</v>
      </c>
      <c r="P396" s="10" t="n">
        <f aca="false">IFERROR(VALUE(SUBSTITUTE(SUBSTITUTE(Raw_Donors!O396,"$",""),",","")),0)</f>
        <v>0</v>
      </c>
      <c r="Q396" s="10" t="n">
        <f aca="false">IFERROR(VALUE(SUBSTITUTE(SUBSTITUTE(Raw_Donors!P396,"$",""),",","")),0)</f>
        <v>0</v>
      </c>
      <c r="R396" s="10" t="n">
        <f aca="false">Raw_Donors!Q396</f>
        <v>400</v>
      </c>
      <c r="S396" s="9" t="str">
        <f aca="false">Raw_Donors!R396</f>
        <v>Y</v>
      </c>
      <c r="T396" s="9" t="str">
        <f aca="false">IF(Raw_Donors!S396="","",Raw_Donors!S396)</f>
        <v/>
      </c>
      <c r="U396" s="9" t="str">
        <f aca="false">IF(AND((O396+P396)&gt;0,Q396=0),"Lapsed - Follow Up","")</f>
        <v/>
      </c>
      <c r="V396" s="9" t="n">
        <f aca="false">RANK(R396,$R$2:$R$759)+COUNTIF($R$2:R396,R396)-1</f>
        <v>112</v>
      </c>
      <c r="W396" s="9" t="str">
        <f aca="false">IF(U396="Lapsed - Follow Up",COUNTIF($U$2:U396,"Lapsed - Follow Up"),"")</f>
        <v/>
      </c>
    </row>
    <row r="397" customFormat="false" ht="15" hidden="false" customHeight="true" outlineLevel="0" collapsed="false">
      <c r="A397" s="9" t="str">
        <f aca="false">Raw_Donors!A397</f>
        <v>D1395</v>
      </c>
      <c r="B397" s="9" t="str">
        <f aca="false">IF(ISNUMBER(SEARCH("-DUP",A397)),"Duplicate ID","")</f>
        <v/>
      </c>
      <c r="C397" s="9" t="n">
        <f aca="false">Raw_Donors!B397</f>
        <v>91020</v>
      </c>
      <c r="D397" s="9" t="n">
        <f aca="false">Raw_Donors!C397</f>
        <v>0</v>
      </c>
      <c r="E397" s="9" t="str">
        <f aca="false">IFERROR(IF(Raw_Donors!D397="","Unknown",Raw_Donors!D397),"Unknown")</f>
        <v>Married</v>
      </c>
      <c r="F397" s="9" t="str">
        <f aca="false">IFERROR(IF(Raw_Donors!E397="","Unknown",Raw_Donors!E397),"Unknown")</f>
        <v>Male</v>
      </c>
      <c r="G397" s="9" t="str">
        <f aca="false">PROPER(TRIM(Raw_Donors!F397))</f>
        <v>Family Donor</v>
      </c>
      <c r="H397" s="9" t="str">
        <f aca="false">IFERROR(IF(Raw_Donors!G397="","N",Raw_Donors!G397),"N")</f>
        <v>N</v>
      </c>
      <c r="I397" s="9" t="str">
        <f aca="false">IF(Raw_Donors!H397="","Not Rated",Raw_Donors!H397)</f>
        <v>Not Rated</v>
      </c>
      <c r="J397" s="9" t="str">
        <f aca="false">IF(TRIM(Raw_Donors!I397)="","Unknown",TRIM(Raw_Donors!I397))</f>
        <v>HOME</v>
      </c>
      <c r="K397" s="9" t="str">
        <f aca="false">Raw_Donors!J397</f>
        <v>Y</v>
      </c>
      <c r="L397" s="9" t="n">
        <f aca="false">Raw_Donors!K397</f>
        <v>0</v>
      </c>
      <c r="M397" s="10" t="n">
        <f aca="false">IFERROR(VALUE(SUBSTITUTE(SUBSTITUTE(Raw_Donors!L397,"$",""),",","")),0)</f>
        <v>0</v>
      </c>
      <c r="N397" s="10" t="n">
        <f aca="false">IFERROR(VALUE(SUBSTITUTE(SUBSTITUTE(Raw_Donors!M397,"$",""),",","")),0)</f>
        <v>0</v>
      </c>
      <c r="O397" s="10" t="n">
        <f aca="false">IFERROR(VALUE(SUBSTITUTE(SUBSTITUTE(Raw_Donors!N397,"$",""),",","")),0)</f>
        <v>0</v>
      </c>
      <c r="P397" s="10" t="n">
        <f aca="false">IFERROR(VALUE(SUBSTITUTE(SUBSTITUTE(Raw_Donors!O397,"$",""),",","")),0)</f>
        <v>1</v>
      </c>
      <c r="Q397" s="10" t="n">
        <f aca="false">IFERROR(VALUE(SUBSTITUTE(SUBSTITUTE(Raw_Donors!P397,"$",""),",","")),0)</f>
        <v>50</v>
      </c>
      <c r="R397" s="10" t="n">
        <f aca="false">Raw_Donors!Q397</f>
        <v>51</v>
      </c>
      <c r="S397" s="9" t="str">
        <f aca="false">Raw_Donors!R397</f>
        <v>Y</v>
      </c>
      <c r="T397" s="9" t="str">
        <f aca="false">IF(Raw_Donors!S397="","",Raw_Donors!S397)</f>
        <v/>
      </c>
      <c r="U397" s="9" t="str">
        <f aca="false">IF(AND((O397+P397)&gt;0,Q397=0),"Lapsed - Follow Up","")</f>
        <v/>
      </c>
      <c r="V397" s="9" t="n">
        <f aca="false">RANK(R397,$R$2:$R$759)+COUNTIF($R$2:R397,R397)-1</f>
        <v>363</v>
      </c>
      <c r="W397" s="9" t="str">
        <f aca="false">IF(U397="Lapsed - Follow Up",COUNTIF($U$2:U397,"Lapsed - Follow Up"),"")</f>
        <v/>
      </c>
    </row>
    <row r="398" customFormat="false" ht="15" hidden="false" customHeight="true" outlineLevel="0" collapsed="false">
      <c r="A398" s="9" t="str">
        <f aca="false">Raw_Donors!A398</f>
        <v>D1396</v>
      </c>
      <c r="B398" s="9" t="str">
        <f aca="false">IF(ISNUMBER(SEARCH("-DUP",A398)),"Duplicate ID","")</f>
        <v/>
      </c>
      <c r="C398" s="9" t="n">
        <f aca="false">Raw_Donors!B398</f>
        <v>71820</v>
      </c>
      <c r="D398" s="9" t="n">
        <f aca="false">Raw_Donors!C398</f>
        <v>0</v>
      </c>
      <c r="E398" s="9" t="str">
        <f aca="false">IFERROR(IF(Raw_Donors!D398="","Unknown",Raw_Donors!D398),"Unknown")</f>
        <v>Married</v>
      </c>
      <c r="F398" s="9" t="str">
        <f aca="false">IFERROR(IF(Raw_Donors!E398="","Unknown",Raw_Donors!E398),"Unknown")</f>
        <v>Male</v>
      </c>
      <c r="G398" s="9" t="str">
        <f aca="false">PROPER(TRIM(Raw_Donors!F398))</f>
        <v>Individual Donor</v>
      </c>
      <c r="H398" s="9" t="str">
        <f aca="false">IFERROR(IF(Raw_Donors!G398="","N",Raw_Donors!G398),"N")</f>
        <v>N</v>
      </c>
      <c r="I398" s="9" t="str">
        <f aca="false">IF(Raw_Donors!H398="","Not Rated",Raw_Donors!H398)</f>
        <v>Not Rated</v>
      </c>
      <c r="J398" s="9" t="str">
        <f aca="false">IF(TRIM(Raw_Donors!I398)="","Unknown",TRIM(Raw_Donors!I398))</f>
        <v>HOME</v>
      </c>
      <c r="K398" s="9" t="str">
        <f aca="false">Raw_Donors!J398</f>
        <v>N</v>
      </c>
      <c r="L398" s="9" t="n">
        <f aca="false">Raw_Donors!K398</f>
        <v>2</v>
      </c>
      <c r="M398" s="10" t="n">
        <f aca="false">IFERROR(VALUE(SUBSTITUTE(SUBSTITUTE(Raw_Donors!L398,"$",""),",","")),0)</f>
        <v>0</v>
      </c>
      <c r="N398" s="10" t="n">
        <f aca="false">IFERROR(VALUE(SUBSTITUTE(SUBSTITUTE(Raw_Donors!M398,"$",""),",","")),0)</f>
        <v>0</v>
      </c>
      <c r="O398" s="10" t="n">
        <f aca="false">IFERROR(VALUE(SUBSTITUTE(SUBSTITUTE(Raw_Donors!N398,"$",""),",","")),0)</f>
        <v>0</v>
      </c>
      <c r="P398" s="10" t="n">
        <f aca="false">IFERROR(VALUE(SUBSTITUTE(SUBSTITUTE(Raw_Donors!O398,"$",""),",","")),0)</f>
        <v>0</v>
      </c>
      <c r="Q398" s="10" t="n">
        <f aca="false">IFERROR(VALUE(SUBSTITUTE(SUBSTITUTE(Raw_Donors!P398,"$",""),",","")),0)</f>
        <v>0</v>
      </c>
      <c r="R398" s="10" t="n">
        <f aca="false">Raw_Donors!Q398</f>
        <v>0</v>
      </c>
      <c r="S398" s="9" t="str">
        <f aca="false">Raw_Donors!R398</f>
        <v>N</v>
      </c>
      <c r="T398" s="9" t="str">
        <f aca="false">IF(Raw_Donors!S398="","",Raw_Donors!S398)</f>
        <v/>
      </c>
      <c r="U398" s="9" t="str">
        <f aca="false">IF(AND((O398+P398)&gt;0,Q398=0),"Lapsed - Follow Up","")</f>
        <v/>
      </c>
      <c r="V398" s="9" t="n">
        <f aca="false">RANK(R398,$R$2:$R$759)+COUNTIF($R$2:R398,R398)-1</f>
        <v>659</v>
      </c>
      <c r="W398" s="9" t="str">
        <f aca="false">IF(U398="Lapsed - Follow Up",COUNTIF($U$2:U398,"Lapsed - Follow Up"),"")</f>
        <v/>
      </c>
    </row>
    <row r="399" customFormat="false" ht="15" hidden="false" customHeight="true" outlineLevel="0" collapsed="false">
      <c r="A399" s="9" t="str">
        <f aca="false">Raw_Donors!A399</f>
        <v>D1397</v>
      </c>
      <c r="B399" s="9" t="str">
        <f aca="false">IF(ISNUMBER(SEARCH("-DUP",A399)),"Duplicate ID","")</f>
        <v/>
      </c>
      <c r="C399" s="9" t="n">
        <f aca="false">Raw_Donors!B399</f>
        <v>6504</v>
      </c>
      <c r="D399" s="9" t="n">
        <f aca="false">Raw_Donors!C399</f>
        <v>35</v>
      </c>
      <c r="E399" s="9" t="str">
        <f aca="false">IFERROR(IF(Raw_Donors!D399="","Unknown",Raw_Donors!D399),"Unknown")</f>
        <v>Unknown</v>
      </c>
      <c r="F399" s="9" t="str">
        <f aca="false">IFERROR(IF(Raw_Donors!E399="","Unknown",Raw_Donors!E399),"Unknown")</f>
        <v>Female</v>
      </c>
      <c r="G399" s="9" t="str">
        <f aca="false">PROPER(TRIM(Raw_Donors!F399))</f>
        <v>Individual Donor</v>
      </c>
      <c r="H399" s="9" t="str">
        <f aca="false">IFERROR(IF(Raw_Donors!G399="","N",Raw_Donors!G399),"N")</f>
        <v>N</v>
      </c>
      <c r="I399" s="9" t="str">
        <f aca="false">IF(Raw_Donors!H399="","Not Rated",Raw_Donors!H399)</f>
        <v>Not Rated</v>
      </c>
      <c r="J399" s="9" t="str">
        <f aca="false">IF(TRIM(Raw_Donors!I399)="","Unknown",TRIM(Raw_Donors!I399))</f>
        <v>HOME</v>
      </c>
      <c r="K399" s="9" t="str">
        <f aca="false">Raw_Donors!J399</f>
        <v>N</v>
      </c>
      <c r="L399" s="9" t="n">
        <f aca="false">Raw_Donors!K399</f>
        <v>0</v>
      </c>
      <c r="M399" s="10" t="n">
        <f aca="false">IFERROR(VALUE(SUBSTITUTE(SUBSTITUTE(Raw_Donors!L399,"$",""),",","")),0)</f>
        <v>0</v>
      </c>
      <c r="N399" s="10" t="n">
        <f aca="false">IFERROR(VALUE(SUBSTITUTE(SUBSTITUTE(Raw_Donors!M399,"$",""),",","")),0)</f>
        <v>0</v>
      </c>
      <c r="O399" s="10" t="n">
        <f aca="false">IFERROR(VALUE(SUBSTITUTE(SUBSTITUTE(Raw_Donors!N399,"$",""),",","")),0)</f>
        <v>0</v>
      </c>
      <c r="P399" s="10" t="n">
        <f aca="false">IFERROR(VALUE(SUBSTITUTE(SUBSTITUTE(Raw_Donors!O399,"$",""),",","")),0)</f>
        <v>0</v>
      </c>
      <c r="Q399" s="10" t="n">
        <f aca="false">IFERROR(VALUE(SUBSTITUTE(SUBSTITUTE(Raw_Donors!P399,"$",""),",","")),0)</f>
        <v>0</v>
      </c>
      <c r="R399" s="10" t="n">
        <f aca="false">Raw_Donors!Q399</f>
        <v>0</v>
      </c>
      <c r="S399" s="9" t="str">
        <f aca="false">Raw_Donors!R399</f>
        <v>N</v>
      </c>
      <c r="T399" s="9" t="str">
        <f aca="false">IF(Raw_Donors!S399="","",Raw_Donors!S399)</f>
        <v>1982-08-11</v>
      </c>
      <c r="U399" s="9" t="str">
        <f aca="false">IF(AND((O399+P399)&gt;0,Q399=0),"Lapsed - Follow Up","")</f>
        <v/>
      </c>
      <c r="V399" s="9" t="n">
        <f aca="false">RANK(R399,$R$2:$R$759)+COUNTIF($R$2:R399,R399)-1</f>
        <v>660</v>
      </c>
      <c r="W399" s="9" t="str">
        <f aca="false">IF(U399="Lapsed - Follow Up",COUNTIF($U$2:U399,"Lapsed - Follow Up"),"")</f>
        <v/>
      </c>
    </row>
    <row r="400" customFormat="false" ht="15" hidden="false" customHeight="true" outlineLevel="0" collapsed="false">
      <c r="A400" s="9" t="str">
        <f aca="false">Raw_Donors!A400</f>
        <v>D1398</v>
      </c>
      <c r="B400" s="9" t="str">
        <f aca="false">IF(ISNUMBER(SEARCH("-DUP",A400)),"Duplicate ID","")</f>
        <v/>
      </c>
      <c r="C400" s="9" t="n">
        <f aca="false">Raw_Donors!B400</f>
        <v>34206</v>
      </c>
      <c r="D400" s="9" t="n">
        <f aca="false">Raw_Donors!C400</f>
        <v>0</v>
      </c>
      <c r="E400" s="9" t="str">
        <f aca="false">IFERROR(IF(Raw_Donors!D400="","Unknown",Raw_Donors!D400),"Unknown")</f>
        <v>Married</v>
      </c>
      <c r="F400" s="9" t="str">
        <f aca="false">IFERROR(IF(Raw_Donors!E400="","Unknown",Raw_Donors!E400),"Unknown")</f>
        <v>Female</v>
      </c>
      <c r="G400" s="9" t="str">
        <f aca="false">PROPER(TRIM(Raw_Donors!F400))</f>
        <v>Individual Donor</v>
      </c>
      <c r="H400" s="9" t="str">
        <f aca="false">IFERROR(IF(Raw_Donors!G400="","N",Raw_Donors!G400),"N")</f>
        <v>N</v>
      </c>
      <c r="I400" s="9" t="str">
        <f aca="false">IF(Raw_Donors!H400="","Not Rated",Raw_Donors!H400)</f>
        <v>Not Rated</v>
      </c>
      <c r="J400" s="9" t="str">
        <f aca="false">IF(TRIM(Raw_Donors!I400)="","Unknown",TRIM(Raw_Donors!I400))</f>
        <v>HOME</v>
      </c>
      <c r="K400" s="9" t="str">
        <f aca="false">Raw_Donors!J400</f>
        <v>N</v>
      </c>
      <c r="L400" s="9" t="n">
        <f aca="false">Raw_Donors!K400</f>
        <v>0</v>
      </c>
      <c r="M400" s="10" t="n">
        <f aca="false">IFERROR(VALUE(SUBSTITUTE(SUBSTITUTE(Raw_Donors!L400,"$",""),",","")),0)</f>
        <v>0</v>
      </c>
      <c r="N400" s="10" t="n">
        <f aca="false">IFERROR(VALUE(SUBSTITUTE(SUBSTITUTE(Raw_Donors!M400,"$",""),",","")),0)</f>
        <v>0</v>
      </c>
      <c r="O400" s="10" t="n">
        <f aca="false">IFERROR(VALUE(SUBSTITUTE(SUBSTITUTE(Raw_Donors!N400,"$",""),",","")),0)</f>
        <v>0</v>
      </c>
      <c r="P400" s="10" t="n">
        <f aca="false">IFERROR(VALUE(SUBSTITUTE(SUBSTITUTE(Raw_Donors!O400,"$",""),",","")),0)</f>
        <v>0</v>
      </c>
      <c r="Q400" s="10" t="n">
        <f aca="false">IFERROR(VALUE(SUBSTITUTE(SUBSTITUTE(Raw_Donors!P400,"$",""),",","")),0)</f>
        <v>0</v>
      </c>
      <c r="R400" s="10" t="n">
        <f aca="false">Raw_Donors!Q400</f>
        <v>0</v>
      </c>
      <c r="S400" s="9" t="str">
        <f aca="false">Raw_Donors!R400</f>
        <v>N</v>
      </c>
      <c r="T400" s="9" t="str">
        <f aca="false">IF(Raw_Donors!S400="","",Raw_Donors!S400)</f>
        <v/>
      </c>
      <c r="U400" s="9" t="str">
        <f aca="false">IF(AND((O400+P400)&gt;0,Q400=0),"Lapsed - Follow Up","")</f>
        <v/>
      </c>
      <c r="V400" s="9" t="n">
        <f aca="false">RANK(R400,$R$2:$R$759)+COUNTIF($R$2:R400,R400)-1</f>
        <v>661</v>
      </c>
      <c r="W400" s="9" t="str">
        <f aca="false">IF(U400="Lapsed - Follow Up",COUNTIF($U$2:U400,"Lapsed - Follow Up"),"")</f>
        <v/>
      </c>
    </row>
    <row r="401" customFormat="false" ht="15" hidden="false" customHeight="true" outlineLevel="0" collapsed="false">
      <c r="A401" s="9" t="str">
        <f aca="false">Raw_Donors!A401</f>
        <v>D1399</v>
      </c>
      <c r="B401" s="9" t="str">
        <f aca="false">IF(ISNUMBER(SEARCH("-DUP",A401)),"Duplicate ID","")</f>
        <v/>
      </c>
      <c r="C401" s="9" t="n">
        <f aca="false">Raw_Donors!B401</f>
        <v>37224</v>
      </c>
      <c r="D401" s="9" t="n">
        <f aca="false">Raw_Donors!C401</f>
        <v>0</v>
      </c>
      <c r="E401" s="9" t="str">
        <f aca="false">IFERROR(IF(Raw_Donors!D401="","Unknown",Raw_Donors!D401),"Unknown")</f>
        <v>Unknown</v>
      </c>
      <c r="F401" s="9" t="str">
        <f aca="false">IFERROR(IF(Raw_Donors!E401="","Unknown",Raw_Donors!E401),"Unknown")</f>
        <v>Male</v>
      </c>
      <c r="G401" s="9" t="str">
        <f aca="false">PROPER(TRIM(Raw_Donors!F401))</f>
        <v>Individual Donor</v>
      </c>
      <c r="H401" s="9" t="str">
        <f aca="false">IFERROR(IF(Raw_Donors!G401="","N",Raw_Donors!G401),"N")</f>
        <v>N</v>
      </c>
      <c r="I401" s="9" t="str">
        <f aca="false">IF(Raw_Donors!H401="","Not Rated",Raw_Donors!H401)</f>
        <v>Not Rated</v>
      </c>
      <c r="J401" s="9" t="str">
        <f aca="false">IF(TRIM(Raw_Donors!I401)="","Unknown",TRIM(Raw_Donors!I401))</f>
        <v>HOME</v>
      </c>
      <c r="K401" s="9" t="str">
        <f aca="false">Raw_Donors!J401</f>
        <v>N</v>
      </c>
      <c r="L401" s="9" t="n">
        <f aca="false">Raw_Donors!K401</f>
        <v>1</v>
      </c>
      <c r="M401" s="10" t="n">
        <f aca="false">IFERROR(VALUE(SUBSTITUTE(SUBSTITUTE(Raw_Donors!L401,"$",""),",","")),0)</f>
        <v>0</v>
      </c>
      <c r="N401" s="10" t="n">
        <f aca="false">IFERROR(VALUE(SUBSTITUTE(SUBSTITUTE(Raw_Donors!M401,"$",""),",","")),0)</f>
        <v>0</v>
      </c>
      <c r="O401" s="10" t="n">
        <f aca="false">IFERROR(VALUE(SUBSTITUTE(SUBSTITUTE(Raw_Donors!N401,"$",""),",","")),0)</f>
        <v>0</v>
      </c>
      <c r="P401" s="10" t="n">
        <f aca="false">IFERROR(VALUE(SUBSTITUTE(SUBSTITUTE(Raw_Donors!O401,"$",""),",","")),0)</f>
        <v>70</v>
      </c>
      <c r="Q401" s="10" t="n">
        <f aca="false">IFERROR(VALUE(SUBSTITUTE(SUBSTITUTE(Raw_Donors!P401,"$",""),",","")),0)</f>
        <v>0</v>
      </c>
      <c r="R401" s="10" t="n">
        <f aca="false">Raw_Donors!Q401</f>
        <v>70</v>
      </c>
      <c r="S401" s="9" t="str">
        <f aca="false">Raw_Donors!R401</f>
        <v>Y</v>
      </c>
      <c r="T401" s="9" t="str">
        <f aca="false">IF(Raw_Donors!S401="","",Raw_Donors!S401)</f>
        <v/>
      </c>
      <c r="U401" s="9" t="str">
        <f aca="false">IF(AND((O401+P401)&gt;0,Q401=0),"Lapsed - Follow Up","")</f>
        <v>Lapsed - Follow Up</v>
      </c>
      <c r="V401" s="9" t="n">
        <f aca="false">RANK(R401,$R$2:$R$759)+COUNTIF($R$2:R401,R401)-1</f>
        <v>341</v>
      </c>
      <c r="W401" s="9" t="n">
        <f aca="false">IF(U401="Lapsed - Follow Up",COUNTIF($U$2:U401,"Lapsed - Follow Up"),"")</f>
        <v>57</v>
      </c>
    </row>
    <row r="402" customFormat="false" ht="15" hidden="false" customHeight="true" outlineLevel="0" collapsed="false">
      <c r="A402" s="9" t="str">
        <f aca="false">Raw_Donors!A402</f>
        <v>D1400</v>
      </c>
      <c r="B402" s="9" t="str">
        <f aca="false">IF(ISNUMBER(SEARCH("-DUP",A402)),"Duplicate ID","")</f>
        <v/>
      </c>
      <c r="C402" s="9" t="n">
        <f aca="false">Raw_Donors!B402</f>
        <v>73136</v>
      </c>
      <c r="D402" s="9" t="n">
        <f aca="false">Raw_Donors!C402</f>
        <v>42</v>
      </c>
      <c r="E402" s="9" t="str">
        <f aca="false">IFERROR(IF(Raw_Donors!D402="","Unknown",Raw_Donors!D402),"Unknown")</f>
        <v>Unknown</v>
      </c>
      <c r="F402" s="9" t="str">
        <f aca="false">IFERROR(IF(Raw_Donors!E402="","Unknown",Raw_Donors!E402),"Unknown")</f>
        <v>Male</v>
      </c>
      <c r="G402" s="9" t="str">
        <f aca="false">PROPER(TRIM(Raw_Donors!F402))</f>
        <v>Community Partner</v>
      </c>
      <c r="H402" s="9" t="str">
        <f aca="false">IFERROR(IF(Raw_Donors!G402="","N",Raw_Donors!G402),"N")</f>
        <v>Y</v>
      </c>
      <c r="I402" s="9" t="str">
        <f aca="false">IF(Raw_Donors!H402="","Not Rated",Raw_Donors!H402)</f>
        <v>Not Rated</v>
      </c>
      <c r="J402" s="9" t="str">
        <f aca="false">IF(TRIM(Raw_Donors!I402)="","Unknown",TRIM(Raw_Donors!I402))</f>
        <v>HOME</v>
      </c>
      <c r="K402" s="9" t="str">
        <f aca="false">Raw_Donors!J402</f>
        <v>Y</v>
      </c>
      <c r="L402" s="9" t="n">
        <f aca="false">Raw_Donors!K402</f>
        <v>1</v>
      </c>
      <c r="M402" s="10" t="n">
        <f aca="false">IFERROR(VALUE(SUBSTITUTE(SUBSTITUTE(Raw_Donors!L402,"$",""),",","")),0)</f>
        <v>0</v>
      </c>
      <c r="N402" s="10" t="n">
        <f aca="false">IFERROR(VALUE(SUBSTITUTE(SUBSTITUTE(Raw_Donors!M402,"$",""),",","")),0)</f>
        <v>0</v>
      </c>
      <c r="O402" s="10" t="n">
        <f aca="false">IFERROR(VALUE(SUBSTITUTE(SUBSTITUTE(Raw_Donors!N402,"$",""),",","")),0)</f>
        <v>0</v>
      </c>
      <c r="P402" s="10" t="n">
        <f aca="false">IFERROR(VALUE(SUBSTITUTE(SUBSTITUTE(Raw_Donors!O402,"$",""),",","")),0)</f>
        <v>0</v>
      </c>
      <c r="Q402" s="10" t="n">
        <f aca="false">IFERROR(VALUE(SUBSTITUTE(SUBSTITUTE(Raw_Donors!P402,"$",""),",","")),0)</f>
        <v>0</v>
      </c>
      <c r="R402" s="10" t="n">
        <f aca="false">Raw_Donors!Q402</f>
        <v>250</v>
      </c>
      <c r="S402" s="9" t="str">
        <f aca="false">Raw_Donors!R402</f>
        <v>Y</v>
      </c>
      <c r="T402" s="9" t="str">
        <f aca="false">IF(Raw_Donors!S402="","",Raw_Donors!S402)</f>
        <v>1975-05-22</v>
      </c>
      <c r="U402" s="9" t="str">
        <f aca="false">IF(AND((O402+P402)&gt;0,Q402=0),"Lapsed - Follow Up","")</f>
        <v/>
      </c>
      <c r="V402" s="9" t="n">
        <f aca="false">RANK(R402,$R$2:$R$759)+COUNTIF($R$2:R402,R402)-1</f>
        <v>168</v>
      </c>
      <c r="W402" s="9" t="str">
        <f aca="false">IF(U402="Lapsed - Follow Up",COUNTIF($U$2:U402,"Lapsed - Follow Up"),"")</f>
        <v/>
      </c>
    </row>
    <row r="403" customFormat="false" ht="15" hidden="false" customHeight="true" outlineLevel="0" collapsed="false">
      <c r="A403" s="9" t="str">
        <f aca="false">Raw_Donors!A403</f>
        <v>D1401</v>
      </c>
      <c r="B403" s="9" t="str">
        <f aca="false">IF(ISNUMBER(SEARCH("-DUP",A403)),"Duplicate ID","")</f>
        <v/>
      </c>
      <c r="C403" s="9" t="n">
        <f aca="false">Raw_Donors!B403</f>
        <v>65457</v>
      </c>
      <c r="D403" s="9" t="n">
        <f aca="false">Raw_Donors!C403</f>
        <v>0</v>
      </c>
      <c r="E403" s="9" t="str">
        <f aca="false">IFERROR(IF(Raw_Donors!D403="","Unknown",Raw_Donors!D403),"Unknown")</f>
        <v>Unknown</v>
      </c>
      <c r="F403" s="9" t="str">
        <f aca="false">IFERROR(IF(Raw_Donors!E403="","Unknown",Raw_Donors!E403),"Unknown")</f>
        <v>Female</v>
      </c>
      <c r="G403" s="9" t="str">
        <f aca="false">PROPER(TRIM(Raw_Donors!F403))</f>
        <v>Individual Donor</v>
      </c>
      <c r="H403" s="9" t="str">
        <f aca="false">IFERROR(IF(Raw_Donors!G403="","N",Raw_Donors!G403),"N")</f>
        <v>N</v>
      </c>
      <c r="I403" s="9" t="str">
        <f aca="false">IF(Raw_Donors!H403="","Not Rated",Raw_Donors!H403)</f>
        <v>Not Rated</v>
      </c>
      <c r="J403" s="9" t="str">
        <f aca="false">IF(TRIM(Raw_Donors!I403)="","Unknown",TRIM(Raw_Donors!I403))</f>
        <v>HOME</v>
      </c>
      <c r="K403" s="9" t="str">
        <f aca="false">Raw_Donors!J403</f>
        <v>N</v>
      </c>
      <c r="L403" s="9" t="n">
        <f aca="false">Raw_Donors!K403</f>
        <v>1</v>
      </c>
      <c r="M403" s="10" t="n">
        <f aca="false">IFERROR(VALUE(SUBSTITUTE(SUBSTITUTE(Raw_Donors!L403,"$",""),",","")),0)</f>
        <v>0</v>
      </c>
      <c r="N403" s="10" t="n">
        <f aca="false">IFERROR(VALUE(SUBSTITUTE(SUBSTITUTE(Raw_Donors!M403,"$",""),",","")),0)</f>
        <v>0</v>
      </c>
      <c r="O403" s="10" t="n">
        <f aca="false">IFERROR(VALUE(SUBSTITUTE(SUBSTITUTE(Raw_Donors!N403,"$",""),",","")),0)</f>
        <v>0</v>
      </c>
      <c r="P403" s="10" t="n">
        <f aca="false">IFERROR(VALUE(SUBSTITUTE(SUBSTITUTE(Raw_Donors!O403,"$",""),",","")),0)</f>
        <v>0</v>
      </c>
      <c r="Q403" s="10" t="n">
        <f aca="false">IFERROR(VALUE(SUBSTITUTE(SUBSTITUTE(Raw_Donors!P403,"$",""),",","")),0)</f>
        <v>0</v>
      </c>
      <c r="R403" s="10" t="n">
        <f aca="false">Raw_Donors!Q403</f>
        <v>40</v>
      </c>
      <c r="S403" s="9" t="str">
        <f aca="false">Raw_Donors!R403</f>
        <v>Y</v>
      </c>
      <c r="T403" s="9" t="str">
        <f aca="false">IF(Raw_Donors!S403="","",Raw_Donors!S403)</f>
        <v/>
      </c>
      <c r="U403" s="9" t="str">
        <f aca="false">IF(AND((O403+P403)&gt;0,Q403=0),"Lapsed - Follow Up","")</f>
        <v/>
      </c>
      <c r="V403" s="9" t="n">
        <f aca="false">RANK(R403,$R$2:$R$759)+COUNTIF($R$2:R403,R403)-1</f>
        <v>398</v>
      </c>
      <c r="W403" s="9" t="str">
        <f aca="false">IF(U403="Lapsed - Follow Up",COUNTIF($U$2:U403,"Lapsed - Follow Up"),"")</f>
        <v/>
      </c>
    </row>
    <row r="404" customFormat="false" ht="15" hidden="false" customHeight="true" outlineLevel="0" collapsed="false">
      <c r="A404" s="9" t="str">
        <f aca="false">Raw_Donors!A404</f>
        <v>D1402</v>
      </c>
      <c r="B404" s="9" t="str">
        <f aca="false">IF(ISNUMBER(SEARCH("-DUP",A404)),"Duplicate ID","")</f>
        <v/>
      </c>
      <c r="C404" s="9" t="n">
        <f aca="false">Raw_Donors!B404</f>
        <v>75252</v>
      </c>
      <c r="D404" s="9" t="n">
        <f aca="false">Raw_Donors!C404</f>
        <v>0</v>
      </c>
      <c r="E404" s="9" t="str">
        <f aca="false">IFERROR(IF(Raw_Donors!D404="","Unknown",Raw_Donors!D404),"Unknown")</f>
        <v>Unknown</v>
      </c>
      <c r="F404" s="9" t="str">
        <f aca="false">IFERROR(IF(Raw_Donors!E404="","Unknown",Raw_Donors!E404),"Unknown")</f>
        <v>Female</v>
      </c>
      <c r="G404" s="9" t="str">
        <f aca="false">PROPER(TRIM(Raw_Donors!F404))</f>
        <v>Individual Donor</v>
      </c>
      <c r="H404" s="9" t="str">
        <f aca="false">IFERROR(IF(Raw_Donors!G404="","N",Raw_Donors!G404),"N")</f>
        <v>N</v>
      </c>
      <c r="I404" s="9" t="str">
        <f aca="false">IF(Raw_Donors!H404="","Not Rated",Raw_Donors!H404)</f>
        <v>Not Rated</v>
      </c>
      <c r="J404" s="9" t="str">
        <f aca="false">IF(TRIM(Raw_Donors!I404)="","Unknown",TRIM(Raw_Donors!I404))</f>
        <v>HOME</v>
      </c>
      <c r="K404" s="9" t="str">
        <f aca="false">Raw_Donors!J404</f>
        <v>N</v>
      </c>
      <c r="L404" s="9" t="n">
        <f aca="false">Raw_Donors!K404</f>
        <v>1</v>
      </c>
      <c r="M404" s="10" t="n">
        <f aca="false">IFERROR(VALUE(SUBSTITUTE(SUBSTITUTE(Raw_Donors!L404,"$",""),",","")),0)</f>
        <v>0</v>
      </c>
      <c r="N404" s="10" t="n">
        <f aca="false">IFERROR(VALUE(SUBSTITUTE(SUBSTITUTE(Raw_Donors!M404,"$",""),",","")),0)</f>
        <v>0</v>
      </c>
      <c r="O404" s="10" t="n">
        <f aca="false">IFERROR(VALUE(SUBSTITUTE(SUBSTITUTE(Raw_Donors!N404,"$",""),",","")),0)</f>
        <v>0</v>
      </c>
      <c r="P404" s="10" t="n">
        <f aca="false">IFERROR(VALUE(SUBSTITUTE(SUBSTITUTE(Raw_Donors!O404,"$",""),",","")),0)</f>
        <v>180</v>
      </c>
      <c r="Q404" s="10" t="n">
        <f aca="false">IFERROR(VALUE(SUBSTITUTE(SUBSTITUTE(Raw_Donors!P404,"$",""),",","")),0)</f>
        <v>0</v>
      </c>
      <c r="R404" s="10" t="n">
        <f aca="false">Raw_Donors!Q404</f>
        <v>180</v>
      </c>
      <c r="S404" s="9" t="str">
        <f aca="false">Raw_Donors!R404</f>
        <v>Y</v>
      </c>
      <c r="T404" s="9" t="str">
        <f aca="false">IF(Raw_Donors!S404="","",Raw_Donors!S404)</f>
        <v/>
      </c>
      <c r="U404" s="9" t="str">
        <f aca="false">IF(AND((O404+P404)&gt;0,Q404=0),"Lapsed - Follow Up","")</f>
        <v>Lapsed - Follow Up</v>
      </c>
      <c r="V404" s="9" t="n">
        <f aca="false">RANK(R404,$R$2:$R$759)+COUNTIF($R$2:R404,R404)-1</f>
        <v>214</v>
      </c>
      <c r="W404" s="9" t="n">
        <f aca="false">IF(U404="Lapsed - Follow Up",COUNTIF($U$2:U404,"Lapsed - Follow Up"),"")</f>
        <v>58</v>
      </c>
    </row>
    <row r="405" customFormat="false" ht="15" hidden="false" customHeight="true" outlineLevel="0" collapsed="false">
      <c r="A405" s="9" t="str">
        <f aca="false">Raw_Donors!A405</f>
        <v>D1403</v>
      </c>
      <c r="B405" s="9" t="str">
        <f aca="false">IF(ISNUMBER(SEARCH("-DUP",A405)),"Duplicate ID","")</f>
        <v/>
      </c>
      <c r="C405" s="9" t="n">
        <f aca="false">Raw_Donors!B405</f>
        <v>96939</v>
      </c>
      <c r="D405" s="9" t="n">
        <f aca="false">Raw_Donors!C405</f>
        <v>32</v>
      </c>
      <c r="E405" s="9" t="str">
        <f aca="false">IFERROR(IF(Raw_Donors!D405="","Unknown",Raw_Donors!D405),"Unknown")</f>
        <v>Unknown</v>
      </c>
      <c r="F405" s="9" t="str">
        <f aca="false">IFERROR(IF(Raw_Donors!E405="","Unknown",Raw_Donors!E405),"Unknown")</f>
        <v>Female</v>
      </c>
      <c r="G405" s="9" t="str">
        <f aca="false">PROPER(TRIM(Raw_Donors!F405))</f>
        <v>Individual Donor</v>
      </c>
      <c r="H405" s="9" t="str">
        <f aca="false">IFERROR(IF(Raw_Donors!G405="","N",Raw_Donors!G405),"N")</f>
        <v>N</v>
      </c>
      <c r="I405" s="9" t="str">
        <f aca="false">IF(Raw_Donors!H405="","Not Rated",Raw_Donors!H405)</f>
        <v>Not Rated</v>
      </c>
      <c r="J405" s="9" t="str">
        <f aca="false">IF(TRIM(Raw_Donors!I405)="","Unknown",TRIM(Raw_Donors!I405))</f>
        <v>HOME</v>
      </c>
      <c r="K405" s="9" t="str">
        <f aca="false">Raw_Donors!J405</f>
        <v>N</v>
      </c>
      <c r="L405" s="9" t="n">
        <f aca="false">Raw_Donors!K405</f>
        <v>0</v>
      </c>
      <c r="M405" s="10" t="n">
        <f aca="false">IFERROR(VALUE(SUBSTITUTE(SUBSTITUTE(Raw_Donors!L405,"$",""),",","")),0)</f>
        <v>0</v>
      </c>
      <c r="N405" s="10" t="n">
        <f aca="false">IFERROR(VALUE(SUBSTITUTE(SUBSTITUTE(Raw_Donors!M405,"$",""),",","")),0)</f>
        <v>0</v>
      </c>
      <c r="O405" s="10" t="n">
        <f aca="false">IFERROR(VALUE(SUBSTITUTE(SUBSTITUTE(Raw_Donors!N405,"$",""),",","")),0)</f>
        <v>0</v>
      </c>
      <c r="P405" s="10" t="n">
        <f aca="false">IFERROR(VALUE(SUBSTITUTE(SUBSTITUTE(Raw_Donors!O405,"$",""),",","")),0)</f>
        <v>0</v>
      </c>
      <c r="Q405" s="10" t="n">
        <f aca="false">IFERROR(VALUE(SUBSTITUTE(SUBSTITUTE(Raw_Donors!P405,"$",""),",","")),0)</f>
        <v>0</v>
      </c>
      <c r="R405" s="10" t="n">
        <f aca="false">Raw_Donors!Q405</f>
        <v>25</v>
      </c>
      <c r="S405" s="9" t="str">
        <f aca="false">Raw_Donors!R405</f>
        <v>Y</v>
      </c>
      <c r="T405" s="9" t="str">
        <f aca="false">IF(Raw_Donors!S405="","",Raw_Donors!S405)</f>
        <v>1985-08-09</v>
      </c>
      <c r="U405" s="9" t="str">
        <f aca="false">IF(AND((O405+P405)&gt;0,Q405=0),"Lapsed - Follow Up","")</f>
        <v/>
      </c>
      <c r="V405" s="9" t="n">
        <f aca="false">RANK(R405,$R$2:$R$759)+COUNTIF($R$2:R405,R405)-1</f>
        <v>447</v>
      </c>
      <c r="W405" s="9" t="str">
        <f aca="false">IF(U405="Lapsed - Follow Up",COUNTIF($U$2:U405,"Lapsed - Follow Up"),"")</f>
        <v/>
      </c>
    </row>
    <row r="406" customFormat="false" ht="15" hidden="false" customHeight="true" outlineLevel="0" collapsed="false">
      <c r="A406" s="9" t="str">
        <f aca="false">Raw_Donors!A406</f>
        <v>D1404</v>
      </c>
      <c r="B406" s="9" t="str">
        <f aca="false">IF(ISNUMBER(SEARCH("-DUP",A406)),"Duplicate ID","")</f>
        <v/>
      </c>
      <c r="C406" s="9" t="n">
        <f aca="false">Raw_Donors!B406</f>
        <v>62027</v>
      </c>
      <c r="D406" s="9" t="n">
        <f aca="false">Raw_Donors!C406</f>
        <v>0</v>
      </c>
      <c r="E406" s="9" t="str">
        <f aca="false">IFERROR(IF(Raw_Donors!D406="","Unknown",Raw_Donors!D406),"Unknown")</f>
        <v>Unknown</v>
      </c>
      <c r="F406" s="9" t="str">
        <f aca="false">IFERROR(IF(Raw_Donors!E406="","Unknown",Raw_Donors!E406),"Unknown")</f>
        <v>Female</v>
      </c>
      <c r="G406" s="9" t="str">
        <f aca="false">PROPER(TRIM(Raw_Donors!F406))</f>
        <v>Individual Donor</v>
      </c>
      <c r="H406" s="9" t="str">
        <f aca="false">IFERROR(IF(Raw_Donors!G406="","N",Raw_Donors!G406),"N")</f>
        <v>N</v>
      </c>
      <c r="I406" s="9" t="str">
        <f aca="false">IF(Raw_Donors!H406="","Not Rated",Raw_Donors!H406)</f>
        <v>Not Rated</v>
      </c>
      <c r="J406" s="9" t="str">
        <f aca="false">IF(TRIM(Raw_Donors!I406)="","Unknown",TRIM(Raw_Donors!I406))</f>
        <v>HOME</v>
      </c>
      <c r="K406" s="9" t="str">
        <f aca="false">Raw_Donors!J406</f>
        <v>N</v>
      </c>
      <c r="L406" s="9" t="n">
        <f aca="false">Raw_Donors!K406</f>
        <v>1</v>
      </c>
      <c r="M406" s="10" t="n">
        <f aca="false">IFERROR(VALUE(SUBSTITUTE(SUBSTITUTE(Raw_Donors!L406,"$",""),",","")),0)</f>
        <v>0</v>
      </c>
      <c r="N406" s="10" t="n">
        <f aca="false">IFERROR(VALUE(SUBSTITUTE(SUBSTITUTE(Raw_Donors!M406,"$",""),",","")),0)</f>
        <v>0</v>
      </c>
      <c r="O406" s="10" t="n">
        <f aca="false">IFERROR(VALUE(SUBSTITUTE(SUBSTITUTE(Raw_Donors!N406,"$",""),",","")),0)</f>
        <v>0</v>
      </c>
      <c r="P406" s="10" t="n">
        <f aca="false">IFERROR(VALUE(SUBSTITUTE(SUBSTITUTE(Raw_Donors!O406,"$",""),",","")),0)</f>
        <v>1</v>
      </c>
      <c r="Q406" s="10" t="n">
        <f aca="false">IFERROR(VALUE(SUBSTITUTE(SUBSTITUTE(Raw_Donors!P406,"$",""),",","")),0)</f>
        <v>0</v>
      </c>
      <c r="R406" s="10" t="n">
        <f aca="false">Raw_Donors!Q406</f>
        <v>1</v>
      </c>
      <c r="S406" s="9" t="str">
        <f aca="false">Raw_Donors!R406</f>
        <v>Y</v>
      </c>
      <c r="T406" s="9" t="str">
        <f aca="false">IF(Raw_Donors!S406="","",Raw_Donors!S406)</f>
        <v/>
      </c>
      <c r="U406" s="9" t="str">
        <f aca="false">IF(AND((O406+P406)&gt;0,Q406=0),"Lapsed - Follow Up","")</f>
        <v>Lapsed - Follow Up</v>
      </c>
      <c r="V406" s="9" t="n">
        <f aca="false">RANK(R406,$R$2:$R$759)+COUNTIF($R$2:R406,R406)-1</f>
        <v>541</v>
      </c>
      <c r="W406" s="9" t="n">
        <f aca="false">IF(U406="Lapsed - Follow Up",COUNTIF($U$2:U406,"Lapsed - Follow Up"),"")</f>
        <v>59</v>
      </c>
    </row>
    <row r="407" customFormat="false" ht="15" hidden="false" customHeight="true" outlineLevel="0" collapsed="false">
      <c r="A407" s="9" t="str">
        <f aca="false">Raw_Donors!A407</f>
        <v>D1405</v>
      </c>
      <c r="B407" s="9" t="str">
        <f aca="false">IF(ISNUMBER(SEARCH("-DUP",A407)),"Duplicate ID","")</f>
        <v/>
      </c>
      <c r="C407" s="9" t="n">
        <f aca="false">Raw_Donors!B407</f>
        <v>38039</v>
      </c>
      <c r="D407" s="9" t="n">
        <f aca="false">Raw_Donors!C407</f>
        <v>60</v>
      </c>
      <c r="E407" s="9" t="str">
        <f aca="false">IFERROR(IF(Raw_Donors!D407="","Unknown",Raw_Donors!D407),"Unknown")</f>
        <v>Married</v>
      </c>
      <c r="F407" s="9" t="str">
        <f aca="false">IFERROR(IF(Raw_Donors!E407="","Unknown",Raw_Donors!E407),"Unknown")</f>
        <v>Male</v>
      </c>
      <c r="G407" s="9" t="str">
        <f aca="false">PROPER(TRIM(Raw_Donors!F407))</f>
        <v>Community Partner</v>
      </c>
      <c r="H407" s="9" t="str">
        <f aca="false">IFERROR(IF(Raw_Donors!G407="","N",Raw_Donors!G407),"N")</f>
        <v>Y</v>
      </c>
      <c r="I407" s="9" t="str">
        <f aca="false">IF(Raw_Donors!H407="","Not Rated",Raw_Donors!H407)</f>
        <v>Not Rated</v>
      </c>
      <c r="J407" s="9" t="str">
        <f aca="false">IF(TRIM(Raw_Donors!I407)="","Unknown",TRIM(Raw_Donors!I407))</f>
        <v>HOME</v>
      </c>
      <c r="K407" s="9" t="str">
        <f aca="false">Raw_Donors!J407</f>
        <v>Y</v>
      </c>
      <c r="L407" s="9" t="n">
        <f aca="false">Raw_Donors!K407</f>
        <v>2</v>
      </c>
      <c r="M407" s="10" t="n">
        <f aca="false">IFERROR(VALUE(SUBSTITUTE(SUBSTITUTE(Raw_Donors!L407,"$",""),",","")),0)</f>
        <v>0</v>
      </c>
      <c r="N407" s="10" t="n">
        <f aca="false">IFERROR(VALUE(SUBSTITUTE(SUBSTITUTE(Raw_Donors!M407,"$",""),",","")),0)</f>
        <v>0</v>
      </c>
      <c r="O407" s="10" t="n">
        <f aca="false">IFERROR(VALUE(SUBSTITUTE(SUBSTITUTE(Raw_Donors!N407,"$",""),",","")),0)</f>
        <v>0</v>
      </c>
      <c r="P407" s="10" t="n">
        <f aca="false">IFERROR(VALUE(SUBSTITUTE(SUBSTITUTE(Raw_Donors!O407,"$",""),",","")),0)</f>
        <v>0</v>
      </c>
      <c r="Q407" s="10" t="n">
        <f aca="false">IFERROR(VALUE(SUBSTITUTE(SUBSTITUTE(Raw_Donors!P407,"$",""),",","")),0)</f>
        <v>0</v>
      </c>
      <c r="R407" s="10" t="n">
        <f aca="false">Raw_Donors!Q407</f>
        <v>0</v>
      </c>
      <c r="S407" s="9" t="str">
        <f aca="false">Raw_Donors!R407</f>
        <v>N</v>
      </c>
      <c r="T407" s="9" t="str">
        <f aca="false">IF(Raw_Donors!S407="","",Raw_Donors!S407)</f>
        <v>1957-12-16</v>
      </c>
      <c r="U407" s="9" t="str">
        <f aca="false">IF(AND((O407+P407)&gt;0,Q407=0),"Lapsed - Follow Up","")</f>
        <v/>
      </c>
      <c r="V407" s="9" t="n">
        <f aca="false">RANK(R407,$R$2:$R$759)+COUNTIF($R$2:R407,R407)-1</f>
        <v>662</v>
      </c>
      <c r="W407" s="9" t="str">
        <f aca="false">IF(U407="Lapsed - Follow Up",COUNTIF($U$2:U407,"Lapsed - Follow Up"),"")</f>
        <v/>
      </c>
    </row>
    <row r="408" customFormat="false" ht="15" hidden="false" customHeight="true" outlineLevel="0" collapsed="false">
      <c r="A408" s="9" t="str">
        <f aca="false">Raw_Donors!A408</f>
        <v>D1406</v>
      </c>
      <c r="B408" s="9" t="str">
        <f aca="false">IF(ISNUMBER(SEARCH("-DUP",A408)),"Duplicate ID","")</f>
        <v/>
      </c>
      <c r="C408" s="9" t="n">
        <f aca="false">Raw_Donors!B408</f>
        <v>41465</v>
      </c>
      <c r="D408" s="9" t="n">
        <f aca="false">Raw_Donors!C408</f>
        <v>0</v>
      </c>
      <c r="E408" s="9" t="str">
        <f aca="false">IFERROR(IF(Raw_Donors!D408="","Unknown",Raw_Donors!D408),"Unknown")</f>
        <v>Married</v>
      </c>
      <c r="F408" s="9" t="str">
        <f aca="false">IFERROR(IF(Raw_Donors!E408="","Unknown",Raw_Donors!E408),"Unknown")</f>
        <v>Female</v>
      </c>
      <c r="G408" s="9" t="str">
        <f aca="false">PROPER(TRIM(Raw_Donors!F408))</f>
        <v>Individual Donor</v>
      </c>
      <c r="H408" s="9" t="str">
        <f aca="false">IFERROR(IF(Raw_Donors!G408="","N",Raw_Donors!G408),"N")</f>
        <v>N</v>
      </c>
      <c r="I408" s="9" t="str">
        <f aca="false">IF(Raw_Donors!H408="","Not Rated",Raw_Donors!H408)</f>
        <v>Not Rated</v>
      </c>
      <c r="J408" s="9" t="str">
        <f aca="false">IF(TRIM(Raw_Donors!I408)="","Unknown",TRIM(Raw_Donors!I408))</f>
        <v>HOME</v>
      </c>
      <c r="K408" s="9" t="str">
        <f aca="false">Raw_Donors!J408</f>
        <v>N</v>
      </c>
      <c r="L408" s="9" t="n">
        <f aca="false">Raw_Donors!K408</f>
        <v>1</v>
      </c>
      <c r="M408" s="10" t="n">
        <f aca="false">IFERROR(VALUE(SUBSTITUTE(SUBSTITUTE(Raw_Donors!L408,"$",""),",","")),0)</f>
        <v>0</v>
      </c>
      <c r="N408" s="10" t="n">
        <f aca="false">IFERROR(VALUE(SUBSTITUTE(SUBSTITUTE(Raw_Donors!M408,"$",""),",","")),0)</f>
        <v>0</v>
      </c>
      <c r="O408" s="10" t="n">
        <f aca="false">IFERROR(VALUE(SUBSTITUTE(SUBSTITUTE(Raw_Donors!N408,"$",""),",","")),0)</f>
        <v>0</v>
      </c>
      <c r="P408" s="10" t="n">
        <f aca="false">IFERROR(VALUE(SUBSTITUTE(SUBSTITUTE(Raw_Donors!O408,"$",""),",","")),0)</f>
        <v>1</v>
      </c>
      <c r="Q408" s="10" t="n">
        <f aca="false">IFERROR(VALUE(SUBSTITUTE(SUBSTITUTE(Raw_Donors!P408,"$",""),",","")),0)</f>
        <v>0</v>
      </c>
      <c r="R408" s="10" t="n">
        <f aca="false">Raw_Donors!Q408</f>
        <v>1</v>
      </c>
      <c r="S408" s="9" t="str">
        <f aca="false">Raw_Donors!R408</f>
        <v>Y</v>
      </c>
      <c r="T408" s="9" t="str">
        <f aca="false">IF(Raw_Donors!S408="","",Raw_Donors!S408)</f>
        <v/>
      </c>
      <c r="U408" s="9" t="str">
        <f aca="false">IF(AND((O408+P408)&gt;0,Q408=0),"Lapsed - Follow Up","")</f>
        <v>Lapsed - Follow Up</v>
      </c>
      <c r="V408" s="9" t="n">
        <f aca="false">RANK(R408,$R$2:$R$759)+COUNTIF($R$2:R408,R408)-1</f>
        <v>542</v>
      </c>
      <c r="W408" s="9" t="n">
        <f aca="false">IF(U408="Lapsed - Follow Up",COUNTIF($U$2:U408,"Lapsed - Follow Up"),"")</f>
        <v>60</v>
      </c>
    </row>
    <row r="409" customFormat="false" ht="15" hidden="false" customHeight="true" outlineLevel="0" collapsed="false">
      <c r="A409" s="9" t="str">
        <f aca="false">Raw_Donors!A409</f>
        <v>D1407</v>
      </c>
      <c r="B409" s="9" t="str">
        <f aca="false">IF(ISNUMBER(SEARCH("-DUP",A409)),"Duplicate ID","")</f>
        <v/>
      </c>
      <c r="C409" s="9" t="n">
        <f aca="false">Raw_Donors!B409</f>
        <v>90265</v>
      </c>
      <c r="D409" s="9" t="n">
        <f aca="false">Raw_Donors!C409</f>
        <v>0</v>
      </c>
      <c r="E409" s="9" t="str">
        <f aca="false">IFERROR(IF(Raw_Donors!D409="","Unknown",Raw_Donors!D409),"Unknown")</f>
        <v>Unknown</v>
      </c>
      <c r="F409" s="9" t="str">
        <f aca="false">IFERROR(IF(Raw_Donors!E409="","Unknown",Raw_Donors!E409),"Unknown")</f>
        <v>Female</v>
      </c>
      <c r="G409" s="9" t="str">
        <f aca="false">PROPER(TRIM(Raw_Donors!F409))</f>
        <v>Community Partner</v>
      </c>
      <c r="H409" s="9" t="str">
        <f aca="false">IFERROR(IF(Raw_Donors!G409="","N",Raw_Donors!G409),"N")</f>
        <v>N</v>
      </c>
      <c r="I409" s="9" t="str">
        <f aca="false">IF(Raw_Donors!H409="","Not Rated",Raw_Donors!H409)</f>
        <v>Not Rated</v>
      </c>
      <c r="J409" s="9" t="str">
        <f aca="false">IF(TRIM(Raw_Donors!I409)="","Unknown",TRIM(Raw_Donors!I409))</f>
        <v>HOME</v>
      </c>
      <c r="K409" s="9" t="str">
        <f aca="false">Raw_Donors!J409</f>
        <v>Y</v>
      </c>
      <c r="L409" s="9" t="n">
        <f aca="false">Raw_Donors!K409</f>
        <v>3</v>
      </c>
      <c r="M409" s="10" t="n">
        <f aca="false">IFERROR(VALUE(SUBSTITUTE(SUBSTITUTE(Raw_Donors!L409,"$",""),",","")),0)</f>
        <v>20</v>
      </c>
      <c r="N409" s="10" t="n">
        <f aca="false">IFERROR(VALUE(SUBSTITUTE(SUBSTITUTE(Raw_Donors!M409,"$",""),",","")),0)</f>
        <v>0</v>
      </c>
      <c r="O409" s="10" t="n">
        <f aca="false">IFERROR(VALUE(SUBSTITUTE(SUBSTITUTE(Raw_Donors!N409,"$",""),",","")),0)</f>
        <v>0</v>
      </c>
      <c r="P409" s="10" t="n">
        <f aca="false">IFERROR(VALUE(SUBSTITUTE(SUBSTITUTE(Raw_Donors!O409,"$",""),",","")),0)</f>
        <v>0</v>
      </c>
      <c r="Q409" s="10" t="n">
        <f aca="false">IFERROR(VALUE(SUBSTITUTE(SUBSTITUTE(Raw_Donors!P409,"$",""),",","")),0)</f>
        <v>0</v>
      </c>
      <c r="R409" s="10" t="n">
        <f aca="false">Raw_Donors!Q409</f>
        <v>45</v>
      </c>
      <c r="S409" s="9" t="str">
        <f aca="false">Raw_Donors!R409</f>
        <v>Y</v>
      </c>
      <c r="T409" s="9" t="str">
        <f aca="false">IF(Raw_Donors!S409="","",Raw_Donors!S409)</f>
        <v/>
      </c>
      <c r="U409" s="9" t="str">
        <f aca="false">IF(AND((O409+P409)&gt;0,Q409=0),"Lapsed - Follow Up","")</f>
        <v/>
      </c>
      <c r="V409" s="9" t="n">
        <f aca="false">RANK(R409,$R$2:$R$759)+COUNTIF($R$2:R409,R409)-1</f>
        <v>389</v>
      </c>
      <c r="W409" s="9" t="str">
        <f aca="false">IF(U409="Lapsed - Follow Up",COUNTIF($U$2:U409,"Lapsed - Follow Up"),"")</f>
        <v/>
      </c>
    </row>
    <row r="410" customFormat="false" ht="15" hidden="false" customHeight="true" outlineLevel="0" collapsed="false">
      <c r="A410" s="9" t="str">
        <f aca="false">Raw_Donors!A410</f>
        <v>D1408</v>
      </c>
      <c r="B410" s="9" t="str">
        <f aca="false">IF(ISNUMBER(SEARCH("-DUP",A410)),"Duplicate ID","")</f>
        <v/>
      </c>
      <c r="C410" s="9" t="n">
        <f aca="false">Raw_Donors!B410</f>
        <v>13808</v>
      </c>
      <c r="D410" s="9" t="n">
        <f aca="false">Raw_Donors!C410</f>
        <v>0</v>
      </c>
      <c r="E410" s="9" t="str">
        <f aca="false">IFERROR(IF(Raw_Donors!D410="","Unknown",Raw_Donors!D410),"Unknown")</f>
        <v>Single</v>
      </c>
      <c r="F410" s="9" t="str">
        <f aca="false">IFERROR(IF(Raw_Donors!E410="","Unknown",Raw_Donors!E410),"Unknown")</f>
        <v>Male</v>
      </c>
      <c r="G410" s="9" t="str">
        <f aca="false">PROPER(TRIM(Raw_Donors!F410))</f>
        <v>Individual Donor</v>
      </c>
      <c r="H410" s="9" t="str">
        <f aca="false">IFERROR(IF(Raw_Donors!G410="","N",Raw_Donors!G410),"N")</f>
        <v>N</v>
      </c>
      <c r="I410" s="9" t="str">
        <f aca="false">IF(Raw_Donors!H410="","Not Rated",Raw_Donors!H410)</f>
        <v>Not Rated</v>
      </c>
      <c r="J410" s="9" t="str">
        <f aca="false">IF(TRIM(Raw_Donors!I410)="","Unknown",TRIM(Raw_Donors!I410))</f>
        <v>Unknown</v>
      </c>
      <c r="K410" s="9" t="str">
        <f aca="false">Raw_Donors!J410</f>
        <v>N</v>
      </c>
      <c r="L410" s="9" t="n">
        <f aca="false">Raw_Donors!K410</f>
        <v>0</v>
      </c>
      <c r="M410" s="10" t="n">
        <f aca="false">IFERROR(VALUE(SUBSTITUTE(SUBSTITUTE(Raw_Donors!L410,"$",""),",","")),0)</f>
        <v>0</v>
      </c>
      <c r="N410" s="10" t="n">
        <f aca="false">IFERROR(VALUE(SUBSTITUTE(SUBSTITUTE(Raw_Donors!M410,"$",""),",","")),0)</f>
        <v>10</v>
      </c>
      <c r="O410" s="10" t="n">
        <f aca="false">IFERROR(VALUE(SUBSTITUTE(SUBSTITUTE(Raw_Donors!N410,"$",""),",","")),0)</f>
        <v>0</v>
      </c>
      <c r="P410" s="10" t="n">
        <f aca="false">IFERROR(VALUE(SUBSTITUTE(SUBSTITUTE(Raw_Donors!O410,"$",""),",","")),0)</f>
        <v>0</v>
      </c>
      <c r="Q410" s="10" t="n">
        <f aca="false">IFERROR(VALUE(SUBSTITUTE(SUBSTITUTE(Raw_Donors!P410,"$",""),",","")),0)</f>
        <v>0</v>
      </c>
      <c r="R410" s="10" t="n">
        <f aca="false">Raw_Donors!Q410</f>
        <v>10</v>
      </c>
      <c r="S410" s="9" t="str">
        <f aca="false">Raw_Donors!R410</f>
        <v>Y</v>
      </c>
      <c r="T410" s="9" t="str">
        <f aca="false">IF(Raw_Donors!S410="","",Raw_Donors!S410)</f>
        <v/>
      </c>
      <c r="U410" s="9" t="str">
        <f aca="false">IF(AND((O410+P410)&gt;0,Q410=0),"Lapsed - Follow Up","")</f>
        <v/>
      </c>
      <c r="V410" s="9" t="n">
        <f aca="false">RANK(R410,$R$2:$R$759)+COUNTIF($R$2:R410,R410)-1</f>
        <v>499</v>
      </c>
      <c r="W410" s="9" t="str">
        <f aca="false">IF(U410="Lapsed - Follow Up",COUNTIF($U$2:U410,"Lapsed - Follow Up"),"")</f>
        <v/>
      </c>
    </row>
    <row r="411" customFormat="false" ht="15" hidden="false" customHeight="true" outlineLevel="0" collapsed="false">
      <c r="A411" s="9" t="str">
        <f aca="false">Raw_Donors!A411</f>
        <v>D1409</v>
      </c>
      <c r="B411" s="9" t="str">
        <f aca="false">IF(ISNUMBER(SEARCH("-DUP",A411)),"Duplicate ID","")</f>
        <v/>
      </c>
      <c r="C411" s="9" t="n">
        <f aca="false">Raw_Donors!B411</f>
        <v>90265</v>
      </c>
      <c r="D411" s="9" t="n">
        <f aca="false">Raw_Donors!C411</f>
        <v>28</v>
      </c>
      <c r="E411" s="9" t="str">
        <f aca="false">IFERROR(IF(Raw_Donors!D411="","Unknown",Raw_Donors!D411),"Unknown")</f>
        <v>Unknown</v>
      </c>
      <c r="F411" s="9" t="str">
        <f aca="false">IFERROR(IF(Raw_Donors!E411="","Unknown",Raw_Donors!E411),"Unknown")</f>
        <v>Female</v>
      </c>
      <c r="G411" s="9" t="str">
        <f aca="false">PROPER(TRIM(Raw_Donors!F411))</f>
        <v>Community Partner</v>
      </c>
      <c r="H411" s="9" t="str">
        <f aca="false">IFERROR(IF(Raw_Donors!G411="","N",Raw_Donors!G411),"N")</f>
        <v>Y</v>
      </c>
      <c r="I411" s="9" t="str">
        <f aca="false">IF(Raw_Donors!H411="","Not Rated",Raw_Donors!H411)</f>
        <v>Not Rated</v>
      </c>
      <c r="J411" s="9" t="str">
        <f aca="false">IF(TRIM(Raw_Donors!I411)="","Unknown",TRIM(Raw_Donors!I411))</f>
        <v>HOME</v>
      </c>
      <c r="K411" s="9" t="str">
        <f aca="false">Raw_Donors!J411</f>
        <v>Y</v>
      </c>
      <c r="L411" s="9" t="n">
        <f aca="false">Raw_Donors!K411</f>
        <v>0</v>
      </c>
      <c r="M411" s="10" t="n">
        <f aca="false">IFERROR(VALUE(SUBSTITUTE(SUBSTITUTE(Raw_Donors!L411,"$",""),",","")),0)</f>
        <v>0</v>
      </c>
      <c r="N411" s="10" t="n">
        <f aca="false">IFERROR(VALUE(SUBSTITUTE(SUBSTITUTE(Raw_Donors!M411,"$",""),",","")),0)</f>
        <v>0</v>
      </c>
      <c r="O411" s="10" t="n">
        <f aca="false">IFERROR(VALUE(SUBSTITUTE(SUBSTITUTE(Raw_Donors!N411,"$",""),",","")),0)</f>
        <v>0</v>
      </c>
      <c r="P411" s="10" t="n">
        <f aca="false">IFERROR(VALUE(SUBSTITUTE(SUBSTITUTE(Raw_Donors!O411,"$",""),",","")),0)</f>
        <v>0</v>
      </c>
      <c r="Q411" s="10" t="n">
        <f aca="false">IFERROR(VALUE(SUBSTITUTE(SUBSTITUTE(Raw_Donors!P411,"$",""),",","")),0)</f>
        <v>0</v>
      </c>
      <c r="R411" s="10" t="n">
        <f aca="false">Raw_Donors!Q411</f>
        <v>0</v>
      </c>
      <c r="S411" s="9" t="str">
        <f aca="false">Raw_Donors!R411</f>
        <v>N</v>
      </c>
      <c r="T411" s="9" t="str">
        <f aca="false">IF(Raw_Donors!S411="","",Raw_Donors!S411)</f>
        <v>1989-09-14</v>
      </c>
      <c r="U411" s="9" t="str">
        <f aca="false">IF(AND((O411+P411)&gt;0,Q411=0),"Lapsed - Follow Up","")</f>
        <v/>
      </c>
      <c r="V411" s="9" t="n">
        <f aca="false">RANK(R411,$R$2:$R$759)+COUNTIF($R$2:R411,R411)-1</f>
        <v>663</v>
      </c>
      <c r="W411" s="9" t="str">
        <f aca="false">IF(U411="Lapsed - Follow Up",COUNTIF($U$2:U411,"Lapsed - Follow Up"),"")</f>
        <v/>
      </c>
    </row>
    <row r="412" customFormat="false" ht="15" hidden="false" customHeight="true" outlineLevel="0" collapsed="false">
      <c r="A412" s="9" t="str">
        <f aca="false">Raw_Donors!A412</f>
        <v>D1410</v>
      </c>
      <c r="B412" s="9" t="str">
        <f aca="false">IF(ISNUMBER(SEARCH("-DUP",A412)),"Duplicate ID","")</f>
        <v/>
      </c>
      <c r="C412" s="9" t="n">
        <f aca="false">Raw_Donors!B412</f>
        <v>66020</v>
      </c>
      <c r="D412" s="9" t="n">
        <f aca="false">Raw_Donors!C412</f>
        <v>0</v>
      </c>
      <c r="E412" s="9" t="str">
        <f aca="false">IFERROR(IF(Raw_Donors!D412="","Unknown",Raw_Donors!D412),"Unknown")</f>
        <v>Widowed</v>
      </c>
      <c r="F412" s="9" t="str">
        <f aca="false">IFERROR(IF(Raw_Donors!E412="","Unknown",Raw_Donors!E412),"Unknown")</f>
        <v>Female</v>
      </c>
      <c r="G412" s="9" t="str">
        <f aca="false">PROPER(TRIM(Raw_Donors!F412))</f>
        <v>Individual Donor</v>
      </c>
      <c r="H412" s="9" t="str">
        <f aca="false">IFERROR(IF(Raw_Donors!G412="","N",Raw_Donors!G412),"N")</f>
        <v>N</v>
      </c>
      <c r="I412" s="9" t="str">
        <f aca="false">IF(Raw_Donors!H412="","Not Rated",Raw_Donors!H412)</f>
        <v>Not Rated</v>
      </c>
      <c r="J412" s="9" t="str">
        <f aca="false">IF(TRIM(Raw_Donors!I412)="","Unknown",TRIM(Raw_Donors!I412))</f>
        <v>HOME</v>
      </c>
      <c r="K412" s="9" t="str">
        <f aca="false">Raw_Donors!J412</f>
        <v>N</v>
      </c>
      <c r="L412" s="9" t="n">
        <f aca="false">Raw_Donors!K412</f>
        <v>1</v>
      </c>
      <c r="M412" s="10" t="n">
        <f aca="false">IFERROR(VALUE(SUBSTITUTE(SUBSTITUTE(Raw_Donors!L412,"$",""),",","")),0)</f>
        <v>0</v>
      </c>
      <c r="N412" s="10" t="n">
        <f aca="false">IFERROR(VALUE(SUBSTITUTE(SUBSTITUTE(Raw_Donors!M412,"$",""),",","")),0)</f>
        <v>0</v>
      </c>
      <c r="O412" s="10" t="n">
        <f aca="false">IFERROR(VALUE(SUBSTITUTE(SUBSTITUTE(Raw_Donors!N412,"$",""),",","")),0)</f>
        <v>0</v>
      </c>
      <c r="P412" s="10" t="n">
        <f aca="false">IFERROR(VALUE(SUBSTITUTE(SUBSTITUTE(Raw_Donors!O412,"$",""),",","")),0)</f>
        <v>0</v>
      </c>
      <c r="Q412" s="10" t="n">
        <f aca="false">IFERROR(VALUE(SUBSTITUTE(SUBSTITUTE(Raw_Donors!P412,"$",""),",","")),0)</f>
        <v>0</v>
      </c>
      <c r="R412" s="10" t="n">
        <f aca="false">Raw_Donors!Q412</f>
        <v>0</v>
      </c>
      <c r="S412" s="9" t="str">
        <f aca="false">Raw_Donors!R412</f>
        <v>N</v>
      </c>
      <c r="T412" s="9" t="str">
        <f aca="false">IF(Raw_Donors!S412="","",Raw_Donors!S412)</f>
        <v/>
      </c>
      <c r="U412" s="9" t="str">
        <f aca="false">IF(AND((O412+P412)&gt;0,Q412=0),"Lapsed - Follow Up","")</f>
        <v/>
      </c>
      <c r="V412" s="9" t="n">
        <f aca="false">RANK(R412,$R$2:$R$759)+COUNTIF($R$2:R412,R412)-1</f>
        <v>664</v>
      </c>
      <c r="W412" s="9" t="str">
        <f aca="false">IF(U412="Lapsed - Follow Up",COUNTIF($U$2:U412,"Lapsed - Follow Up"),"")</f>
        <v/>
      </c>
    </row>
    <row r="413" customFormat="false" ht="15" hidden="false" customHeight="true" outlineLevel="0" collapsed="false">
      <c r="A413" s="9" t="str">
        <f aca="false">Raw_Donors!A413</f>
        <v>D1411</v>
      </c>
      <c r="B413" s="9" t="str">
        <f aca="false">IF(ISNUMBER(SEARCH("-DUP",A413)),"Duplicate ID","")</f>
        <v/>
      </c>
      <c r="C413" s="9" t="n">
        <f aca="false">Raw_Donors!B413</f>
        <v>8042</v>
      </c>
      <c r="D413" s="9" t="n">
        <f aca="false">Raw_Donors!C413</f>
        <v>31</v>
      </c>
      <c r="E413" s="9" t="str">
        <f aca="false">IFERROR(IF(Raw_Donors!D413="","Unknown",Raw_Donors!D413),"Unknown")</f>
        <v>Unknown</v>
      </c>
      <c r="F413" s="9" t="str">
        <f aca="false">IFERROR(IF(Raw_Donors!E413="","Unknown",Raw_Donors!E413),"Unknown")</f>
        <v>Female</v>
      </c>
      <c r="G413" s="9" t="str">
        <f aca="false">PROPER(TRIM(Raw_Donors!F413))</f>
        <v>Individual Donor</v>
      </c>
      <c r="H413" s="9" t="str">
        <f aca="false">IFERROR(IF(Raw_Donors!G413="","N",Raw_Donors!G413),"N")</f>
        <v>N</v>
      </c>
      <c r="I413" s="9" t="str">
        <f aca="false">IF(Raw_Donors!H413="","Not Rated",Raw_Donors!H413)</f>
        <v>Not Rated</v>
      </c>
      <c r="J413" s="9" t="str">
        <f aca="false">IF(TRIM(Raw_Donors!I413)="","Unknown",TRIM(Raw_Donors!I413))</f>
        <v>HOME</v>
      </c>
      <c r="K413" s="9" t="str">
        <f aca="false">Raw_Donors!J413</f>
        <v>N</v>
      </c>
      <c r="L413" s="9" t="n">
        <f aca="false">Raw_Donors!K413</f>
        <v>0</v>
      </c>
      <c r="M413" s="10" t="n">
        <f aca="false">IFERROR(VALUE(SUBSTITUTE(SUBSTITUTE(Raw_Donors!L413,"$",""),",","")),0)</f>
        <v>0</v>
      </c>
      <c r="N413" s="10" t="n">
        <f aca="false">IFERROR(VALUE(SUBSTITUTE(SUBSTITUTE(Raw_Donors!M413,"$",""),",","")),0)</f>
        <v>0</v>
      </c>
      <c r="O413" s="10" t="n">
        <f aca="false">IFERROR(VALUE(SUBSTITUTE(SUBSTITUTE(Raw_Donors!N413,"$",""),",","")),0)</f>
        <v>0</v>
      </c>
      <c r="P413" s="10" t="n">
        <f aca="false">IFERROR(VALUE(SUBSTITUTE(SUBSTITUTE(Raw_Donors!O413,"$",""),",","")),0)</f>
        <v>8</v>
      </c>
      <c r="Q413" s="10" t="n">
        <f aca="false">IFERROR(VALUE(SUBSTITUTE(SUBSTITUTE(Raw_Donors!P413,"$",""),",","")),0)</f>
        <v>0</v>
      </c>
      <c r="R413" s="10" t="n">
        <f aca="false">Raw_Donors!Q413</f>
        <v>8</v>
      </c>
      <c r="S413" s="9" t="str">
        <f aca="false">Raw_Donors!R413</f>
        <v>Y</v>
      </c>
      <c r="T413" s="9" t="str">
        <f aca="false">IF(Raw_Donors!S413="","",Raw_Donors!S413)</f>
        <v>1986-09-01</v>
      </c>
      <c r="U413" s="9" t="str">
        <f aca="false">IF(AND((O413+P413)&gt;0,Q413=0),"Lapsed - Follow Up","")</f>
        <v>Lapsed - Follow Up</v>
      </c>
      <c r="V413" s="9" t="n">
        <f aca="false">RANK(R413,$R$2:$R$759)+COUNTIF($R$2:R413,R413)-1</f>
        <v>511</v>
      </c>
      <c r="W413" s="9" t="n">
        <f aca="false">IF(U413="Lapsed - Follow Up",COUNTIF($U$2:U413,"Lapsed - Follow Up"),"")</f>
        <v>61</v>
      </c>
    </row>
    <row r="414" customFormat="false" ht="15" hidden="false" customHeight="true" outlineLevel="0" collapsed="false">
      <c r="A414" s="9" t="str">
        <f aca="false">Raw_Donors!A414</f>
        <v>D1412</v>
      </c>
      <c r="B414" s="9" t="str">
        <f aca="false">IF(ISNUMBER(SEARCH("-DUP",A414)),"Duplicate ID","")</f>
        <v/>
      </c>
      <c r="C414" s="9" t="n">
        <f aca="false">Raw_Donors!B414</f>
        <v>30597</v>
      </c>
      <c r="D414" s="9" t="n">
        <f aca="false">Raw_Donors!C414</f>
        <v>64</v>
      </c>
      <c r="E414" s="9" t="str">
        <f aca="false">IFERROR(IF(Raw_Donors!D414="","Unknown",Raw_Donors!D414),"Unknown")</f>
        <v>Unknown</v>
      </c>
      <c r="F414" s="9" t="str">
        <f aca="false">IFERROR(IF(Raw_Donors!E414="","Unknown",Raw_Donors!E414),"Unknown")</f>
        <v>Male</v>
      </c>
      <c r="G414" s="9" t="str">
        <f aca="false">PROPER(TRIM(Raw_Donors!F414))</f>
        <v>Individual Donor</v>
      </c>
      <c r="H414" s="9" t="str">
        <f aca="false">IFERROR(IF(Raw_Donors!G414="","N",Raw_Donors!G414),"N")</f>
        <v>N</v>
      </c>
      <c r="I414" s="9" t="str">
        <f aca="false">IF(Raw_Donors!H414="","Not Rated",Raw_Donors!H414)</f>
        <v>$100,000-$249,999</v>
      </c>
      <c r="J414" s="9" t="str">
        <f aca="false">IF(TRIM(Raw_Donors!I414)="","Unknown",TRIM(Raw_Donors!I414))</f>
        <v>CAMP</v>
      </c>
      <c r="K414" s="9" t="str">
        <f aca="false">Raw_Donors!J414</f>
        <v>Y</v>
      </c>
      <c r="L414" s="9" t="n">
        <f aca="false">Raw_Donors!K414</f>
        <v>0</v>
      </c>
      <c r="M414" s="10" t="n">
        <f aca="false">IFERROR(VALUE(SUBSTITUTE(SUBSTITUTE(Raw_Donors!L414,"$",""),",","")),0)</f>
        <v>0</v>
      </c>
      <c r="N414" s="10" t="n">
        <f aca="false">IFERROR(VALUE(SUBSTITUTE(SUBSTITUTE(Raw_Donors!M414,"$",""),",","")),0)</f>
        <v>50</v>
      </c>
      <c r="O414" s="10" t="n">
        <f aca="false">IFERROR(VALUE(SUBSTITUTE(SUBSTITUTE(Raw_Donors!N414,"$",""),",","")),0)</f>
        <v>0</v>
      </c>
      <c r="P414" s="10" t="n">
        <f aca="false">IFERROR(VALUE(SUBSTITUTE(SUBSTITUTE(Raw_Donors!O414,"$",""),",","")),0)</f>
        <v>0</v>
      </c>
      <c r="Q414" s="10" t="n">
        <f aca="false">IFERROR(VALUE(SUBSTITUTE(SUBSTITUTE(Raw_Donors!P414,"$",""),",","")),0)</f>
        <v>190</v>
      </c>
      <c r="R414" s="10" t="n">
        <f aca="false">Raw_Donors!Q414</f>
        <v>240</v>
      </c>
      <c r="S414" s="9" t="str">
        <f aca="false">Raw_Donors!R414</f>
        <v>Y</v>
      </c>
      <c r="T414" s="9" t="str">
        <f aca="false">IF(Raw_Donors!S414="","",Raw_Donors!S414)</f>
        <v>1953-01-19</v>
      </c>
      <c r="U414" s="9" t="str">
        <f aca="false">IF(AND((O414+P414)&gt;0,Q414=0),"Lapsed - Follow Up","")</f>
        <v/>
      </c>
      <c r="V414" s="9" t="n">
        <f aca="false">RANK(R414,$R$2:$R$759)+COUNTIF($R$2:R414,R414)-1</f>
        <v>176</v>
      </c>
      <c r="W414" s="9" t="str">
        <f aca="false">IF(U414="Lapsed - Follow Up",COUNTIF($U$2:U414,"Lapsed - Follow Up"),"")</f>
        <v/>
      </c>
    </row>
    <row r="415" customFormat="false" ht="15" hidden="false" customHeight="true" outlineLevel="0" collapsed="false">
      <c r="A415" s="9" t="str">
        <f aca="false">Raw_Donors!A415</f>
        <v>D1413</v>
      </c>
      <c r="B415" s="9" t="str">
        <f aca="false">IF(ISNUMBER(SEARCH("-DUP",A415)),"Duplicate ID","")</f>
        <v/>
      </c>
      <c r="C415" s="9" t="n">
        <f aca="false">Raw_Donors!B415</f>
        <v>15209</v>
      </c>
      <c r="D415" s="9" t="n">
        <f aca="false">Raw_Donors!C415</f>
        <v>30</v>
      </c>
      <c r="E415" s="9" t="str">
        <f aca="false">IFERROR(IF(Raw_Donors!D415="","Unknown",Raw_Donors!D415),"Unknown")</f>
        <v>Unknown</v>
      </c>
      <c r="F415" s="9" t="str">
        <f aca="false">IFERROR(IF(Raw_Donors!E415="","Unknown",Raw_Donors!E415),"Unknown")</f>
        <v>Male</v>
      </c>
      <c r="G415" s="9" t="str">
        <f aca="false">PROPER(TRIM(Raw_Donors!F415))</f>
        <v>Community Partner</v>
      </c>
      <c r="H415" s="9" t="str">
        <f aca="false">IFERROR(IF(Raw_Donors!G415="","N",Raw_Donors!G415),"N")</f>
        <v>Y</v>
      </c>
      <c r="I415" s="9" t="str">
        <f aca="false">IF(Raw_Donors!H415="","Not Rated",Raw_Donors!H415)</f>
        <v>$100,000-$249,999</v>
      </c>
      <c r="J415" s="9" t="str">
        <f aca="false">IF(TRIM(Raw_Donors!I415)="","Unknown",TRIM(Raw_Donors!I415))</f>
        <v>HOME</v>
      </c>
      <c r="K415" s="9" t="str">
        <f aca="false">Raw_Donors!J415</f>
        <v>Y</v>
      </c>
      <c r="L415" s="9" t="n">
        <f aca="false">Raw_Donors!K415</f>
        <v>0</v>
      </c>
      <c r="M415" s="10" t="n">
        <f aca="false">IFERROR(VALUE(SUBSTITUTE(SUBSTITUTE(Raw_Donors!L415,"$",""),",","")),0)</f>
        <v>0</v>
      </c>
      <c r="N415" s="10" t="n">
        <f aca="false">IFERROR(VALUE(SUBSTITUTE(SUBSTITUTE(Raw_Donors!M415,"$",""),",","")),0)</f>
        <v>0</v>
      </c>
      <c r="O415" s="10" t="n">
        <f aca="false">IFERROR(VALUE(SUBSTITUTE(SUBSTITUTE(Raw_Donors!N415,"$",""),",","")),0)</f>
        <v>0</v>
      </c>
      <c r="P415" s="10" t="n">
        <f aca="false">IFERROR(VALUE(SUBSTITUTE(SUBSTITUTE(Raw_Donors!O415,"$",""),",","")),0)</f>
        <v>0</v>
      </c>
      <c r="Q415" s="10" t="n">
        <f aca="false">IFERROR(VALUE(SUBSTITUTE(SUBSTITUTE(Raw_Donors!P415,"$",""),",","")),0)</f>
        <v>0</v>
      </c>
      <c r="R415" s="10" t="n">
        <f aca="false">Raw_Donors!Q415</f>
        <v>25</v>
      </c>
      <c r="S415" s="9" t="str">
        <f aca="false">Raw_Donors!R415</f>
        <v>Y</v>
      </c>
      <c r="T415" s="9" t="str">
        <f aca="false">IF(Raw_Donors!S415="","",Raw_Donors!S415)</f>
        <v>1987-09-16</v>
      </c>
      <c r="U415" s="9" t="str">
        <f aca="false">IF(AND((O415+P415)&gt;0,Q415=0),"Lapsed - Follow Up","")</f>
        <v/>
      </c>
      <c r="V415" s="9" t="n">
        <f aca="false">RANK(R415,$R$2:$R$759)+COUNTIF($R$2:R415,R415)-1</f>
        <v>448</v>
      </c>
      <c r="W415" s="9" t="str">
        <f aca="false">IF(U415="Lapsed - Follow Up",COUNTIF($U$2:U415,"Lapsed - Follow Up"),"")</f>
        <v/>
      </c>
    </row>
    <row r="416" customFormat="false" ht="15" hidden="false" customHeight="true" outlineLevel="0" collapsed="false">
      <c r="A416" s="9" t="str">
        <f aca="false">Raw_Donors!A416</f>
        <v>D1414</v>
      </c>
      <c r="B416" s="9" t="str">
        <f aca="false">IF(ISNUMBER(SEARCH("-DUP",A416)),"Duplicate ID","")</f>
        <v/>
      </c>
      <c r="C416" s="9" t="n">
        <f aca="false">Raw_Donors!B416</f>
        <v>50003</v>
      </c>
      <c r="D416" s="9" t="n">
        <f aca="false">Raw_Donors!C416</f>
        <v>0</v>
      </c>
      <c r="E416" s="9" t="str">
        <f aca="false">IFERROR(IF(Raw_Donors!D416="","Unknown",Raw_Donors!D416),"Unknown")</f>
        <v>Married</v>
      </c>
      <c r="F416" s="9" t="str">
        <f aca="false">IFERROR(IF(Raw_Donors!E416="","Unknown",Raw_Donors!E416),"Unknown")</f>
        <v>Male</v>
      </c>
      <c r="G416" s="9" t="str">
        <f aca="false">PROPER(TRIM(Raw_Donors!F416))</f>
        <v>Family Donor</v>
      </c>
      <c r="H416" s="9" t="str">
        <f aca="false">IFERROR(IF(Raw_Donors!G416="","N",Raw_Donors!G416),"N")</f>
        <v>N</v>
      </c>
      <c r="I416" s="9" t="str">
        <f aca="false">IF(Raw_Donors!H416="","Not Rated",Raw_Donors!H416)</f>
        <v>Not Rated</v>
      </c>
      <c r="J416" s="9" t="str">
        <f aca="false">IF(TRIM(Raw_Donors!I416)="","Unknown",TRIM(Raw_Donors!I416))</f>
        <v>HOME</v>
      </c>
      <c r="K416" s="9" t="str">
        <f aca="false">Raw_Donors!J416</f>
        <v>N</v>
      </c>
      <c r="L416" s="9" t="n">
        <f aca="false">Raw_Donors!K416</f>
        <v>0</v>
      </c>
      <c r="M416" s="10" t="n">
        <f aca="false">IFERROR(VALUE(SUBSTITUTE(SUBSTITUTE(Raw_Donors!L416,"$",""),",","")),0)</f>
        <v>0</v>
      </c>
      <c r="N416" s="10" t="n">
        <f aca="false">IFERROR(VALUE(SUBSTITUTE(SUBSTITUTE(Raw_Donors!M416,"$",""),",","")),0)</f>
        <v>60</v>
      </c>
      <c r="O416" s="10" t="n">
        <f aca="false">IFERROR(VALUE(SUBSTITUTE(SUBSTITUTE(Raw_Donors!N416,"$",""),",","")),0)</f>
        <v>0</v>
      </c>
      <c r="P416" s="10" t="n">
        <f aca="false">IFERROR(VALUE(SUBSTITUTE(SUBSTITUTE(Raw_Donors!O416,"$",""),",","")),0)</f>
        <v>0</v>
      </c>
      <c r="Q416" s="10" t="n">
        <f aca="false">IFERROR(VALUE(SUBSTITUTE(SUBSTITUTE(Raw_Donors!P416,"$",""),",","")),0)</f>
        <v>0</v>
      </c>
      <c r="R416" s="10" t="n">
        <f aca="false">Raw_Donors!Q416</f>
        <v>60</v>
      </c>
      <c r="S416" s="9" t="str">
        <f aca="false">Raw_Donors!R416</f>
        <v>Y</v>
      </c>
      <c r="T416" s="9" t="str">
        <f aca="false">IF(Raw_Donors!S416="","",Raw_Donors!S416)</f>
        <v/>
      </c>
      <c r="U416" s="9" t="str">
        <f aca="false">IF(AND((O416+P416)&gt;0,Q416=0),"Lapsed - Follow Up","")</f>
        <v/>
      </c>
      <c r="V416" s="9" t="n">
        <f aca="false">RANK(R416,$R$2:$R$759)+COUNTIF($R$2:R416,R416)-1</f>
        <v>355</v>
      </c>
      <c r="W416" s="9" t="str">
        <f aca="false">IF(U416="Lapsed - Follow Up",COUNTIF($U$2:U416,"Lapsed - Follow Up"),"")</f>
        <v/>
      </c>
    </row>
    <row r="417" customFormat="false" ht="15" hidden="false" customHeight="true" outlineLevel="0" collapsed="false">
      <c r="A417" s="9" t="str">
        <f aca="false">Raw_Donors!A417</f>
        <v>D1415</v>
      </c>
      <c r="B417" s="9" t="str">
        <f aca="false">IF(ISNUMBER(SEARCH("-DUP",A417)),"Duplicate ID","")</f>
        <v/>
      </c>
      <c r="C417" s="9" t="n">
        <f aca="false">Raw_Donors!B417</f>
        <v>15144</v>
      </c>
      <c r="D417" s="9" t="n">
        <f aca="false">Raw_Donors!C417</f>
        <v>37</v>
      </c>
      <c r="E417" s="9" t="str">
        <f aca="false">IFERROR(IF(Raw_Donors!D417="","Unknown",Raw_Donors!D417),"Unknown")</f>
        <v>Unknown</v>
      </c>
      <c r="F417" s="9" t="str">
        <f aca="false">IFERROR(IF(Raw_Donors!E417="","Unknown",Raw_Donors!E417),"Unknown")</f>
        <v>Male</v>
      </c>
      <c r="G417" s="9" t="str">
        <f aca="false">PROPER(TRIM(Raw_Donors!F417))</f>
        <v>Community Partner</v>
      </c>
      <c r="H417" s="9" t="str">
        <f aca="false">IFERROR(IF(Raw_Donors!G417="","N",Raw_Donors!G417),"N")</f>
        <v>Y</v>
      </c>
      <c r="I417" s="9" t="str">
        <f aca="false">IF(Raw_Donors!H417="","Not Rated",Raw_Donors!H417)</f>
        <v>Not Rated</v>
      </c>
      <c r="J417" s="9" t="str">
        <f aca="false">IF(TRIM(Raw_Donors!I417)="","Unknown",TRIM(Raw_Donors!I417))</f>
        <v>HOME</v>
      </c>
      <c r="K417" s="9" t="str">
        <f aca="false">Raw_Donors!J417</f>
        <v>Y</v>
      </c>
      <c r="L417" s="9" t="n">
        <f aca="false">Raw_Donors!K417</f>
        <v>1</v>
      </c>
      <c r="M417" s="10" t="n">
        <f aca="false">IFERROR(VALUE(SUBSTITUTE(SUBSTITUTE(Raw_Donors!L417,"$",""),",","")),0)</f>
        <v>0</v>
      </c>
      <c r="N417" s="10" t="n">
        <f aca="false">IFERROR(VALUE(SUBSTITUTE(SUBSTITUTE(Raw_Donors!M417,"$",""),",","")),0)</f>
        <v>0</v>
      </c>
      <c r="O417" s="10" t="n">
        <f aca="false">IFERROR(VALUE(SUBSTITUTE(SUBSTITUTE(Raw_Donors!N417,"$",""),",","")),0)</f>
        <v>0</v>
      </c>
      <c r="P417" s="10" t="n">
        <f aca="false">IFERROR(VALUE(SUBSTITUTE(SUBSTITUTE(Raw_Donors!O417,"$",""),",","")),0)</f>
        <v>0</v>
      </c>
      <c r="Q417" s="10" t="n">
        <f aca="false">IFERROR(VALUE(SUBSTITUTE(SUBSTITUTE(Raw_Donors!P417,"$",""),",","")),0)</f>
        <v>0</v>
      </c>
      <c r="R417" s="10" t="n">
        <f aca="false">Raw_Donors!Q417</f>
        <v>40</v>
      </c>
      <c r="S417" s="9" t="str">
        <f aca="false">Raw_Donors!R417</f>
        <v>Y</v>
      </c>
      <c r="T417" s="9" t="str">
        <f aca="false">IF(Raw_Donors!S417="","",Raw_Donors!S417)</f>
        <v>1980-12-10</v>
      </c>
      <c r="U417" s="9" t="str">
        <f aca="false">IF(AND((O417+P417)&gt;0,Q417=0),"Lapsed - Follow Up","")</f>
        <v/>
      </c>
      <c r="V417" s="9" t="n">
        <f aca="false">RANK(R417,$R$2:$R$759)+COUNTIF($R$2:R417,R417)-1</f>
        <v>399</v>
      </c>
      <c r="W417" s="9" t="str">
        <f aca="false">IF(U417="Lapsed - Follow Up",COUNTIF($U$2:U417,"Lapsed - Follow Up"),"")</f>
        <v/>
      </c>
    </row>
    <row r="418" customFormat="false" ht="15" hidden="false" customHeight="true" outlineLevel="0" collapsed="false">
      <c r="A418" s="9" t="str">
        <f aca="false">Raw_Donors!A418</f>
        <v>D1416</v>
      </c>
      <c r="B418" s="9" t="str">
        <f aca="false">IF(ISNUMBER(SEARCH("-DUP",A418)),"Duplicate ID","")</f>
        <v/>
      </c>
      <c r="C418" s="9" t="n">
        <f aca="false">Raw_Donors!B418</f>
        <v>93239</v>
      </c>
      <c r="D418" s="9" t="n">
        <f aca="false">Raw_Donors!C418</f>
        <v>0</v>
      </c>
      <c r="E418" s="9" t="str">
        <f aca="false">IFERROR(IF(Raw_Donors!D418="","Unknown",Raw_Donors!D418),"Unknown")</f>
        <v>Single</v>
      </c>
      <c r="F418" s="9" t="str">
        <f aca="false">IFERROR(IF(Raw_Donors!E418="","Unknown",Raw_Donors!E418),"Unknown")</f>
        <v>Male</v>
      </c>
      <c r="G418" s="9" t="str">
        <f aca="false">PROPER(TRIM(Raw_Donors!F418))</f>
        <v>Individual Donor</v>
      </c>
      <c r="H418" s="9" t="str">
        <f aca="false">IFERROR(IF(Raw_Donors!G418="","N",Raw_Donors!G418),"N")</f>
        <v>N</v>
      </c>
      <c r="I418" s="9" t="str">
        <f aca="false">IF(Raw_Donors!H418="","Not Rated",Raw_Donors!H418)</f>
        <v>Not Rated</v>
      </c>
      <c r="J418" s="9" t="str">
        <f aca="false">IF(TRIM(Raw_Donors!I418)="","Unknown",TRIM(Raw_Donors!I418))</f>
        <v>Unknown</v>
      </c>
      <c r="K418" s="9" t="str">
        <f aca="false">Raw_Donors!J418</f>
        <v>N</v>
      </c>
      <c r="L418" s="9" t="n">
        <f aca="false">Raw_Donors!K418</f>
        <v>0</v>
      </c>
      <c r="M418" s="10" t="n">
        <f aca="false">IFERROR(VALUE(SUBSTITUTE(SUBSTITUTE(Raw_Donors!L418,"$",""),",","")),0)</f>
        <v>0</v>
      </c>
      <c r="N418" s="10" t="n">
        <f aca="false">IFERROR(VALUE(SUBSTITUTE(SUBSTITUTE(Raw_Donors!M418,"$",""),",","")),0)</f>
        <v>0</v>
      </c>
      <c r="O418" s="10" t="n">
        <f aca="false">IFERROR(VALUE(SUBSTITUTE(SUBSTITUTE(Raw_Donors!N418,"$",""),",","")),0)</f>
        <v>0</v>
      </c>
      <c r="P418" s="10" t="n">
        <f aca="false">IFERROR(VALUE(SUBSTITUTE(SUBSTITUTE(Raw_Donors!O418,"$",""),",","")),0)</f>
        <v>0</v>
      </c>
      <c r="Q418" s="10" t="n">
        <f aca="false">IFERROR(VALUE(SUBSTITUTE(SUBSTITUTE(Raw_Donors!P418,"$",""),",","")),0)</f>
        <v>0</v>
      </c>
      <c r="R418" s="10" t="n">
        <f aca="false">Raw_Donors!Q418</f>
        <v>75</v>
      </c>
      <c r="S418" s="9" t="str">
        <f aca="false">Raw_Donors!R418</f>
        <v>Y</v>
      </c>
      <c r="T418" s="9" t="str">
        <f aca="false">IF(Raw_Donors!S418="","",Raw_Donors!S418)</f>
        <v/>
      </c>
      <c r="U418" s="9" t="str">
        <f aca="false">IF(AND((O418+P418)&gt;0,Q418=0),"Lapsed - Follow Up","")</f>
        <v/>
      </c>
      <c r="V418" s="9" t="n">
        <f aca="false">RANK(R418,$R$2:$R$759)+COUNTIF($R$2:R418,R418)-1</f>
        <v>332</v>
      </c>
      <c r="W418" s="9" t="str">
        <f aca="false">IF(U418="Lapsed - Follow Up",COUNTIF($U$2:U418,"Lapsed - Follow Up"),"")</f>
        <v/>
      </c>
    </row>
    <row r="419" customFormat="false" ht="15" hidden="false" customHeight="true" outlineLevel="0" collapsed="false">
      <c r="A419" s="9" t="str">
        <f aca="false">Raw_Donors!A419</f>
        <v>D1417</v>
      </c>
      <c r="B419" s="9" t="str">
        <f aca="false">IF(ISNUMBER(SEARCH("-DUP",A419)),"Duplicate ID","")</f>
        <v/>
      </c>
      <c r="C419" s="9" t="n">
        <f aca="false">Raw_Donors!B419</f>
        <v>27429</v>
      </c>
      <c r="D419" s="9" t="n">
        <f aca="false">Raw_Donors!C419</f>
        <v>0</v>
      </c>
      <c r="E419" s="9" t="str">
        <f aca="false">IFERROR(IF(Raw_Donors!D419="","Unknown",Raw_Donors!D419),"Unknown")</f>
        <v>Unknown</v>
      </c>
      <c r="F419" s="9" t="str">
        <f aca="false">IFERROR(IF(Raw_Donors!E419="","Unknown",Raw_Donors!E419),"Unknown")</f>
        <v>Female</v>
      </c>
      <c r="G419" s="9" t="str">
        <f aca="false">PROPER(TRIM(Raw_Donors!F419))</f>
        <v>Community Partner</v>
      </c>
      <c r="H419" s="9" t="str">
        <f aca="false">IFERROR(IF(Raw_Donors!G419="","N",Raw_Donors!G419),"N")</f>
        <v>Y</v>
      </c>
      <c r="I419" s="9" t="str">
        <f aca="false">IF(Raw_Donors!H419="","Not Rated",Raw_Donors!H419)</f>
        <v>Not Rated</v>
      </c>
      <c r="J419" s="9" t="str">
        <f aca="false">IF(TRIM(Raw_Donors!I419)="","Unknown",TRIM(Raw_Donors!I419))</f>
        <v>HOME</v>
      </c>
      <c r="K419" s="9" t="str">
        <f aca="false">Raw_Donors!J419</f>
        <v>Y</v>
      </c>
      <c r="L419" s="9" t="n">
        <f aca="false">Raw_Donors!K419</f>
        <v>4</v>
      </c>
      <c r="M419" s="10" t="n">
        <f aca="false">IFERROR(VALUE(SUBSTITUTE(SUBSTITUTE(Raw_Donors!L419,"$",""),",","")),0)</f>
        <v>20</v>
      </c>
      <c r="N419" s="10" t="n">
        <f aca="false">IFERROR(VALUE(SUBSTITUTE(SUBSTITUTE(Raw_Donors!M419,"$",""),",","")),0)</f>
        <v>0</v>
      </c>
      <c r="O419" s="10" t="n">
        <f aca="false">IFERROR(VALUE(SUBSTITUTE(SUBSTITUTE(Raw_Donors!N419,"$",""),",","")),0)</f>
        <v>0</v>
      </c>
      <c r="P419" s="10" t="n">
        <f aca="false">IFERROR(VALUE(SUBSTITUTE(SUBSTITUTE(Raw_Donors!O419,"$",""),",","")),0)</f>
        <v>0</v>
      </c>
      <c r="Q419" s="10" t="n">
        <f aca="false">IFERROR(VALUE(SUBSTITUTE(SUBSTITUTE(Raw_Donors!P419,"$",""),",","")),0)</f>
        <v>0</v>
      </c>
      <c r="R419" s="10" t="n">
        <f aca="false">Raw_Donors!Q419</f>
        <v>20</v>
      </c>
      <c r="S419" s="9" t="str">
        <f aca="false">Raw_Donors!R419</f>
        <v>Y</v>
      </c>
      <c r="T419" s="9" t="str">
        <f aca="false">IF(Raw_Donors!S419="","",Raw_Donors!S419)</f>
        <v/>
      </c>
      <c r="U419" s="9" t="str">
        <f aca="false">IF(AND((O419+P419)&gt;0,Q419=0),"Lapsed - Follow Up","")</f>
        <v/>
      </c>
      <c r="V419" s="9" t="n">
        <f aca="false">RANK(R419,$R$2:$R$759)+COUNTIF($R$2:R419,R419)-1</f>
        <v>470</v>
      </c>
      <c r="W419" s="9" t="str">
        <f aca="false">IF(U419="Lapsed - Follow Up",COUNTIF($U$2:U419,"Lapsed - Follow Up"),"")</f>
        <v/>
      </c>
    </row>
    <row r="420" customFormat="false" ht="15" hidden="false" customHeight="true" outlineLevel="0" collapsed="false">
      <c r="A420" s="9" t="str">
        <f aca="false">Raw_Donors!A420</f>
        <v>D1418</v>
      </c>
      <c r="B420" s="9" t="str">
        <f aca="false">IF(ISNUMBER(SEARCH("-DUP",A420)),"Duplicate ID","")</f>
        <v/>
      </c>
      <c r="C420" s="9" t="n">
        <f aca="false">Raw_Donors!B420</f>
        <v>90265</v>
      </c>
      <c r="D420" s="9" t="n">
        <f aca="false">Raw_Donors!C420</f>
        <v>31</v>
      </c>
      <c r="E420" s="9" t="str">
        <f aca="false">IFERROR(IF(Raw_Donors!D420="","Unknown",Raw_Donors!D420),"Unknown")</f>
        <v>Unknown</v>
      </c>
      <c r="F420" s="9" t="str">
        <f aca="false">IFERROR(IF(Raw_Donors!E420="","Unknown",Raw_Donors!E420),"Unknown")</f>
        <v>Female</v>
      </c>
      <c r="G420" s="9" t="str">
        <f aca="false">PROPER(TRIM(Raw_Donors!F420))</f>
        <v>Individual Donor</v>
      </c>
      <c r="H420" s="9" t="str">
        <f aca="false">IFERROR(IF(Raw_Donors!G420="","N",Raw_Donors!G420),"N")</f>
        <v>N</v>
      </c>
      <c r="I420" s="9" t="str">
        <f aca="false">IF(Raw_Donors!H420="","Not Rated",Raw_Donors!H420)</f>
        <v>Not Rated</v>
      </c>
      <c r="J420" s="9" t="str">
        <f aca="false">IF(TRIM(Raw_Donors!I420)="","Unknown",TRIM(Raw_Donors!I420))</f>
        <v>HOME</v>
      </c>
      <c r="K420" s="9" t="str">
        <f aca="false">Raw_Donors!J420</f>
        <v>N</v>
      </c>
      <c r="L420" s="9" t="n">
        <f aca="false">Raw_Donors!K420</f>
        <v>0</v>
      </c>
      <c r="M420" s="10" t="n">
        <f aca="false">IFERROR(VALUE(SUBSTITUTE(SUBSTITUTE(Raw_Donors!L420,"$",""),",","")),0)</f>
        <v>0</v>
      </c>
      <c r="N420" s="10" t="n">
        <f aca="false">IFERROR(VALUE(SUBSTITUTE(SUBSTITUTE(Raw_Donors!M420,"$",""),",","")),0)</f>
        <v>0</v>
      </c>
      <c r="O420" s="10" t="n">
        <f aca="false">IFERROR(VALUE(SUBSTITUTE(SUBSTITUTE(Raw_Donors!N420,"$",""),",","")),0)</f>
        <v>0</v>
      </c>
      <c r="P420" s="10" t="n">
        <f aca="false">IFERROR(VALUE(SUBSTITUTE(SUBSTITUTE(Raw_Donors!O420,"$",""),",","")),0)</f>
        <v>0</v>
      </c>
      <c r="Q420" s="10" t="n">
        <f aca="false">IFERROR(VALUE(SUBSTITUTE(SUBSTITUTE(Raw_Donors!P420,"$",""),",","")),0)</f>
        <v>0</v>
      </c>
      <c r="R420" s="10" t="n">
        <f aca="false">Raw_Donors!Q420</f>
        <v>307</v>
      </c>
      <c r="S420" s="9" t="str">
        <f aca="false">Raw_Donors!R420</f>
        <v>Y</v>
      </c>
      <c r="T420" s="9" t="str">
        <f aca="false">IF(Raw_Donors!S420="","",Raw_Donors!S420)</f>
        <v>1986-06-17</v>
      </c>
      <c r="U420" s="9" t="str">
        <f aca="false">IF(AND((O420+P420)&gt;0,Q420=0),"Lapsed - Follow Up","")</f>
        <v/>
      </c>
      <c r="V420" s="9" t="n">
        <f aca="false">RANK(R420,$R$2:$R$759)+COUNTIF($R$2:R420,R420)-1</f>
        <v>139</v>
      </c>
      <c r="W420" s="9" t="str">
        <f aca="false">IF(U420="Lapsed - Follow Up",COUNTIF($U$2:U420,"Lapsed - Follow Up"),"")</f>
        <v/>
      </c>
    </row>
    <row r="421" customFormat="false" ht="15" hidden="false" customHeight="true" outlineLevel="0" collapsed="false">
      <c r="A421" s="9" t="str">
        <f aca="false">Raw_Donors!A421</f>
        <v>D1419</v>
      </c>
      <c r="B421" s="9" t="str">
        <f aca="false">IF(ISNUMBER(SEARCH("-DUP",A421)),"Duplicate ID","")</f>
        <v/>
      </c>
      <c r="C421" s="9" t="n">
        <f aca="false">Raw_Donors!B421</f>
        <v>85240</v>
      </c>
      <c r="D421" s="9" t="n">
        <f aca="false">Raw_Donors!C421</f>
        <v>0</v>
      </c>
      <c r="E421" s="9" t="str">
        <f aca="false">IFERROR(IF(Raw_Donors!D421="","Unknown",Raw_Donors!D421),"Unknown")</f>
        <v>Unknown</v>
      </c>
      <c r="F421" s="9" t="str">
        <f aca="false">IFERROR(IF(Raw_Donors!E421="","Unknown",Raw_Donors!E421),"Unknown")</f>
        <v>Male</v>
      </c>
      <c r="G421" s="9" t="str">
        <f aca="false">PROPER(TRIM(Raw_Donors!F421))</f>
        <v>Community Partner</v>
      </c>
      <c r="H421" s="9" t="str">
        <f aca="false">IFERROR(IF(Raw_Donors!G421="","N",Raw_Donors!G421),"N")</f>
        <v>Y</v>
      </c>
      <c r="I421" s="9" t="str">
        <f aca="false">IF(Raw_Donors!H421="","Not Rated",Raw_Donors!H421)</f>
        <v>Not Rated</v>
      </c>
      <c r="J421" s="9" t="str">
        <f aca="false">IF(TRIM(Raw_Donors!I421)="","Unknown",TRIM(Raw_Donors!I421))</f>
        <v>HOME</v>
      </c>
      <c r="K421" s="9" t="str">
        <f aca="false">Raw_Donors!J421</f>
        <v>Y</v>
      </c>
      <c r="L421" s="9" t="n">
        <f aca="false">Raw_Donors!K421</f>
        <v>0</v>
      </c>
      <c r="M421" s="10" t="n">
        <f aca="false">IFERROR(VALUE(SUBSTITUTE(SUBSTITUTE(Raw_Donors!L421,"$",""),",","")),0)</f>
        <v>0</v>
      </c>
      <c r="N421" s="10" t="n">
        <f aca="false">IFERROR(VALUE(SUBSTITUTE(SUBSTITUTE(Raw_Donors!M421,"$",""),",","")),0)</f>
        <v>0</v>
      </c>
      <c r="O421" s="10" t="n">
        <f aca="false">IFERROR(VALUE(SUBSTITUTE(SUBSTITUTE(Raw_Donors!N421,"$",""),",","")),0)</f>
        <v>0</v>
      </c>
      <c r="P421" s="10" t="n">
        <f aca="false">IFERROR(VALUE(SUBSTITUTE(SUBSTITUTE(Raw_Donors!O421,"$",""),",","")),0)</f>
        <v>0</v>
      </c>
      <c r="Q421" s="10" t="n">
        <f aca="false">IFERROR(VALUE(SUBSTITUTE(SUBSTITUTE(Raw_Donors!P421,"$",""),",","")),0)</f>
        <v>0</v>
      </c>
      <c r="R421" s="10" t="n">
        <f aca="false">Raw_Donors!Q421</f>
        <v>25</v>
      </c>
      <c r="S421" s="9" t="str">
        <f aca="false">Raw_Donors!R421</f>
        <v>Y</v>
      </c>
      <c r="T421" s="9" t="str">
        <f aca="false">IF(Raw_Donors!S421="","",Raw_Donors!S421)</f>
        <v/>
      </c>
      <c r="U421" s="9" t="str">
        <f aca="false">IF(AND((O421+P421)&gt;0,Q421=0),"Lapsed - Follow Up","")</f>
        <v/>
      </c>
      <c r="V421" s="9" t="n">
        <f aca="false">RANK(R421,$R$2:$R$759)+COUNTIF($R$2:R421,R421)-1</f>
        <v>449</v>
      </c>
      <c r="W421" s="9" t="str">
        <f aca="false">IF(U421="Lapsed - Follow Up",COUNTIF($U$2:U421,"Lapsed - Follow Up"),"")</f>
        <v/>
      </c>
    </row>
    <row r="422" customFormat="false" ht="15" hidden="false" customHeight="true" outlineLevel="0" collapsed="false">
      <c r="A422" s="9" t="str">
        <f aca="false">Raw_Donors!A422</f>
        <v>D1420</v>
      </c>
      <c r="B422" s="9" t="str">
        <f aca="false">IF(ISNUMBER(SEARCH("-DUP",A422)),"Duplicate ID","")</f>
        <v/>
      </c>
      <c r="C422" s="9" t="n">
        <f aca="false">Raw_Donors!B422</f>
        <v>55177</v>
      </c>
      <c r="D422" s="9" t="n">
        <f aca="false">Raw_Donors!C422</f>
        <v>36</v>
      </c>
      <c r="E422" s="9" t="str">
        <f aca="false">IFERROR(IF(Raw_Donors!D422="","Unknown",Raw_Donors!D422),"Unknown")</f>
        <v>Unknown</v>
      </c>
      <c r="F422" s="9" t="str">
        <f aca="false">IFERROR(IF(Raw_Donors!E422="","Unknown",Raw_Donors!E422),"Unknown")</f>
        <v>Male</v>
      </c>
      <c r="G422" s="9" t="str">
        <f aca="false">PROPER(TRIM(Raw_Donors!F422))</f>
        <v>Individual Donor</v>
      </c>
      <c r="H422" s="9" t="str">
        <f aca="false">IFERROR(IF(Raw_Donors!G422="","N",Raw_Donors!G422),"N")</f>
        <v>N</v>
      </c>
      <c r="I422" s="9" t="str">
        <f aca="false">IF(Raw_Donors!H422="","Not Rated",Raw_Donors!H422)</f>
        <v>Not Rated</v>
      </c>
      <c r="J422" s="9" t="str">
        <f aca="false">IF(TRIM(Raw_Donors!I422)="","Unknown",TRIM(Raw_Donors!I422))</f>
        <v>HOME</v>
      </c>
      <c r="K422" s="9" t="str">
        <f aca="false">Raw_Donors!J422</f>
        <v>N</v>
      </c>
      <c r="L422" s="9" t="n">
        <f aca="false">Raw_Donors!K422</f>
        <v>0</v>
      </c>
      <c r="M422" s="10" t="n">
        <f aca="false">IFERROR(VALUE(SUBSTITUTE(SUBSTITUTE(Raw_Donors!L422,"$",""),",","")),0)</f>
        <v>0</v>
      </c>
      <c r="N422" s="10" t="n">
        <f aca="false">IFERROR(VALUE(SUBSTITUTE(SUBSTITUTE(Raw_Donors!M422,"$",""),",","")),0)</f>
        <v>100</v>
      </c>
      <c r="O422" s="10" t="n">
        <f aca="false">IFERROR(VALUE(SUBSTITUTE(SUBSTITUTE(Raw_Donors!N422,"$",""),",","")),0)</f>
        <v>0</v>
      </c>
      <c r="P422" s="10" t="n">
        <f aca="false">IFERROR(VALUE(SUBSTITUTE(SUBSTITUTE(Raw_Donors!O422,"$",""),",","")),0)</f>
        <v>0</v>
      </c>
      <c r="Q422" s="10" t="n">
        <f aca="false">IFERROR(VALUE(SUBSTITUTE(SUBSTITUTE(Raw_Donors!P422,"$",""),",","")),0)</f>
        <v>0</v>
      </c>
      <c r="R422" s="10" t="n">
        <f aca="false">Raw_Donors!Q422</f>
        <v>175</v>
      </c>
      <c r="S422" s="9" t="str">
        <f aca="false">Raw_Donors!R422</f>
        <v>Y</v>
      </c>
      <c r="T422" s="9" t="str">
        <f aca="false">IF(Raw_Donors!S422="","",Raw_Donors!S422)</f>
        <v>1981-06-17</v>
      </c>
      <c r="U422" s="9" t="str">
        <f aca="false">IF(AND((O422+P422)&gt;0,Q422=0),"Lapsed - Follow Up","")</f>
        <v/>
      </c>
      <c r="V422" s="9" t="n">
        <f aca="false">RANK(R422,$R$2:$R$759)+COUNTIF($R$2:R422,R422)-1</f>
        <v>219</v>
      </c>
      <c r="W422" s="9" t="str">
        <f aca="false">IF(U422="Lapsed - Follow Up",COUNTIF($U$2:U422,"Lapsed - Follow Up"),"")</f>
        <v/>
      </c>
    </row>
    <row r="423" customFormat="false" ht="15" hidden="false" customHeight="true" outlineLevel="0" collapsed="false">
      <c r="A423" s="9" t="str">
        <f aca="false">Raw_Donors!A423</f>
        <v>D1421</v>
      </c>
      <c r="B423" s="9" t="str">
        <f aca="false">IF(ISNUMBER(SEARCH("-DUP",A423)),"Duplicate ID","")</f>
        <v/>
      </c>
      <c r="C423" s="9" t="n">
        <f aca="false">Raw_Donors!B423</f>
        <v>30457</v>
      </c>
      <c r="D423" s="9" t="n">
        <f aca="false">Raw_Donors!C423</f>
        <v>53</v>
      </c>
      <c r="E423" s="9" t="str">
        <f aca="false">IFERROR(IF(Raw_Donors!D423="","Unknown",Raw_Donors!D423),"Unknown")</f>
        <v>Unknown</v>
      </c>
      <c r="F423" s="9" t="str">
        <f aca="false">IFERROR(IF(Raw_Donors!E423="","Unknown",Raw_Donors!E423),"Unknown")</f>
        <v>Male</v>
      </c>
      <c r="G423" s="9" t="str">
        <f aca="false">PROPER(TRIM(Raw_Donors!F423))</f>
        <v>Individual Donor</v>
      </c>
      <c r="H423" s="9" t="str">
        <f aca="false">IFERROR(IF(Raw_Donors!G423="","N",Raw_Donors!G423),"N")</f>
        <v>N</v>
      </c>
      <c r="I423" s="9" t="str">
        <f aca="false">IF(Raw_Donors!H423="","Not Rated",Raw_Donors!H423)</f>
        <v>Not Rated</v>
      </c>
      <c r="J423" s="9" t="str">
        <f aca="false">IF(TRIM(Raw_Donors!I423)="","Unknown",TRIM(Raw_Donors!I423))</f>
        <v>HOME</v>
      </c>
      <c r="K423" s="9" t="str">
        <f aca="false">Raw_Donors!J423</f>
        <v>N</v>
      </c>
      <c r="L423" s="9" t="n">
        <f aca="false">Raw_Donors!K423</f>
        <v>0</v>
      </c>
      <c r="M423" s="10" t="n">
        <f aca="false">IFERROR(VALUE(SUBSTITUTE(SUBSTITUTE(Raw_Donors!L423,"$",""),",","")),0)</f>
        <v>0</v>
      </c>
      <c r="N423" s="10" t="n">
        <f aca="false">IFERROR(VALUE(SUBSTITUTE(SUBSTITUTE(Raw_Donors!M423,"$",""),",","")),0)</f>
        <v>0</v>
      </c>
      <c r="O423" s="10" t="n">
        <f aca="false">IFERROR(VALUE(SUBSTITUTE(SUBSTITUTE(Raw_Donors!N423,"$",""),",","")),0)</f>
        <v>0</v>
      </c>
      <c r="P423" s="10" t="n">
        <f aca="false">IFERROR(VALUE(SUBSTITUTE(SUBSTITUTE(Raw_Donors!O423,"$",""),",","")),0)</f>
        <v>1</v>
      </c>
      <c r="Q423" s="10" t="n">
        <f aca="false">IFERROR(VALUE(SUBSTITUTE(SUBSTITUTE(Raw_Donors!P423,"$",""),",","")),0)</f>
        <v>0</v>
      </c>
      <c r="R423" s="10" t="n">
        <f aca="false">Raw_Donors!Q423</f>
        <v>1</v>
      </c>
      <c r="S423" s="9" t="str">
        <f aca="false">Raw_Donors!R423</f>
        <v>Y</v>
      </c>
      <c r="T423" s="9" t="str">
        <f aca="false">IF(Raw_Donors!S423="","",Raw_Donors!S423)</f>
        <v>1964-06-05</v>
      </c>
      <c r="U423" s="9" t="str">
        <f aca="false">IF(AND((O423+P423)&gt;0,Q423=0),"Lapsed - Follow Up","")</f>
        <v>Lapsed - Follow Up</v>
      </c>
      <c r="V423" s="9" t="n">
        <f aca="false">RANK(R423,$R$2:$R$759)+COUNTIF($R$2:R423,R423)-1</f>
        <v>543</v>
      </c>
      <c r="W423" s="9" t="n">
        <f aca="false">IF(U423="Lapsed - Follow Up",COUNTIF($U$2:U423,"Lapsed - Follow Up"),"")</f>
        <v>62</v>
      </c>
    </row>
    <row r="424" customFormat="false" ht="15" hidden="false" customHeight="true" outlineLevel="0" collapsed="false">
      <c r="A424" s="9" t="str">
        <f aca="false">Raw_Donors!A424</f>
        <v>D1422</v>
      </c>
      <c r="B424" s="9" t="str">
        <f aca="false">IF(ISNUMBER(SEARCH("-DUP",A424)),"Duplicate ID","")</f>
        <v/>
      </c>
      <c r="C424" s="9" t="n">
        <f aca="false">Raw_Donors!B424</f>
        <v>2108</v>
      </c>
      <c r="D424" s="9" t="n">
        <f aca="false">Raw_Donors!C424</f>
        <v>70</v>
      </c>
      <c r="E424" s="9" t="str">
        <f aca="false">IFERROR(IF(Raw_Donors!D424="","Unknown",Raw_Donors!D424),"Unknown")</f>
        <v>Unknown</v>
      </c>
      <c r="F424" s="9" t="str">
        <f aca="false">IFERROR(IF(Raw_Donors!E424="","Unknown",Raw_Donors!E424),"Unknown")</f>
        <v>Female</v>
      </c>
      <c r="G424" s="9" t="str">
        <f aca="false">PROPER(TRIM(Raw_Donors!F424))</f>
        <v>Individual Donor</v>
      </c>
      <c r="H424" s="9" t="str">
        <f aca="false">IFERROR(IF(Raw_Donors!G424="","N",Raw_Donors!G424),"N")</f>
        <v>N</v>
      </c>
      <c r="I424" s="9" t="str">
        <f aca="false">IF(Raw_Donors!H424="","Not Rated",Raw_Donors!H424)</f>
        <v>Not Rated</v>
      </c>
      <c r="J424" s="9" t="str">
        <f aca="false">IF(TRIM(Raw_Donors!I424)="","Unknown",TRIM(Raw_Donors!I424))</f>
        <v>HOME</v>
      </c>
      <c r="K424" s="9" t="str">
        <f aca="false">Raw_Donors!J424</f>
        <v>Y</v>
      </c>
      <c r="L424" s="9" t="n">
        <f aca="false">Raw_Donors!K424</f>
        <v>0</v>
      </c>
      <c r="M424" s="10" t="n">
        <f aca="false">IFERROR(VALUE(SUBSTITUTE(SUBSTITUTE(Raw_Donors!L424,"$",""),",","")),0)</f>
        <v>0</v>
      </c>
      <c r="N424" s="10" t="n">
        <f aca="false">IFERROR(VALUE(SUBSTITUTE(SUBSTITUTE(Raw_Donors!M424,"$",""),",","")),0)</f>
        <v>0</v>
      </c>
      <c r="O424" s="10" t="n">
        <f aca="false">IFERROR(VALUE(SUBSTITUTE(SUBSTITUTE(Raw_Donors!N424,"$",""),",","")),0)</f>
        <v>0</v>
      </c>
      <c r="P424" s="10" t="n">
        <f aca="false">IFERROR(VALUE(SUBSTITUTE(SUBSTITUTE(Raw_Donors!O424,"$",""),",","")),0)</f>
        <v>0</v>
      </c>
      <c r="Q424" s="10" t="n">
        <f aca="false">IFERROR(VALUE(SUBSTITUTE(SUBSTITUTE(Raw_Donors!P424,"$",""),",","")),0)</f>
        <v>0</v>
      </c>
      <c r="R424" s="10" t="n">
        <f aca="false">Raw_Donors!Q424</f>
        <v>0</v>
      </c>
      <c r="S424" s="9" t="str">
        <f aca="false">Raw_Donors!R424</f>
        <v>N</v>
      </c>
      <c r="T424" s="9" t="str">
        <f aca="false">IF(Raw_Donors!S424="","",Raw_Donors!S424)</f>
        <v>1947-05-26</v>
      </c>
      <c r="U424" s="9" t="str">
        <f aca="false">IF(AND((O424+P424)&gt;0,Q424=0),"Lapsed - Follow Up","")</f>
        <v/>
      </c>
      <c r="V424" s="9" t="n">
        <f aca="false">RANK(R424,$R$2:$R$759)+COUNTIF($R$2:R424,R424)-1</f>
        <v>665</v>
      </c>
      <c r="W424" s="9" t="str">
        <f aca="false">IF(U424="Lapsed - Follow Up",COUNTIF($U$2:U424,"Lapsed - Follow Up"),"")</f>
        <v/>
      </c>
    </row>
    <row r="425" customFormat="false" ht="15" hidden="false" customHeight="true" outlineLevel="0" collapsed="false">
      <c r="A425" s="9" t="str">
        <f aca="false">Raw_Donors!A425</f>
        <v>D1423</v>
      </c>
      <c r="B425" s="9" t="str">
        <f aca="false">IF(ISNUMBER(SEARCH("-DUP",A425)),"Duplicate ID","")</f>
        <v/>
      </c>
      <c r="C425" s="9" t="n">
        <f aca="false">Raw_Donors!B425</f>
        <v>56175</v>
      </c>
      <c r="D425" s="9" t="n">
        <f aca="false">Raw_Donors!C425</f>
        <v>82</v>
      </c>
      <c r="E425" s="9" t="str">
        <f aca="false">IFERROR(IF(Raw_Donors!D425="","Unknown",Raw_Donors!D425),"Unknown")</f>
        <v>Unknown</v>
      </c>
      <c r="F425" s="9" t="str">
        <f aca="false">IFERROR(IF(Raw_Donors!E425="","Unknown",Raw_Donors!E425),"Unknown")</f>
        <v>Male</v>
      </c>
      <c r="G425" s="9" t="str">
        <f aca="false">PROPER(TRIM(Raw_Donors!F425))</f>
        <v>Individual Donor</v>
      </c>
      <c r="H425" s="9" t="str">
        <f aca="false">IFERROR(IF(Raw_Donors!G425="","N",Raw_Donors!G425),"N")</f>
        <v>N</v>
      </c>
      <c r="I425" s="9" t="str">
        <f aca="false">IF(Raw_Donors!H425="","Not Rated",Raw_Donors!H425)</f>
        <v>Not Rated</v>
      </c>
      <c r="J425" s="9" t="str">
        <f aca="false">IF(TRIM(Raw_Donors!I425)="","Unknown",TRIM(Raw_Donors!I425))</f>
        <v>HOME</v>
      </c>
      <c r="K425" s="9" t="str">
        <f aca="false">Raw_Donors!J425</f>
        <v>N</v>
      </c>
      <c r="L425" s="9" t="n">
        <f aca="false">Raw_Donors!K425</f>
        <v>0</v>
      </c>
      <c r="M425" s="10" t="n">
        <f aca="false">IFERROR(VALUE(SUBSTITUTE(SUBSTITUTE(Raw_Donors!L425,"$",""),",","")),0)</f>
        <v>0</v>
      </c>
      <c r="N425" s="10" t="n">
        <f aca="false">IFERROR(VALUE(SUBSTITUTE(SUBSTITUTE(Raw_Donors!M425,"$",""),",","")),0)</f>
        <v>0</v>
      </c>
      <c r="O425" s="10" t="n">
        <f aca="false">IFERROR(VALUE(SUBSTITUTE(SUBSTITUTE(Raw_Donors!N425,"$",""),",","")),0)</f>
        <v>0</v>
      </c>
      <c r="P425" s="10" t="n">
        <f aca="false">IFERROR(VALUE(SUBSTITUTE(SUBSTITUTE(Raw_Donors!O425,"$",""),",","")),0)</f>
        <v>0</v>
      </c>
      <c r="Q425" s="10" t="n">
        <f aca="false">IFERROR(VALUE(SUBSTITUTE(SUBSTITUTE(Raw_Donors!P425,"$",""),",","")),0)</f>
        <v>0</v>
      </c>
      <c r="R425" s="10" t="n">
        <f aca="false">Raw_Donors!Q425</f>
        <v>0</v>
      </c>
      <c r="S425" s="9" t="str">
        <f aca="false">Raw_Donors!R425</f>
        <v>N</v>
      </c>
      <c r="T425" s="9" t="str">
        <f aca="false">IF(Raw_Donors!S425="","",Raw_Donors!S425)</f>
        <v>1935-03-19</v>
      </c>
      <c r="U425" s="9" t="str">
        <f aca="false">IF(AND((O425+P425)&gt;0,Q425=0),"Lapsed - Follow Up","")</f>
        <v/>
      </c>
      <c r="V425" s="9" t="n">
        <f aca="false">RANK(R425,$R$2:$R$759)+COUNTIF($R$2:R425,R425)-1</f>
        <v>666</v>
      </c>
      <c r="W425" s="9" t="str">
        <f aca="false">IF(U425="Lapsed - Follow Up",COUNTIF($U$2:U425,"Lapsed - Follow Up"),"")</f>
        <v/>
      </c>
    </row>
    <row r="426" customFormat="false" ht="15" hidden="false" customHeight="true" outlineLevel="0" collapsed="false">
      <c r="A426" s="9" t="str">
        <f aca="false">Raw_Donors!A426</f>
        <v>D1424</v>
      </c>
      <c r="B426" s="9" t="str">
        <f aca="false">IF(ISNUMBER(SEARCH("-DUP",A426)),"Duplicate ID","")</f>
        <v/>
      </c>
      <c r="C426" s="9" t="n">
        <f aca="false">Raw_Donors!B426</f>
        <v>9237</v>
      </c>
      <c r="D426" s="9" t="n">
        <f aca="false">Raw_Donors!C426</f>
        <v>0</v>
      </c>
      <c r="E426" s="9" t="str">
        <f aca="false">IFERROR(IF(Raw_Donors!D426="","Unknown",Raw_Donors!D426),"Unknown")</f>
        <v>Unknown</v>
      </c>
      <c r="F426" s="9" t="str">
        <f aca="false">IFERROR(IF(Raw_Donors!E426="","Unknown",Raw_Donors!E426),"Unknown")</f>
        <v>Unknown</v>
      </c>
      <c r="G426" s="9" t="str">
        <f aca="false">PROPER(TRIM(Raw_Donors!F426))</f>
        <v>Individual Donor</v>
      </c>
      <c r="H426" s="9" t="str">
        <f aca="false">IFERROR(IF(Raw_Donors!G426="","N",Raw_Donors!G426),"N")</f>
        <v>N</v>
      </c>
      <c r="I426" s="9" t="str">
        <f aca="false">IF(Raw_Donors!H426="","Not Rated",Raw_Donors!H426)</f>
        <v>Not Rated</v>
      </c>
      <c r="J426" s="9" t="str">
        <f aca="false">IF(TRIM(Raw_Donors!I426)="","Unknown",TRIM(Raw_Donors!I426))</f>
        <v>HOME</v>
      </c>
      <c r="K426" s="9" t="str">
        <f aca="false">Raw_Donors!J426</f>
        <v>Y</v>
      </c>
      <c r="L426" s="9" t="n">
        <f aca="false">Raw_Donors!K426</f>
        <v>1</v>
      </c>
      <c r="M426" s="10" t="n">
        <f aca="false">IFERROR(VALUE(SUBSTITUTE(SUBSTITUTE(Raw_Donors!L426,"$",""),",","")),0)</f>
        <v>0</v>
      </c>
      <c r="N426" s="10" t="n">
        <f aca="false">IFERROR(VALUE(SUBSTITUTE(SUBSTITUTE(Raw_Donors!M426,"$",""),",","")),0)</f>
        <v>0</v>
      </c>
      <c r="O426" s="10" t="n">
        <f aca="false">IFERROR(VALUE(SUBSTITUTE(SUBSTITUTE(Raw_Donors!N426,"$",""),",","")),0)</f>
        <v>0</v>
      </c>
      <c r="P426" s="10" t="n">
        <f aca="false">IFERROR(VALUE(SUBSTITUTE(SUBSTITUTE(Raw_Donors!O426,"$",""),",","")),0)</f>
        <v>0</v>
      </c>
      <c r="Q426" s="10" t="n">
        <f aca="false">IFERROR(VALUE(SUBSTITUTE(SUBSTITUTE(Raw_Donors!P426,"$",""),",","")),0)</f>
        <v>0</v>
      </c>
      <c r="R426" s="10" t="n">
        <f aca="false">Raw_Donors!Q426</f>
        <v>120</v>
      </c>
      <c r="S426" s="9" t="str">
        <f aca="false">Raw_Donors!R426</f>
        <v>Y</v>
      </c>
      <c r="T426" s="9" t="str">
        <f aca="false">IF(Raw_Donors!S426="","",Raw_Donors!S426)</f>
        <v/>
      </c>
      <c r="U426" s="9" t="str">
        <f aca="false">IF(AND((O426+P426)&gt;0,Q426=0),"Lapsed - Follow Up","")</f>
        <v/>
      </c>
      <c r="V426" s="9" t="n">
        <f aca="false">RANK(R426,$R$2:$R$759)+COUNTIF($R$2:R426,R426)-1</f>
        <v>255</v>
      </c>
      <c r="W426" s="9" t="str">
        <f aca="false">IF(U426="Lapsed - Follow Up",COUNTIF($U$2:U426,"Lapsed - Follow Up"),"")</f>
        <v/>
      </c>
    </row>
    <row r="427" customFormat="false" ht="15" hidden="false" customHeight="true" outlineLevel="0" collapsed="false">
      <c r="A427" s="9" t="str">
        <f aca="false">Raw_Donors!A427</f>
        <v>D1425</v>
      </c>
      <c r="B427" s="9" t="str">
        <f aca="false">IF(ISNUMBER(SEARCH("-DUP",A427)),"Duplicate ID","")</f>
        <v/>
      </c>
      <c r="C427" s="9" t="n">
        <f aca="false">Raw_Donors!B427</f>
        <v>98632</v>
      </c>
      <c r="D427" s="9" t="n">
        <f aca="false">Raw_Donors!C427</f>
        <v>48</v>
      </c>
      <c r="E427" s="9" t="str">
        <f aca="false">IFERROR(IF(Raw_Donors!D427="","Unknown",Raw_Donors!D427),"Unknown")</f>
        <v>Unknown</v>
      </c>
      <c r="F427" s="9" t="str">
        <f aca="false">IFERROR(IF(Raw_Donors!E427="","Unknown",Raw_Donors!E427),"Unknown")</f>
        <v>Female</v>
      </c>
      <c r="G427" s="9" t="str">
        <f aca="false">PROPER(TRIM(Raw_Donors!F427))</f>
        <v>Community Partner</v>
      </c>
      <c r="H427" s="9" t="str">
        <f aca="false">IFERROR(IF(Raw_Donors!G427="","N",Raw_Donors!G427),"N")</f>
        <v>Y</v>
      </c>
      <c r="I427" s="9" t="str">
        <f aca="false">IF(Raw_Donors!H427="","Not Rated",Raw_Donors!H427)</f>
        <v>Not Rated</v>
      </c>
      <c r="J427" s="9" t="str">
        <f aca="false">IF(TRIM(Raw_Donors!I427)="","Unknown",TRIM(Raw_Donors!I427))</f>
        <v>HOME</v>
      </c>
      <c r="K427" s="9" t="str">
        <f aca="false">Raw_Donors!J427</f>
        <v>Y</v>
      </c>
      <c r="L427" s="9" t="n">
        <f aca="false">Raw_Donors!K427</f>
        <v>0</v>
      </c>
      <c r="M427" s="10" t="n">
        <f aca="false">IFERROR(VALUE(SUBSTITUTE(SUBSTITUTE(Raw_Donors!L427,"$",""),",","")),0)</f>
        <v>0</v>
      </c>
      <c r="N427" s="10" t="n">
        <f aca="false">IFERROR(VALUE(SUBSTITUTE(SUBSTITUTE(Raw_Donors!M427,"$",""),",","")),0)</f>
        <v>0</v>
      </c>
      <c r="O427" s="10" t="n">
        <f aca="false">IFERROR(VALUE(SUBSTITUTE(SUBSTITUTE(Raw_Donors!N427,"$",""),",","")),0)</f>
        <v>0</v>
      </c>
      <c r="P427" s="10" t="n">
        <f aca="false">IFERROR(VALUE(SUBSTITUTE(SUBSTITUTE(Raw_Donors!O427,"$",""),",","")),0)</f>
        <v>0</v>
      </c>
      <c r="Q427" s="10" t="n">
        <f aca="false">IFERROR(VALUE(SUBSTITUTE(SUBSTITUTE(Raw_Donors!P427,"$",""),",","")),0)</f>
        <v>0</v>
      </c>
      <c r="R427" s="10" t="n">
        <f aca="false">Raw_Donors!Q427</f>
        <v>15</v>
      </c>
      <c r="S427" s="9" t="str">
        <f aca="false">Raw_Donors!R427</f>
        <v>Y</v>
      </c>
      <c r="T427" s="9" t="str">
        <f aca="false">IF(Raw_Donors!S427="","",Raw_Donors!S427)</f>
        <v>1969-09-16</v>
      </c>
      <c r="U427" s="9" t="str">
        <f aca="false">IF(AND((O427+P427)&gt;0,Q427=0),"Lapsed - Follow Up","")</f>
        <v/>
      </c>
      <c r="V427" s="9" t="n">
        <f aca="false">RANK(R427,$R$2:$R$759)+COUNTIF($R$2:R427,R427)-1</f>
        <v>486</v>
      </c>
      <c r="W427" s="9" t="str">
        <f aca="false">IF(U427="Lapsed - Follow Up",COUNTIF($U$2:U427,"Lapsed - Follow Up"),"")</f>
        <v/>
      </c>
    </row>
    <row r="428" customFormat="false" ht="15" hidden="false" customHeight="true" outlineLevel="0" collapsed="false">
      <c r="A428" s="9" t="str">
        <f aca="false">Raw_Donors!A428</f>
        <v>D1426</v>
      </c>
      <c r="B428" s="9" t="str">
        <f aca="false">IF(ISNUMBER(SEARCH("-DUP",A428)),"Duplicate ID","")</f>
        <v/>
      </c>
      <c r="C428" s="9" t="n">
        <f aca="false">Raw_Donors!B428</f>
        <v>61071</v>
      </c>
      <c r="D428" s="9" t="n">
        <f aca="false">Raw_Donors!C428</f>
        <v>0</v>
      </c>
      <c r="E428" s="9" t="str">
        <f aca="false">IFERROR(IF(Raw_Donors!D428="","Unknown",Raw_Donors!D428),"Unknown")</f>
        <v>Unknown</v>
      </c>
      <c r="F428" s="9" t="str">
        <f aca="false">IFERROR(IF(Raw_Donors!E428="","Unknown",Raw_Donors!E428),"Unknown")</f>
        <v>Female</v>
      </c>
      <c r="G428" s="9" t="str">
        <f aca="false">PROPER(TRIM(Raw_Donors!F428))</f>
        <v>Individual Donor</v>
      </c>
      <c r="H428" s="9" t="str">
        <f aca="false">IFERROR(IF(Raw_Donors!G428="","N",Raw_Donors!G428),"N")</f>
        <v>N</v>
      </c>
      <c r="I428" s="9" t="str">
        <f aca="false">IF(Raw_Donors!H428="","Not Rated",Raw_Donors!H428)</f>
        <v>Not Rated</v>
      </c>
      <c r="J428" s="9" t="str">
        <f aca="false">IF(TRIM(Raw_Donors!I428)="","Unknown",TRIM(Raw_Donors!I428))</f>
        <v>HOME</v>
      </c>
      <c r="K428" s="9" t="str">
        <f aca="false">Raw_Donors!J428</f>
        <v>Y</v>
      </c>
      <c r="L428" s="9" t="n">
        <f aca="false">Raw_Donors!K428</f>
        <v>4</v>
      </c>
      <c r="M428" s="10" t="n">
        <f aca="false">IFERROR(VALUE(SUBSTITUTE(SUBSTITUTE(Raw_Donors!L428,"$",""),",","")),0)</f>
        <v>0</v>
      </c>
      <c r="N428" s="10" t="n">
        <f aca="false">IFERROR(VALUE(SUBSTITUTE(SUBSTITUTE(Raw_Donors!M428,"$",""),",","")),0)</f>
        <v>0</v>
      </c>
      <c r="O428" s="10" t="n">
        <f aca="false">IFERROR(VALUE(SUBSTITUTE(SUBSTITUTE(Raw_Donors!N428,"$",""),",","")),0)</f>
        <v>40</v>
      </c>
      <c r="P428" s="10" t="n">
        <f aca="false">IFERROR(VALUE(SUBSTITUTE(SUBSTITUTE(Raw_Donors!O428,"$",""),",","")),0)</f>
        <v>0</v>
      </c>
      <c r="Q428" s="10" t="n">
        <f aca="false">IFERROR(VALUE(SUBSTITUTE(SUBSTITUTE(Raw_Donors!P428,"$",""),",","")),0)</f>
        <v>0</v>
      </c>
      <c r="R428" s="10" t="n">
        <f aca="false">Raw_Donors!Q428</f>
        <v>40</v>
      </c>
      <c r="S428" s="9" t="str">
        <f aca="false">Raw_Donors!R428</f>
        <v>Y</v>
      </c>
      <c r="T428" s="9" t="str">
        <f aca="false">IF(Raw_Donors!S428="","",Raw_Donors!S428)</f>
        <v/>
      </c>
      <c r="U428" s="9" t="str">
        <f aca="false">IF(AND((O428+P428)&gt;0,Q428=0),"Lapsed - Follow Up","")</f>
        <v>Lapsed - Follow Up</v>
      </c>
      <c r="V428" s="9" t="n">
        <f aca="false">RANK(R428,$R$2:$R$759)+COUNTIF($R$2:R428,R428)-1</f>
        <v>400</v>
      </c>
      <c r="W428" s="9" t="n">
        <f aca="false">IF(U428="Lapsed - Follow Up",COUNTIF($U$2:U428,"Lapsed - Follow Up"),"")</f>
        <v>63</v>
      </c>
    </row>
    <row r="429" customFormat="false" ht="15" hidden="false" customHeight="true" outlineLevel="0" collapsed="false">
      <c r="A429" s="9" t="str">
        <f aca="false">Raw_Donors!A429</f>
        <v>D1427</v>
      </c>
      <c r="B429" s="9" t="str">
        <f aca="false">IF(ISNUMBER(SEARCH("-DUP",A429)),"Duplicate ID","")</f>
        <v/>
      </c>
      <c r="C429" s="9" t="n">
        <f aca="false">Raw_Donors!B429</f>
        <v>79018</v>
      </c>
      <c r="D429" s="9" t="n">
        <f aca="false">Raw_Donors!C429</f>
        <v>0</v>
      </c>
      <c r="E429" s="9" t="str">
        <f aca="false">IFERROR(IF(Raw_Donors!D429="","Unknown",Raw_Donors!D429),"Unknown")</f>
        <v>Unknown</v>
      </c>
      <c r="F429" s="9" t="str">
        <f aca="false">IFERROR(IF(Raw_Donors!E429="","Unknown",Raw_Donors!E429),"Unknown")</f>
        <v>Female</v>
      </c>
      <c r="G429" s="9" t="str">
        <f aca="false">PROPER(TRIM(Raw_Donors!F429))</f>
        <v>Community Partner</v>
      </c>
      <c r="H429" s="9" t="str">
        <f aca="false">IFERROR(IF(Raw_Donors!G429="","N",Raw_Donors!G429),"N")</f>
        <v>N</v>
      </c>
      <c r="I429" s="9" t="str">
        <f aca="false">IF(Raw_Donors!H429="","Not Rated",Raw_Donors!H429)</f>
        <v>Not Rated</v>
      </c>
      <c r="J429" s="9" t="str">
        <f aca="false">IF(TRIM(Raw_Donors!I429)="","Unknown",TRIM(Raw_Donors!I429))</f>
        <v>Unknown</v>
      </c>
      <c r="K429" s="9" t="str">
        <f aca="false">Raw_Donors!J429</f>
        <v>N</v>
      </c>
      <c r="L429" s="9" t="n">
        <f aca="false">Raw_Donors!K429</f>
        <v>1</v>
      </c>
      <c r="M429" s="10" t="n">
        <f aca="false">IFERROR(VALUE(SUBSTITUTE(SUBSTITUTE(Raw_Donors!L429,"$",""),",","")),0)</f>
        <v>0</v>
      </c>
      <c r="N429" s="10" t="n">
        <f aca="false">IFERROR(VALUE(SUBSTITUTE(SUBSTITUTE(Raw_Donors!M429,"$",""),",","")),0)</f>
        <v>5</v>
      </c>
      <c r="O429" s="10" t="n">
        <f aca="false">IFERROR(VALUE(SUBSTITUTE(SUBSTITUTE(Raw_Donors!N429,"$",""),",","")),0)</f>
        <v>0</v>
      </c>
      <c r="P429" s="10" t="n">
        <f aca="false">IFERROR(VALUE(SUBSTITUTE(SUBSTITUTE(Raw_Donors!O429,"$",""),",","")),0)</f>
        <v>0</v>
      </c>
      <c r="Q429" s="10" t="n">
        <f aca="false">IFERROR(VALUE(SUBSTITUTE(SUBSTITUTE(Raw_Donors!P429,"$",""),",","")),0)</f>
        <v>0</v>
      </c>
      <c r="R429" s="10" t="n">
        <f aca="false">Raw_Donors!Q429</f>
        <v>5</v>
      </c>
      <c r="S429" s="9" t="str">
        <f aca="false">Raw_Donors!R429</f>
        <v>Y</v>
      </c>
      <c r="T429" s="9" t="str">
        <f aca="false">IF(Raw_Donors!S429="","",Raw_Donors!S429)</f>
        <v/>
      </c>
      <c r="U429" s="9" t="str">
        <f aca="false">IF(AND((O429+P429)&gt;0,Q429=0),"Lapsed - Follow Up","")</f>
        <v/>
      </c>
      <c r="V429" s="9" t="n">
        <f aca="false">RANK(R429,$R$2:$R$759)+COUNTIF($R$2:R429,R429)-1</f>
        <v>519</v>
      </c>
      <c r="W429" s="9" t="str">
        <f aca="false">IF(U429="Lapsed - Follow Up",COUNTIF($U$2:U429,"Lapsed - Follow Up"),"")</f>
        <v/>
      </c>
    </row>
    <row r="430" customFormat="false" ht="15" hidden="false" customHeight="true" outlineLevel="0" collapsed="false">
      <c r="A430" s="9" t="str">
        <f aca="false">Raw_Donors!A430</f>
        <v>D1428</v>
      </c>
      <c r="B430" s="9" t="str">
        <f aca="false">IF(ISNUMBER(SEARCH("-DUP",A430)),"Duplicate ID","")</f>
        <v/>
      </c>
      <c r="C430" s="9" t="n">
        <f aca="false">Raw_Donors!B430</f>
        <v>83846</v>
      </c>
      <c r="D430" s="9" t="n">
        <f aca="false">Raw_Donors!C430</f>
        <v>0</v>
      </c>
      <c r="E430" s="9" t="str">
        <f aca="false">IFERROR(IF(Raw_Donors!D430="","Unknown",Raw_Donors!D430),"Unknown")</f>
        <v>Married</v>
      </c>
      <c r="F430" s="9" t="str">
        <f aca="false">IFERROR(IF(Raw_Donors!E430="","Unknown",Raw_Donors!E430),"Unknown")</f>
        <v>Male</v>
      </c>
      <c r="G430" s="9" t="str">
        <f aca="false">PROPER(TRIM(Raw_Donors!F430))</f>
        <v>Family Donor</v>
      </c>
      <c r="H430" s="9" t="str">
        <f aca="false">IFERROR(IF(Raw_Donors!G430="","N",Raw_Donors!G430),"N")</f>
        <v>N</v>
      </c>
      <c r="I430" s="9" t="str">
        <f aca="false">IF(Raw_Donors!H430="","Not Rated",Raw_Donors!H430)</f>
        <v>Not Rated</v>
      </c>
      <c r="J430" s="9" t="str">
        <f aca="false">IF(TRIM(Raw_Donors!I430)="","Unknown",TRIM(Raw_Donors!I430))</f>
        <v>HOME</v>
      </c>
      <c r="K430" s="9" t="str">
        <f aca="false">Raw_Donors!J430</f>
        <v>Y</v>
      </c>
      <c r="L430" s="9" t="n">
        <f aca="false">Raw_Donors!K430</f>
        <v>0</v>
      </c>
      <c r="M430" s="10" t="n">
        <f aca="false">IFERROR(VALUE(SUBSTITUTE(SUBSTITUTE(Raw_Donors!L430,"$",""),",","")),0)</f>
        <v>0</v>
      </c>
      <c r="N430" s="10" t="n">
        <f aca="false">IFERROR(VALUE(SUBSTITUTE(SUBSTITUTE(Raw_Donors!M430,"$",""),",","")),0)</f>
        <v>0</v>
      </c>
      <c r="O430" s="10" t="n">
        <f aca="false">IFERROR(VALUE(SUBSTITUTE(SUBSTITUTE(Raw_Donors!N430,"$",""),",","")),0)</f>
        <v>0</v>
      </c>
      <c r="P430" s="10" t="n">
        <f aca="false">IFERROR(VALUE(SUBSTITUTE(SUBSTITUTE(Raw_Donors!O430,"$",""),",","")),0)</f>
        <v>0</v>
      </c>
      <c r="Q430" s="10" t="n">
        <f aca="false">IFERROR(VALUE(SUBSTITUTE(SUBSTITUTE(Raw_Donors!P430,"$",""),",","")),0)</f>
        <v>0</v>
      </c>
      <c r="R430" s="10" t="n">
        <f aca="false">Raw_Donors!Q430</f>
        <v>180</v>
      </c>
      <c r="S430" s="9" t="str">
        <f aca="false">Raw_Donors!R430</f>
        <v>Y</v>
      </c>
      <c r="T430" s="9" t="str">
        <f aca="false">IF(Raw_Donors!S430="","",Raw_Donors!S430)</f>
        <v/>
      </c>
      <c r="U430" s="9" t="str">
        <f aca="false">IF(AND((O430+P430)&gt;0,Q430=0),"Lapsed - Follow Up","")</f>
        <v/>
      </c>
      <c r="V430" s="9" t="n">
        <f aca="false">RANK(R430,$R$2:$R$759)+COUNTIF($R$2:R430,R430)-1</f>
        <v>215</v>
      </c>
      <c r="W430" s="9" t="str">
        <f aca="false">IF(U430="Lapsed - Follow Up",COUNTIF($U$2:U430,"Lapsed - Follow Up"),"")</f>
        <v/>
      </c>
    </row>
    <row r="431" customFormat="false" ht="15" hidden="false" customHeight="true" outlineLevel="0" collapsed="false">
      <c r="A431" s="9" t="str">
        <f aca="false">Raw_Donors!A431</f>
        <v>D1429</v>
      </c>
      <c r="B431" s="9" t="str">
        <f aca="false">IF(ISNUMBER(SEARCH("-DUP",A431)),"Duplicate ID","")</f>
        <v/>
      </c>
      <c r="C431" s="9" t="n">
        <f aca="false">Raw_Donors!B431</f>
        <v>60149</v>
      </c>
      <c r="D431" s="9" t="n">
        <f aca="false">Raw_Donors!C431</f>
        <v>32</v>
      </c>
      <c r="E431" s="9" t="str">
        <f aca="false">IFERROR(IF(Raw_Donors!D431="","Unknown",Raw_Donors!D431),"Unknown")</f>
        <v>Unknown</v>
      </c>
      <c r="F431" s="9" t="str">
        <f aca="false">IFERROR(IF(Raw_Donors!E431="","Unknown",Raw_Donors!E431),"Unknown")</f>
        <v>Female</v>
      </c>
      <c r="G431" s="9" t="str">
        <f aca="false">PROPER(TRIM(Raw_Donors!F431))</f>
        <v>Individual Donor</v>
      </c>
      <c r="H431" s="9" t="str">
        <f aca="false">IFERROR(IF(Raw_Donors!G431="","N",Raw_Donors!G431),"N")</f>
        <v>N</v>
      </c>
      <c r="I431" s="9" t="str">
        <f aca="false">IF(Raw_Donors!H431="","Not Rated",Raw_Donors!H431)</f>
        <v>Not Rated</v>
      </c>
      <c r="J431" s="9" t="str">
        <f aca="false">IF(TRIM(Raw_Donors!I431)="","Unknown",TRIM(Raw_Donors!I431))</f>
        <v>HOME</v>
      </c>
      <c r="K431" s="9" t="str">
        <f aca="false">Raw_Donors!J431</f>
        <v>N</v>
      </c>
      <c r="L431" s="9" t="n">
        <f aca="false">Raw_Donors!K431</f>
        <v>0</v>
      </c>
      <c r="M431" s="10" t="n">
        <f aca="false">IFERROR(VALUE(SUBSTITUTE(SUBSTITUTE(Raw_Donors!L431,"$",""),",","")),0)</f>
        <v>0</v>
      </c>
      <c r="N431" s="10" t="n">
        <f aca="false">IFERROR(VALUE(SUBSTITUTE(SUBSTITUTE(Raw_Donors!M431,"$",""),",","")),0)</f>
        <v>0</v>
      </c>
      <c r="O431" s="10" t="n">
        <f aca="false">IFERROR(VALUE(SUBSTITUTE(SUBSTITUTE(Raw_Donors!N431,"$",""),",","")),0)</f>
        <v>0</v>
      </c>
      <c r="P431" s="10" t="n">
        <f aca="false">IFERROR(VALUE(SUBSTITUTE(SUBSTITUTE(Raw_Donors!O431,"$",""),",","")),0)</f>
        <v>0</v>
      </c>
      <c r="Q431" s="10" t="n">
        <f aca="false">IFERROR(VALUE(SUBSTITUTE(SUBSTITUTE(Raw_Donors!P431,"$",""),",","")),0)</f>
        <v>0</v>
      </c>
      <c r="R431" s="10" t="n">
        <f aca="false">Raw_Donors!Q431</f>
        <v>0</v>
      </c>
      <c r="S431" s="9" t="str">
        <f aca="false">Raw_Donors!R431</f>
        <v>N</v>
      </c>
      <c r="T431" s="9" t="str">
        <f aca="false">IF(Raw_Donors!S431="","",Raw_Donors!S431)</f>
        <v>1985-09-11</v>
      </c>
      <c r="U431" s="9" t="str">
        <f aca="false">IF(AND((O431+P431)&gt;0,Q431=0),"Lapsed - Follow Up","")</f>
        <v/>
      </c>
      <c r="V431" s="9" t="n">
        <f aca="false">RANK(R431,$R$2:$R$759)+COUNTIF($R$2:R431,R431)-1</f>
        <v>667</v>
      </c>
      <c r="W431" s="9" t="str">
        <f aca="false">IF(U431="Lapsed - Follow Up",COUNTIF($U$2:U431,"Lapsed - Follow Up"),"")</f>
        <v/>
      </c>
    </row>
    <row r="432" customFormat="false" ht="15" hidden="false" customHeight="true" outlineLevel="0" collapsed="false">
      <c r="A432" s="9" t="str">
        <f aca="false">Raw_Donors!A432</f>
        <v>D1430</v>
      </c>
      <c r="B432" s="9" t="str">
        <f aca="false">IF(ISNUMBER(SEARCH("-DUP",A432)),"Duplicate ID","")</f>
        <v/>
      </c>
      <c r="C432" s="9" t="n">
        <f aca="false">Raw_Donors!B432</f>
        <v>60677</v>
      </c>
      <c r="D432" s="9" t="n">
        <f aca="false">Raw_Donors!C432</f>
        <v>0</v>
      </c>
      <c r="E432" s="9" t="str">
        <f aca="false">IFERROR(IF(Raw_Donors!D432="","Unknown",Raw_Donors!D432),"Unknown")</f>
        <v>Unknown</v>
      </c>
      <c r="F432" s="9" t="str">
        <f aca="false">IFERROR(IF(Raw_Donors!E432="","Unknown",Raw_Donors!E432),"Unknown")</f>
        <v>Female</v>
      </c>
      <c r="G432" s="9" t="str">
        <f aca="false">PROPER(TRIM(Raw_Donors!F432))</f>
        <v>Community Partner</v>
      </c>
      <c r="H432" s="9" t="str">
        <f aca="false">IFERROR(IF(Raw_Donors!G432="","N",Raw_Donors!G432),"N")</f>
        <v>Y</v>
      </c>
      <c r="I432" s="9" t="str">
        <f aca="false">IF(Raw_Donors!H432="","Not Rated",Raw_Donors!H432)</f>
        <v>Not Rated</v>
      </c>
      <c r="J432" s="9" t="str">
        <f aca="false">IF(TRIM(Raw_Donors!I432)="","Unknown",TRIM(Raw_Donors!I432))</f>
        <v>Unknown</v>
      </c>
      <c r="K432" s="9" t="str">
        <f aca="false">Raw_Donors!J432</f>
        <v>N</v>
      </c>
      <c r="L432" s="9" t="n">
        <f aca="false">Raw_Donors!K432</f>
        <v>0</v>
      </c>
      <c r="M432" s="10" t="n">
        <f aca="false">IFERROR(VALUE(SUBSTITUTE(SUBSTITUTE(Raw_Donors!L432,"$",""),",","")),0)</f>
        <v>0</v>
      </c>
      <c r="N432" s="10" t="n">
        <f aca="false">IFERROR(VALUE(SUBSTITUTE(SUBSTITUTE(Raw_Donors!M432,"$",""),",","")),0)</f>
        <v>0</v>
      </c>
      <c r="O432" s="10" t="n">
        <f aca="false">IFERROR(VALUE(SUBSTITUTE(SUBSTITUTE(Raw_Donors!N432,"$",""),",","")),0)</f>
        <v>0</v>
      </c>
      <c r="P432" s="10" t="n">
        <f aca="false">IFERROR(VALUE(SUBSTITUTE(SUBSTITUTE(Raw_Donors!O432,"$",""),",","")),0)</f>
        <v>0</v>
      </c>
      <c r="Q432" s="10" t="n">
        <f aca="false">IFERROR(VALUE(SUBSTITUTE(SUBSTITUTE(Raw_Donors!P432,"$",""),",","")),0)</f>
        <v>0</v>
      </c>
      <c r="R432" s="10" t="n">
        <f aca="false">Raw_Donors!Q432</f>
        <v>150</v>
      </c>
      <c r="S432" s="9" t="str">
        <f aca="false">Raw_Donors!R432</f>
        <v>Y</v>
      </c>
      <c r="T432" s="9" t="str">
        <f aca="false">IF(Raw_Donors!S432="","",Raw_Donors!S432)</f>
        <v/>
      </c>
      <c r="U432" s="9" t="str">
        <f aca="false">IF(AND((O432+P432)&gt;0,Q432=0),"Lapsed - Follow Up","")</f>
        <v/>
      </c>
      <c r="V432" s="9" t="n">
        <f aca="false">RANK(R432,$R$2:$R$759)+COUNTIF($R$2:R432,R432)-1</f>
        <v>231</v>
      </c>
      <c r="W432" s="9" t="str">
        <f aca="false">IF(U432="Lapsed - Follow Up",COUNTIF($U$2:U432,"Lapsed - Follow Up"),"")</f>
        <v/>
      </c>
    </row>
    <row r="433" customFormat="false" ht="15" hidden="false" customHeight="true" outlineLevel="0" collapsed="false">
      <c r="A433" s="9" t="str">
        <f aca="false">Raw_Donors!A433</f>
        <v>D1431</v>
      </c>
      <c r="B433" s="9" t="str">
        <f aca="false">IF(ISNUMBER(SEARCH("-DUP",A433)),"Duplicate ID","")</f>
        <v/>
      </c>
      <c r="C433" s="9" t="n">
        <f aca="false">Raw_Donors!B433</f>
        <v>70504</v>
      </c>
      <c r="D433" s="9" t="n">
        <f aca="false">Raw_Donors!C433</f>
        <v>0</v>
      </c>
      <c r="E433" s="9" t="str">
        <f aca="false">IFERROR(IF(Raw_Donors!D433="","Unknown",Raw_Donors!D433),"Unknown")</f>
        <v>Single</v>
      </c>
      <c r="F433" s="9" t="str">
        <f aca="false">IFERROR(IF(Raw_Donors!E433="","Unknown",Raw_Donors!E433),"Unknown")</f>
        <v>Male</v>
      </c>
      <c r="G433" s="9" t="str">
        <f aca="false">PROPER(TRIM(Raw_Donors!F433))</f>
        <v>Individual Donor</v>
      </c>
      <c r="H433" s="9" t="str">
        <f aca="false">IFERROR(IF(Raw_Donors!G433="","N",Raw_Donors!G433),"N")</f>
        <v>N</v>
      </c>
      <c r="I433" s="9" t="str">
        <f aca="false">IF(Raw_Donors!H433="","Not Rated",Raw_Donors!H433)</f>
        <v>Not Rated</v>
      </c>
      <c r="J433" s="9" t="str">
        <f aca="false">IF(TRIM(Raw_Donors!I433)="","Unknown",TRIM(Raw_Donors!I433))</f>
        <v>Unknown</v>
      </c>
      <c r="K433" s="9" t="str">
        <f aca="false">Raw_Donors!J433</f>
        <v>N</v>
      </c>
      <c r="L433" s="9" t="n">
        <f aca="false">Raw_Donors!K433</f>
        <v>0</v>
      </c>
      <c r="M433" s="10" t="n">
        <f aca="false">IFERROR(VALUE(SUBSTITUTE(SUBSTITUTE(Raw_Donors!L433,"$",""),",","")),0)</f>
        <v>0</v>
      </c>
      <c r="N433" s="10" t="n">
        <f aca="false">IFERROR(VALUE(SUBSTITUTE(SUBSTITUTE(Raw_Donors!M433,"$",""),",","")),0)</f>
        <v>0</v>
      </c>
      <c r="O433" s="10" t="n">
        <f aca="false">IFERROR(VALUE(SUBSTITUTE(SUBSTITUTE(Raw_Donors!N433,"$",""),",","")),0)</f>
        <v>0</v>
      </c>
      <c r="P433" s="10" t="n">
        <f aca="false">IFERROR(VALUE(SUBSTITUTE(SUBSTITUTE(Raw_Donors!O433,"$",""),",","")),0)</f>
        <v>0</v>
      </c>
      <c r="Q433" s="10" t="n">
        <f aca="false">IFERROR(VALUE(SUBSTITUTE(SUBSTITUTE(Raw_Donors!P433,"$",""),",","")),0)</f>
        <v>0</v>
      </c>
      <c r="R433" s="10" t="n">
        <f aca="false">Raw_Donors!Q433</f>
        <v>0</v>
      </c>
      <c r="S433" s="9" t="str">
        <f aca="false">Raw_Donors!R433</f>
        <v>N</v>
      </c>
      <c r="T433" s="9" t="str">
        <f aca="false">IF(Raw_Donors!S433="","",Raw_Donors!S433)</f>
        <v/>
      </c>
      <c r="U433" s="9" t="str">
        <f aca="false">IF(AND((O433+P433)&gt;0,Q433=0),"Lapsed - Follow Up","")</f>
        <v/>
      </c>
      <c r="V433" s="9" t="n">
        <f aca="false">RANK(R433,$R$2:$R$759)+COUNTIF($R$2:R433,R433)-1</f>
        <v>668</v>
      </c>
      <c r="W433" s="9" t="str">
        <f aca="false">IF(U433="Lapsed - Follow Up",COUNTIF($U$2:U433,"Lapsed - Follow Up"),"")</f>
        <v/>
      </c>
    </row>
    <row r="434" customFormat="false" ht="15" hidden="false" customHeight="true" outlineLevel="0" collapsed="false">
      <c r="A434" s="9" t="str">
        <f aca="false">Raw_Donors!A434</f>
        <v>D1432</v>
      </c>
      <c r="B434" s="9" t="str">
        <f aca="false">IF(ISNUMBER(SEARCH("-DUP",A434)),"Duplicate ID","")</f>
        <v/>
      </c>
      <c r="C434" s="9" t="n">
        <f aca="false">Raw_Donors!B434</f>
        <v>77474</v>
      </c>
      <c r="D434" s="9" t="n">
        <f aca="false">Raw_Donors!C434</f>
        <v>35</v>
      </c>
      <c r="E434" s="9" t="str">
        <f aca="false">IFERROR(IF(Raw_Donors!D434="","Unknown",Raw_Donors!D434),"Unknown")</f>
        <v>Unknown</v>
      </c>
      <c r="F434" s="9" t="str">
        <f aca="false">IFERROR(IF(Raw_Donors!E434="","Unknown",Raw_Donors!E434),"Unknown")</f>
        <v>Female</v>
      </c>
      <c r="G434" s="9" t="str">
        <f aca="false">PROPER(TRIM(Raw_Donors!F434))</f>
        <v>Individual Donor</v>
      </c>
      <c r="H434" s="9" t="str">
        <f aca="false">IFERROR(IF(Raw_Donors!G434="","N",Raw_Donors!G434),"N")</f>
        <v>N</v>
      </c>
      <c r="I434" s="9" t="str">
        <f aca="false">IF(Raw_Donors!H434="","Not Rated",Raw_Donors!H434)</f>
        <v>Not Rated</v>
      </c>
      <c r="J434" s="9" t="str">
        <f aca="false">IF(TRIM(Raw_Donors!I434)="","Unknown",TRIM(Raw_Donors!I434))</f>
        <v>HOME</v>
      </c>
      <c r="K434" s="9" t="str">
        <f aca="false">Raw_Donors!J434</f>
        <v>Y</v>
      </c>
      <c r="L434" s="9" t="n">
        <f aca="false">Raw_Donors!K434</f>
        <v>0</v>
      </c>
      <c r="M434" s="10" t="n">
        <f aca="false">IFERROR(VALUE(SUBSTITUTE(SUBSTITUTE(Raw_Donors!L434,"$",""),",","")),0)</f>
        <v>0</v>
      </c>
      <c r="N434" s="10" t="n">
        <f aca="false">IFERROR(VALUE(SUBSTITUTE(SUBSTITUTE(Raw_Donors!M434,"$",""),",","")),0)</f>
        <v>0</v>
      </c>
      <c r="O434" s="10" t="n">
        <f aca="false">IFERROR(VALUE(SUBSTITUTE(SUBSTITUTE(Raw_Donors!N434,"$",""),",","")),0)</f>
        <v>0</v>
      </c>
      <c r="P434" s="10" t="n">
        <f aca="false">IFERROR(VALUE(SUBSTITUTE(SUBSTITUTE(Raw_Donors!O434,"$",""),",","")),0)</f>
        <v>0</v>
      </c>
      <c r="Q434" s="10" t="n">
        <f aca="false">IFERROR(VALUE(SUBSTITUTE(SUBSTITUTE(Raw_Donors!P434,"$",""),",","")),0)</f>
        <v>0</v>
      </c>
      <c r="R434" s="10" t="n">
        <f aca="false">Raw_Donors!Q434</f>
        <v>0</v>
      </c>
      <c r="S434" s="9" t="str">
        <f aca="false">Raw_Donors!R434</f>
        <v>N</v>
      </c>
      <c r="T434" s="9" t="str">
        <f aca="false">IF(Raw_Donors!S434="","",Raw_Donors!S434)</f>
        <v>1982-05-13</v>
      </c>
      <c r="U434" s="9" t="str">
        <f aca="false">IF(AND((O434+P434)&gt;0,Q434=0),"Lapsed - Follow Up","")</f>
        <v/>
      </c>
      <c r="V434" s="9" t="n">
        <f aca="false">RANK(R434,$R$2:$R$759)+COUNTIF($R$2:R434,R434)-1</f>
        <v>669</v>
      </c>
      <c r="W434" s="9" t="str">
        <f aca="false">IF(U434="Lapsed - Follow Up",COUNTIF($U$2:U434,"Lapsed - Follow Up"),"")</f>
        <v/>
      </c>
    </row>
    <row r="435" customFormat="false" ht="15" hidden="false" customHeight="true" outlineLevel="0" collapsed="false">
      <c r="A435" s="9" t="str">
        <f aca="false">Raw_Donors!A435</f>
        <v>D1433</v>
      </c>
      <c r="B435" s="9" t="str">
        <f aca="false">IF(ISNUMBER(SEARCH("-DUP",A435)),"Duplicate ID","")</f>
        <v/>
      </c>
      <c r="C435" s="9" t="n">
        <f aca="false">Raw_Donors!B435</f>
        <v>56722</v>
      </c>
      <c r="D435" s="9" t="n">
        <f aca="false">Raw_Donors!C435</f>
        <v>39</v>
      </c>
      <c r="E435" s="9" t="str">
        <f aca="false">IFERROR(IF(Raw_Donors!D435="","Unknown",Raw_Donors!D435),"Unknown")</f>
        <v>Unknown</v>
      </c>
      <c r="F435" s="9" t="str">
        <f aca="false">IFERROR(IF(Raw_Donors!E435="","Unknown",Raw_Donors!E435),"Unknown")</f>
        <v>Female</v>
      </c>
      <c r="G435" s="9" t="str">
        <f aca="false">PROPER(TRIM(Raw_Donors!F435))</f>
        <v>Community Partner</v>
      </c>
      <c r="H435" s="9" t="str">
        <f aca="false">IFERROR(IF(Raw_Donors!G435="","N",Raw_Donors!G435),"N")</f>
        <v>N</v>
      </c>
      <c r="I435" s="9" t="str">
        <f aca="false">IF(Raw_Donors!H435="","Not Rated",Raw_Donors!H435)</f>
        <v>Not Rated</v>
      </c>
      <c r="J435" s="9" t="str">
        <f aca="false">IF(TRIM(Raw_Donors!I435)="","Unknown",TRIM(Raw_Donors!I435))</f>
        <v>HOME</v>
      </c>
      <c r="K435" s="9" t="str">
        <f aca="false">Raw_Donors!J435</f>
        <v>Y</v>
      </c>
      <c r="L435" s="9" t="n">
        <f aca="false">Raw_Donors!K435</f>
        <v>0</v>
      </c>
      <c r="M435" s="10" t="n">
        <f aca="false">IFERROR(VALUE(SUBSTITUTE(SUBSTITUTE(Raw_Donors!L435,"$",""),",","")),0)</f>
        <v>0</v>
      </c>
      <c r="N435" s="10" t="n">
        <f aca="false">IFERROR(VALUE(SUBSTITUTE(SUBSTITUTE(Raw_Donors!M435,"$",""),",","")),0)</f>
        <v>0</v>
      </c>
      <c r="O435" s="10" t="n">
        <f aca="false">IFERROR(VALUE(SUBSTITUTE(SUBSTITUTE(Raw_Donors!N435,"$",""),",","")),0)</f>
        <v>0</v>
      </c>
      <c r="P435" s="10" t="n">
        <f aca="false">IFERROR(VALUE(SUBSTITUTE(SUBSTITUTE(Raw_Donors!O435,"$",""),",","")),0)</f>
        <v>0</v>
      </c>
      <c r="Q435" s="10" t="n">
        <f aca="false">IFERROR(VALUE(SUBSTITUTE(SUBSTITUTE(Raw_Donors!P435,"$",""),",","")),0)</f>
        <v>0</v>
      </c>
      <c r="R435" s="10" t="n">
        <f aca="false">Raw_Donors!Q435</f>
        <v>0</v>
      </c>
      <c r="S435" s="9" t="str">
        <f aca="false">Raw_Donors!R435</f>
        <v>N</v>
      </c>
      <c r="T435" s="9" t="str">
        <f aca="false">IF(Raw_Donors!S435="","",Raw_Donors!S435)</f>
        <v>1978-03-21</v>
      </c>
      <c r="U435" s="9" t="str">
        <f aca="false">IF(AND((O435+P435)&gt;0,Q435=0),"Lapsed - Follow Up","")</f>
        <v/>
      </c>
      <c r="V435" s="9" t="n">
        <f aca="false">RANK(R435,$R$2:$R$759)+COUNTIF($R$2:R435,R435)-1</f>
        <v>670</v>
      </c>
      <c r="W435" s="9" t="str">
        <f aca="false">IF(U435="Lapsed - Follow Up",COUNTIF($U$2:U435,"Lapsed - Follow Up"),"")</f>
        <v/>
      </c>
    </row>
    <row r="436" customFormat="false" ht="15" hidden="false" customHeight="true" outlineLevel="0" collapsed="false">
      <c r="A436" s="9" t="str">
        <f aca="false">Raw_Donors!A436</f>
        <v>D1434</v>
      </c>
      <c r="B436" s="9" t="str">
        <f aca="false">IF(ISNUMBER(SEARCH("-DUP",A436)),"Duplicate ID","")</f>
        <v/>
      </c>
      <c r="C436" s="9" t="n">
        <f aca="false">Raw_Donors!B436</f>
        <v>14226</v>
      </c>
      <c r="D436" s="9" t="n">
        <f aca="false">Raw_Donors!C436</f>
        <v>0</v>
      </c>
      <c r="E436" s="9" t="str">
        <f aca="false">IFERROR(IF(Raw_Donors!D436="","Unknown",Raw_Donors!D436),"Unknown")</f>
        <v>Unknown</v>
      </c>
      <c r="F436" s="9" t="str">
        <f aca="false">IFERROR(IF(Raw_Donors!E436="","Unknown",Raw_Donors!E436),"Unknown")</f>
        <v>Female</v>
      </c>
      <c r="G436" s="9" t="str">
        <f aca="false">PROPER(TRIM(Raw_Donors!F436))</f>
        <v>Individual Donor</v>
      </c>
      <c r="H436" s="9" t="str">
        <f aca="false">IFERROR(IF(Raw_Donors!G436="","N",Raw_Donors!G436),"N")</f>
        <v>N</v>
      </c>
      <c r="I436" s="9" t="str">
        <f aca="false">IF(Raw_Donors!H436="","Not Rated",Raw_Donors!H436)</f>
        <v>$100,000-$249,999</v>
      </c>
      <c r="J436" s="9" t="str">
        <f aca="false">IF(TRIM(Raw_Donors!I436)="","Unknown",TRIM(Raw_Donors!I436))</f>
        <v>Unknown</v>
      </c>
      <c r="K436" s="9" t="str">
        <f aca="false">Raw_Donors!J436</f>
        <v>N</v>
      </c>
      <c r="L436" s="9" t="n">
        <f aca="false">Raw_Donors!K436</f>
        <v>1</v>
      </c>
      <c r="M436" s="10" t="n">
        <f aca="false">IFERROR(VALUE(SUBSTITUTE(SUBSTITUTE(Raw_Donors!L436,"$",""),",","")),0)</f>
        <v>0</v>
      </c>
      <c r="N436" s="10" t="n">
        <f aca="false">IFERROR(VALUE(SUBSTITUTE(SUBSTITUTE(Raw_Donors!M436,"$",""),",","")),0)</f>
        <v>0</v>
      </c>
      <c r="O436" s="10" t="n">
        <f aca="false">IFERROR(VALUE(SUBSTITUTE(SUBSTITUTE(Raw_Donors!N436,"$",""),",","")),0)</f>
        <v>0</v>
      </c>
      <c r="P436" s="10" t="n">
        <f aca="false">IFERROR(VALUE(SUBSTITUTE(SUBSTITUTE(Raw_Donors!O436,"$",""),",","")),0)</f>
        <v>0</v>
      </c>
      <c r="Q436" s="10" t="n">
        <f aca="false">IFERROR(VALUE(SUBSTITUTE(SUBSTITUTE(Raw_Donors!P436,"$",""),",","")),0)</f>
        <v>0</v>
      </c>
      <c r="R436" s="10" t="n">
        <f aca="false">Raw_Donors!Q436</f>
        <v>120</v>
      </c>
      <c r="S436" s="9" t="str">
        <f aca="false">Raw_Donors!R436</f>
        <v>Y</v>
      </c>
      <c r="T436" s="9" t="str">
        <f aca="false">IF(Raw_Donors!S436="","",Raw_Donors!S436)</f>
        <v/>
      </c>
      <c r="U436" s="9" t="str">
        <f aca="false">IF(AND((O436+P436)&gt;0,Q436=0),"Lapsed - Follow Up","")</f>
        <v/>
      </c>
      <c r="V436" s="9" t="n">
        <f aca="false">RANK(R436,$R$2:$R$759)+COUNTIF($R$2:R436,R436)-1</f>
        <v>256</v>
      </c>
      <c r="W436" s="9" t="str">
        <f aca="false">IF(U436="Lapsed - Follow Up",COUNTIF($U$2:U436,"Lapsed - Follow Up"),"")</f>
        <v/>
      </c>
    </row>
    <row r="437" customFormat="false" ht="15" hidden="false" customHeight="true" outlineLevel="0" collapsed="false">
      <c r="A437" s="9" t="str">
        <f aca="false">Raw_Donors!A437</f>
        <v>D1435</v>
      </c>
      <c r="B437" s="9" t="str">
        <f aca="false">IF(ISNUMBER(SEARCH("-DUP",A437)),"Duplicate ID","")</f>
        <v/>
      </c>
      <c r="C437" s="9" t="n">
        <f aca="false">Raw_Donors!B437</f>
        <v>62410</v>
      </c>
      <c r="D437" s="9" t="n">
        <f aca="false">Raw_Donors!C437</f>
        <v>0</v>
      </c>
      <c r="E437" s="9" t="str">
        <f aca="false">IFERROR(IF(Raw_Donors!D437="","Unknown",Raw_Donors!D437),"Unknown")</f>
        <v>Unknown</v>
      </c>
      <c r="F437" s="9" t="str">
        <f aca="false">IFERROR(IF(Raw_Donors!E437="","Unknown",Raw_Donors!E437),"Unknown")</f>
        <v>Male</v>
      </c>
      <c r="G437" s="9" t="str">
        <f aca="false">PROPER(TRIM(Raw_Donors!F437))</f>
        <v>Individual Donor</v>
      </c>
      <c r="H437" s="9" t="str">
        <f aca="false">IFERROR(IF(Raw_Donors!G437="","N",Raw_Donors!G437),"N")</f>
        <v>N</v>
      </c>
      <c r="I437" s="9" t="str">
        <f aca="false">IF(Raw_Donors!H437="","Not Rated",Raw_Donors!H437)</f>
        <v>Not Rated</v>
      </c>
      <c r="J437" s="9" t="str">
        <f aca="false">IF(TRIM(Raw_Donors!I437)="","Unknown",TRIM(Raw_Donors!I437))</f>
        <v>HOME</v>
      </c>
      <c r="K437" s="9" t="str">
        <f aca="false">Raw_Donors!J437</f>
        <v>Y</v>
      </c>
      <c r="L437" s="9" t="n">
        <f aca="false">Raw_Donors!K437</f>
        <v>3</v>
      </c>
      <c r="M437" s="10" t="n">
        <f aca="false">IFERROR(VALUE(SUBSTITUTE(SUBSTITUTE(Raw_Donors!L437,"$",""),",","")),0)</f>
        <v>10</v>
      </c>
      <c r="N437" s="10" t="n">
        <f aca="false">IFERROR(VALUE(SUBSTITUTE(SUBSTITUTE(Raw_Donors!M437,"$",""),",","")),0)</f>
        <v>0</v>
      </c>
      <c r="O437" s="10" t="n">
        <f aca="false">IFERROR(VALUE(SUBSTITUTE(SUBSTITUTE(Raw_Donors!N437,"$",""),",","")),0)</f>
        <v>0</v>
      </c>
      <c r="P437" s="10" t="n">
        <f aca="false">IFERROR(VALUE(SUBSTITUTE(SUBSTITUTE(Raw_Donors!O437,"$",""),",","")),0)</f>
        <v>0</v>
      </c>
      <c r="Q437" s="10" t="n">
        <f aca="false">IFERROR(VALUE(SUBSTITUTE(SUBSTITUTE(Raw_Donors!P437,"$",""),",","")),0)</f>
        <v>0</v>
      </c>
      <c r="R437" s="10" t="n">
        <f aca="false">Raw_Donors!Q437</f>
        <v>600</v>
      </c>
      <c r="S437" s="9" t="str">
        <f aca="false">Raw_Donors!R437</f>
        <v>Y</v>
      </c>
      <c r="T437" s="9" t="str">
        <f aca="false">IF(Raw_Donors!S437="","",Raw_Donors!S437)</f>
        <v/>
      </c>
      <c r="U437" s="9" t="str">
        <f aca="false">IF(AND((O437+P437)&gt;0,Q437=0),"Lapsed - Follow Up","")</f>
        <v/>
      </c>
      <c r="V437" s="9" t="n">
        <f aca="false">RANK(R437,$R$2:$R$759)+COUNTIF($R$2:R437,R437)-1</f>
        <v>80</v>
      </c>
      <c r="W437" s="9" t="str">
        <f aca="false">IF(U437="Lapsed - Follow Up",COUNTIF($U$2:U437,"Lapsed - Follow Up"),"")</f>
        <v/>
      </c>
    </row>
    <row r="438" customFormat="false" ht="15" hidden="false" customHeight="true" outlineLevel="0" collapsed="false">
      <c r="A438" s="9" t="str">
        <f aca="false">Raw_Donors!A438</f>
        <v>D1436</v>
      </c>
      <c r="B438" s="9" t="str">
        <f aca="false">IF(ISNUMBER(SEARCH("-DUP",A438)),"Duplicate ID","")</f>
        <v/>
      </c>
      <c r="C438" s="9" t="n">
        <f aca="false">Raw_Donors!B438</f>
        <v>60087</v>
      </c>
      <c r="D438" s="9" t="n">
        <f aca="false">Raw_Donors!C438</f>
        <v>0</v>
      </c>
      <c r="E438" s="9" t="str">
        <f aca="false">IFERROR(IF(Raw_Donors!D438="","Unknown",Raw_Donors!D438),"Unknown")</f>
        <v>Unknown</v>
      </c>
      <c r="F438" s="9" t="str">
        <f aca="false">IFERROR(IF(Raw_Donors!E438="","Unknown",Raw_Donors!E438),"Unknown")</f>
        <v>Female</v>
      </c>
      <c r="G438" s="9" t="str">
        <f aca="false">PROPER(TRIM(Raw_Donors!F438))</f>
        <v>Community Partner</v>
      </c>
      <c r="H438" s="9" t="str">
        <f aca="false">IFERROR(IF(Raw_Donors!G438="","N",Raw_Donors!G438),"N")</f>
        <v>N</v>
      </c>
      <c r="I438" s="9" t="str">
        <f aca="false">IF(Raw_Donors!H438="","Not Rated",Raw_Donors!H438)</f>
        <v>Not Rated</v>
      </c>
      <c r="J438" s="9" t="str">
        <f aca="false">IF(TRIM(Raw_Donors!I438)="","Unknown",TRIM(Raw_Donors!I438))</f>
        <v>HOME</v>
      </c>
      <c r="K438" s="9" t="str">
        <f aca="false">Raw_Donors!J438</f>
        <v>N</v>
      </c>
      <c r="L438" s="9" t="n">
        <f aca="false">Raw_Donors!K438</f>
        <v>0</v>
      </c>
      <c r="M438" s="10" t="n">
        <f aca="false">IFERROR(VALUE(SUBSTITUTE(SUBSTITUTE(Raw_Donors!L438,"$",""),",","")),0)</f>
        <v>0</v>
      </c>
      <c r="N438" s="10" t="n">
        <f aca="false">IFERROR(VALUE(SUBSTITUTE(SUBSTITUTE(Raw_Donors!M438,"$",""),",","")),0)</f>
        <v>0</v>
      </c>
      <c r="O438" s="10" t="n">
        <f aca="false">IFERROR(VALUE(SUBSTITUTE(SUBSTITUTE(Raw_Donors!N438,"$",""),",","")),0)</f>
        <v>0</v>
      </c>
      <c r="P438" s="10" t="n">
        <f aca="false">IFERROR(VALUE(SUBSTITUTE(SUBSTITUTE(Raw_Donors!O438,"$",""),",","")),0)</f>
        <v>0</v>
      </c>
      <c r="Q438" s="10" t="n">
        <f aca="false">IFERROR(VALUE(SUBSTITUTE(SUBSTITUTE(Raw_Donors!P438,"$",""),",","")),0)</f>
        <v>0</v>
      </c>
      <c r="R438" s="10" t="n">
        <f aca="false">Raw_Donors!Q438</f>
        <v>75</v>
      </c>
      <c r="S438" s="9" t="str">
        <f aca="false">Raw_Donors!R438</f>
        <v>Y</v>
      </c>
      <c r="T438" s="9" t="str">
        <f aca="false">IF(Raw_Donors!S438="","",Raw_Donors!S438)</f>
        <v/>
      </c>
      <c r="U438" s="9" t="str">
        <f aca="false">IF(AND((O438+P438)&gt;0,Q438=0),"Lapsed - Follow Up","")</f>
        <v/>
      </c>
      <c r="V438" s="9" t="n">
        <f aca="false">RANK(R438,$R$2:$R$759)+COUNTIF($R$2:R438,R438)-1</f>
        <v>333</v>
      </c>
      <c r="W438" s="9" t="str">
        <f aca="false">IF(U438="Lapsed - Follow Up",COUNTIF($U$2:U438,"Lapsed - Follow Up"),"")</f>
        <v/>
      </c>
    </row>
    <row r="439" customFormat="false" ht="15" hidden="false" customHeight="true" outlineLevel="0" collapsed="false">
      <c r="A439" s="9" t="str">
        <f aca="false">Raw_Donors!A439</f>
        <v>D1437</v>
      </c>
      <c r="B439" s="9" t="str">
        <f aca="false">IF(ISNUMBER(SEARCH("-DUP",A439)),"Duplicate ID","")</f>
        <v/>
      </c>
      <c r="C439" s="9" t="n">
        <f aca="false">Raw_Donors!B439</f>
        <v>90265</v>
      </c>
      <c r="D439" s="9" t="n">
        <f aca="false">Raw_Donors!C439</f>
        <v>0</v>
      </c>
      <c r="E439" s="9" t="str">
        <f aca="false">IFERROR(IF(Raw_Donors!D439="","Unknown",Raw_Donors!D439),"Unknown")</f>
        <v>Single</v>
      </c>
      <c r="F439" s="9" t="str">
        <f aca="false">IFERROR(IF(Raw_Donors!E439="","Unknown",Raw_Donors!E439),"Unknown")</f>
        <v>Uknown</v>
      </c>
      <c r="G439" s="9" t="str">
        <f aca="false">PROPER(TRIM(Raw_Donors!F439))</f>
        <v>Individual Donor</v>
      </c>
      <c r="H439" s="9" t="str">
        <f aca="false">IFERROR(IF(Raw_Donors!G439="","N",Raw_Donors!G439),"N")</f>
        <v>Y</v>
      </c>
      <c r="I439" s="9" t="str">
        <f aca="false">IF(Raw_Donors!H439="","Not Rated",Raw_Donors!H439)</f>
        <v>Not Rated</v>
      </c>
      <c r="J439" s="9" t="str">
        <f aca="false">IF(TRIM(Raw_Donors!I439)="","Unknown",TRIM(Raw_Donors!I439))</f>
        <v>HOME</v>
      </c>
      <c r="K439" s="9" t="str">
        <f aca="false">Raw_Donors!J439</f>
        <v>N</v>
      </c>
      <c r="L439" s="9" t="n">
        <f aca="false">Raw_Donors!K439</f>
        <v>0</v>
      </c>
      <c r="M439" s="10" t="n">
        <f aca="false">IFERROR(VALUE(SUBSTITUTE(SUBSTITUTE(Raw_Donors!L439,"$",""),",","")),0)</f>
        <v>0</v>
      </c>
      <c r="N439" s="10" t="n">
        <f aca="false">IFERROR(VALUE(SUBSTITUTE(SUBSTITUTE(Raw_Donors!M439,"$",""),",","")),0)</f>
        <v>180100</v>
      </c>
      <c r="O439" s="10" t="n">
        <f aca="false">IFERROR(VALUE(SUBSTITUTE(SUBSTITUTE(Raw_Donors!N439,"$",""),",","")),0)</f>
        <v>100</v>
      </c>
      <c r="P439" s="10" t="n">
        <f aca="false">IFERROR(VALUE(SUBSTITUTE(SUBSTITUTE(Raw_Donors!O439,"$",""),",","")),0)</f>
        <v>3000</v>
      </c>
      <c r="Q439" s="10" t="n">
        <f aca="false">IFERROR(VALUE(SUBSTITUTE(SUBSTITUTE(Raw_Donors!P439,"$",""),",","")),0)</f>
        <v>10000</v>
      </c>
      <c r="R439" s="10" t="n">
        <f aca="false">Raw_Donors!Q439</f>
        <v>213200</v>
      </c>
      <c r="S439" s="9" t="str">
        <f aca="false">Raw_Donors!R439</f>
        <v>Y</v>
      </c>
      <c r="T439" s="9" t="str">
        <f aca="false">IF(Raw_Donors!S439="","",Raw_Donors!S439)</f>
        <v/>
      </c>
      <c r="U439" s="9" t="str">
        <f aca="false">IF(AND((O439+P439)&gt;0,Q439=0),"Lapsed - Follow Up","")</f>
        <v/>
      </c>
      <c r="V439" s="9" t="n">
        <f aca="false">RANK(R439,$R$2:$R$759)+COUNTIF($R$2:R439,R439)-1</f>
        <v>2</v>
      </c>
      <c r="W439" s="9" t="str">
        <f aca="false">IF(U439="Lapsed - Follow Up",COUNTIF($U$2:U439,"Lapsed - Follow Up"),"")</f>
        <v/>
      </c>
    </row>
    <row r="440" customFormat="false" ht="15" hidden="false" customHeight="true" outlineLevel="0" collapsed="false">
      <c r="A440" s="9" t="str">
        <f aca="false">Raw_Donors!A440</f>
        <v>D1438</v>
      </c>
      <c r="B440" s="9" t="str">
        <f aca="false">IF(ISNUMBER(SEARCH("-DUP",A440)),"Duplicate ID","")</f>
        <v/>
      </c>
      <c r="C440" s="9" t="n">
        <f aca="false">Raw_Donors!B440</f>
        <v>99720</v>
      </c>
      <c r="D440" s="9" t="n">
        <f aca="false">Raw_Donors!C440</f>
        <v>29</v>
      </c>
      <c r="E440" s="9" t="str">
        <f aca="false">IFERROR(IF(Raw_Donors!D440="","Unknown",Raw_Donors!D440),"Unknown")</f>
        <v>Unknown</v>
      </c>
      <c r="F440" s="9" t="str">
        <f aca="false">IFERROR(IF(Raw_Donors!E440="","Unknown",Raw_Donors!E440),"Unknown")</f>
        <v>Female</v>
      </c>
      <c r="G440" s="9" t="str">
        <f aca="false">PROPER(TRIM(Raw_Donors!F440))</f>
        <v>Individual Donor</v>
      </c>
      <c r="H440" s="9" t="str">
        <f aca="false">IFERROR(IF(Raw_Donors!G440="","N",Raw_Donors!G440),"N")</f>
        <v>N</v>
      </c>
      <c r="I440" s="9" t="str">
        <f aca="false">IF(Raw_Donors!H440="","Not Rated",Raw_Donors!H440)</f>
        <v>Not Rated</v>
      </c>
      <c r="J440" s="9" t="str">
        <f aca="false">IF(TRIM(Raw_Donors!I440)="","Unknown",TRIM(Raw_Donors!I440))</f>
        <v>HOME</v>
      </c>
      <c r="K440" s="9" t="str">
        <f aca="false">Raw_Donors!J440</f>
        <v>N</v>
      </c>
      <c r="L440" s="9" t="n">
        <f aca="false">Raw_Donors!K440</f>
        <v>0</v>
      </c>
      <c r="M440" s="10" t="n">
        <f aca="false">IFERROR(VALUE(SUBSTITUTE(SUBSTITUTE(Raw_Donors!L440,"$",""),",","")),0)</f>
        <v>0</v>
      </c>
      <c r="N440" s="10" t="n">
        <f aca="false">IFERROR(VALUE(SUBSTITUTE(SUBSTITUTE(Raw_Donors!M440,"$",""),",","")),0)</f>
        <v>0</v>
      </c>
      <c r="O440" s="10" t="n">
        <f aca="false">IFERROR(VALUE(SUBSTITUTE(SUBSTITUTE(Raw_Donors!N440,"$",""),",","")),0)</f>
        <v>0</v>
      </c>
      <c r="P440" s="10" t="n">
        <f aca="false">IFERROR(VALUE(SUBSTITUTE(SUBSTITUTE(Raw_Donors!O440,"$",""),",","")),0)</f>
        <v>0</v>
      </c>
      <c r="Q440" s="10" t="n">
        <f aca="false">IFERROR(VALUE(SUBSTITUTE(SUBSTITUTE(Raw_Donors!P440,"$",""),",","")),0)</f>
        <v>0</v>
      </c>
      <c r="R440" s="10" t="n">
        <f aca="false">Raw_Donors!Q440</f>
        <v>0</v>
      </c>
      <c r="S440" s="9" t="str">
        <f aca="false">Raw_Donors!R440</f>
        <v>N</v>
      </c>
      <c r="T440" s="9" t="str">
        <f aca="false">IF(Raw_Donors!S440="","",Raw_Donors!S440)</f>
        <v>1988-01-16</v>
      </c>
      <c r="U440" s="9" t="str">
        <f aca="false">IF(AND((O440+P440)&gt;0,Q440=0),"Lapsed - Follow Up","")</f>
        <v/>
      </c>
      <c r="V440" s="9" t="n">
        <f aca="false">RANK(R440,$R$2:$R$759)+COUNTIF($R$2:R440,R440)-1</f>
        <v>671</v>
      </c>
      <c r="W440" s="9" t="str">
        <f aca="false">IF(U440="Lapsed - Follow Up",COUNTIF($U$2:U440,"Lapsed - Follow Up"),"")</f>
        <v/>
      </c>
    </row>
    <row r="441" customFormat="false" ht="15" hidden="false" customHeight="true" outlineLevel="0" collapsed="false">
      <c r="A441" s="9" t="str">
        <f aca="false">Raw_Donors!A441</f>
        <v>D1439</v>
      </c>
      <c r="B441" s="9" t="str">
        <f aca="false">IF(ISNUMBER(SEARCH("-DUP",A441)),"Duplicate ID","")</f>
        <v/>
      </c>
      <c r="C441" s="9" t="n">
        <f aca="false">Raw_Donors!B441</f>
        <v>5640</v>
      </c>
      <c r="D441" s="9" t="n">
        <f aca="false">Raw_Donors!C441</f>
        <v>0</v>
      </c>
      <c r="E441" s="9" t="str">
        <f aca="false">IFERROR(IF(Raw_Donors!D441="","Unknown",Raw_Donors!D441),"Unknown")</f>
        <v>Single</v>
      </c>
      <c r="F441" s="9" t="str">
        <f aca="false">IFERROR(IF(Raw_Donors!E441="","Unknown",Raw_Donors!E441),"Unknown")</f>
        <v>Uknown</v>
      </c>
      <c r="G441" s="9" t="str">
        <f aca="false">PROPER(TRIM(Raw_Donors!F441))</f>
        <v>Individual Donor</v>
      </c>
      <c r="H441" s="9" t="str">
        <f aca="false">IFERROR(IF(Raw_Donors!G441="","N",Raw_Donors!G441),"N")</f>
        <v>Y</v>
      </c>
      <c r="I441" s="9" t="str">
        <f aca="false">IF(Raw_Donors!H441="","Not Rated",Raw_Donors!H441)</f>
        <v>Not Rated</v>
      </c>
      <c r="J441" s="9" t="str">
        <f aca="false">IF(TRIM(Raw_Donors!I441)="","Unknown",TRIM(Raw_Donors!I441))</f>
        <v>Unknown</v>
      </c>
      <c r="K441" s="9" t="str">
        <f aca="false">Raw_Donors!J441</f>
        <v>N</v>
      </c>
      <c r="L441" s="9" t="n">
        <f aca="false">Raw_Donors!K441</f>
        <v>0</v>
      </c>
      <c r="M441" s="10" t="n">
        <f aca="false">IFERROR(VALUE(SUBSTITUTE(SUBSTITUTE(Raw_Donors!L441,"$",""),",","")),0)</f>
        <v>0</v>
      </c>
      <c r="N441" s="10" t="n">
        <f aca="false">IFERROR(VALUE(SUBSTITUTE(SUBSTITUTE(Raw_Donors!M441,"$",""),",","")),0)</f>
        <v>0</v>
      </c>
      <c r="O441" s="10" t="n">
        <f aca="false">IFERROR(VALUE(SUBSTITUTE(SUBSTITUTE(Raw_Donors!N441,"$",""),",","")),0)</f>
        <v>0</v>
      </c>
      <c r="P441" s="10" t="n">
        <f aca="false">IFERROR(VALUE(SUBSTITUTE(SUBSTITUTE(Raw_Donors!O441,"$",""),",","")),0)</f>
        <v>1</v>
      </c>
      <c r="Q441" s="10" t="n">
        <f aca="false">IFERROR(VALUE(SUBSTITUTE(SUBSTITUTE(Raw_Donors!P441,"$",""),",","")),0)</f>
        <v>0</v>
      </c>
      <c r="R441" s="10" t="n">
        <f aca="false">Raw_Donors!Q441</f>
        <v>500</v>
      </c>
      <c r="S441" s="9" t="str">
        <f aca="false">Raw_Donors!R441</f>
        <v>Y</v>
      </c>
      <c r="T441" s="9" t="str">
        <f aca="false">IF(Raw_Donors!S441="","",Raw_Donors!S441)</f>
        <v/>
      </c>
      <c r="U441" s="9" t="str">
        <f aca="false">IF(AND((O441+P441)&gt;0,Q441=0),"Lapsed - Follow Up","")</f>
        <v>Lapsed - Follow Up</v>
      </c>
      <c r="V441" s="9" t="n">
        <f aca="false">RANK(R441,$R$2:$R$759)+COUNTIF($R$2:R441,R441)-1</f>
        <v>92</v>
      </c>
      <c r="W441" s="9" t="n">
        <f aca="false">IF(U441="Lapsed - Follow Up",COUNTIF($U$2:U441,"Lapsed - Follow Up"),"")</f>
        <v>64</v>
      </c>
    </row>
    <row r="442" customFormat="false" ht="15" hidden="false" customHeight="true" outlineLevel="0" collapsed="false">
      <c r="A442" s="9" t="str">
        <f aca="false">Raw_Donors!A442</f>
        <v>D1440</v>
      </c>
      <c r="B442" s="9" t="str">
        <f aca="false">IF(ISNUMBER(SEARCH("-DUP",A442)),"Duplicate ID","")</f>
        <v/>
      </c>
      <c r="C442" s="9" t="n">
        <f aca="false">Raw_Donors!B442</f>
        <v>79322</v>
      </c>
      <c r="D442" s="9" t="n">
        <f aca="false">Raw_Donors!C442</f>
        <v>0</v>
      </c>
      <c r="E442" s="9" t="str">
        <f aca="false">IFERROR(IF(Raw_Donors!D442="","Unknown",Raw_Donors!D442),"Unknown")</f>
        <v>Married</v>
      </c>
      <c r="F442" s="9" t="str">
        <f aca="false">IFERROR(IF(Raw_Donors!E442="","Unknown",Raw_Donors!E442),"Unknown")</f>
        <v>Male</v>
      </c>
      <c r="G442" s="9" t="str">
        <f aca="false">PROPER(TRIM(Raw_Donors!F442))</f>
        <v>Family Donor</v>
      </c>
      <c r="H442" s="9" t="str">
        <f aca="false">IFERROR(IF(Raw_Donors!G442="","N",Raw_Donors!G442),"N")</f>
        <v>N</v>
      </c>
      <c r="I442" s="9" t="str">
        <f aca="false">IF(Raw_Donors!H442="","Not Rated",Raw_Donors!H442)</f>
        <v>Not Rated</v>
      </c>
      <c r="J442" s="9" t="str">
        <f aca="false">IF(TRIM(Raw_Donors!I442)="","Unknown",TRIM(Raw_Donors!I442))</f>
        <v>HOME</v>
      </c>
      <c r="K442" s="9" t="str">
        <f aca="false">Raw_Donors!J442</f>
        <v>Y</v>
      </c>
      <c r="L442" s="9" t="n">
        <f aca="false">Raw_Donors!K442</f>
        <v>3</v>
      </c>
      <c r="M442" s="10" t="n">
        <f aca="false">IFERROR(VALUE(SUBSTITUTE(SUBSTITUTE(Raw_Donors!L442,"$",""),",","")),0)</f>
        <v>0</v>
      </c>
      <c r="N442" s="10" t="n">
        <f aca="false">IFERROR(VALUE(SUBSTITUTE(SUBSTITUTE(Raw_Donors!M442,"$",""),",","")),0)</f>
        <v>0</v>
      </c>
      <c r="O442" s="10" t="n">
        <f aca="false">IFERROR(VALUE(SUBSTITUTE(SUBSTITUTE(Raw_Donors!N442,"$",""),",","")),0)</f>
        <v>0</v>
      </c>
      <c r="P442" s="10" t="n">
        <f aca="false">IFERROR(VALUE(SUBSTITUTE(SUBSTITUTE(Raw_Donors!O442,"$",""),",","")),0)</f>
        <v>0</v>
      </c>
      <c r="Q442" s="10" t="n">
        <f aca="false">IFERROR(VALUE(SUBSTITUTE(SUBSTITUTE(Raw_Donors!P442,"$",""),",","")),0)</f>
        <v>0</v>
      </c>
      <c r="R442" s="10" t="n">
        <f aca="false">Raw_Donors!Q442</f>
        <v>0</v>
      </c>
      <c r="S442" s="9" t="str">
        <f aca="false">Raw_Donors!R442</f>
        <v>N</v>
      </c>
      <c r="T442" s="9" t="str">
        <f aca="false">IF(Raw_Donors!S442="","",Raw_Donors!S442)</f>
        <v/>
      </c>
      <c r="U442" s="9" t="str">
        <f aca="false">IF(AND((O442+P442)&gt;0,Q442=0),"Lapsed - Follow Up","")</f>
        <v/>
      </c>
      <c r="V442" s="9" t="n">
        <f aca="false">RANK(R442,$R$2:$R$759)+COUNTIF($R$2:R442,R442)-1</f>
        <v>672</v>
      </c>
      <c r="W442" s="9" t="str">
        <f aca="false">IF(U442="Lapsed - Follow Up",COUNTIF($U$2:U442,"Lapsed - Follow Up"),"")</f>
        <v/>
      </c>
    </row>
    <row r="443" customFormat="false" ht="15" hidden="false" customHeight="true" outlineLevel="0" collapsed="false">
      <c r="A443" s="9" t="str">
        <f aca="false">Raw_Donors!A443</f>
        <v>D1441</v>
      </c>
      <c r="B443" s="9" t="str">
        <f aca="false">IF(ISNUMBER(SEARCH("-DUP",A443)),"Duplicate ID","")</f>
        <v/>
      </c>
      <c r="C443" s="9" t="n">
        <f aca="false">Raw_Donors!B443</f>
        <v>19312</v>
      </c>
      <c r="D443" s="9" t="n">
        <f aca="false">Raw_Donors!C443</f>
        <v>0</v>
      </c>
      <c r="E443" s="9" t="str">
        <f aca="false">IFERROR(IF(Raw_Donors!D443="","Unknown",Raw_Donors!D443),"Unknown")</f>
        <v>Unknown</v>
      </c>
      <c r="F443" s="9" t="str">
        <f aca="false">IFERROR(IF(Raw_Donors!E443="","Unknown",Raw_Donors!E443),"Unknown")</f>
        <v>Male</v>
      </c>
      <c r="G443" s="9" t="str">
        <f aca="false">PROPER(TRIM(Raw_Donors!F443))</f>
        <v>Individual Donor</v>
      </c>
      <c r="H443" s="9" t="str">
        <f aca="false">IFERROR(IF(Raw_Donors!G443="","N",Raw_Donors!G443),"N")</f>
        <v>N</v>
      </c>
      <c r="I443" s="9" t="str">
        <f aca="false">IF(Raw_Donors!H443="","Not Rated",Raw_Donors!H443)</f>
        <v>Not Rated</v>
      </c>
      <c r="J443" s="9" t="str">
        <f aca="false">IF(TRIM(Raw_Donors!I443)="","Unknown",TRIM(Raw_Donors!I443))</f>
        <v>Unknown</v>
      </c>
      <c r="K443" s="9" t="str">
        <f aca="false">Raw_Donors!J443</f>
        <v>N</v>
      </c>
      <c r="L443" s="9" t="n">
        <f aca="false">Raw_Donors!K443</f>
        <v>1</v>
      </c>
      <c r="M443" s="10" t="n">
        <f aca="false">IFERROR(VALUE(SUBSTITUTE(SUBSTITUTE(Raw_Donors!L443,"$",""),",","")),0)</f>
        <v>0</v>
      </c>
      <c r="N443" s="10" t="n">
        <f aca="false">IFERROR(VALUE(SUBSTITUTE(SUBSTITUTE(Raw_Donors!M443,"$",""),",","")),0)</f>
        <v>0</v>
      </c>
      <c r="O443" s="10" t="n">
        <f aca="false">IFERROR(VALUE(SUBSTITUTE(SUBSTITUTE(Raw_Donors!N443,"$",""),",","")),0)</f>
        <v>0</v>
      </c>
      <c r="P443" s="10" t="n">
        <f aca="false">IFERROR(VALUE(SUBSTITUTE(SUBSTITUTE(Raw_Donors!O443,"$",""),",","")),0)</f>
        <v>0</v>
      </c>
      <c r="Q443" s="10" t="n">
        <f aca="false">IFERROR(VALUE(SUBSTITUTE(SUBSTITUTE(Raw_Donors!P443,"$",""),",","")),0)</f>
        <v>0</v>
      </c>
      <c r="R443" s="10" t="n">
        <f aca="false">Raw_Donors!Q443</f>
        <v>0</v>
      </c>
      <c r="S443" s="9" t="str">
        <f aca="false">Raw_Donors!R443</f>
        <v>N</v>
      </c>
      <c r="T443" s="9" t="str">
        <f aca="false">IF(Raw_Donors!S443="","",Raw_Donors!S443)</f>
        <v/>
      </c>
      <c r="U443" s="9" t="str">
        <f aca="false">IF(AND((O443+P443)&gt;0,Q443=0),"Lapsed - Follow Up","")</f>
        <v/>
      </c>
      <c r="V443" s="9" t="n">
        <f aca="false">RANK(R443,$R$2:$R$759)+COUNTIF($R$2:R443,R443)-1</f>
        <v>673</v>
      </c>
      <c r="W443" s="9" t="str">
        <f aca="false">IF(U443="Lapsed - Follow Up",COUNTIF($U$2:U443,"Lapsed - Follow Up"),"")</f>
        <v/>
      </c>
    </row>
    <row r="444" customFormat="false" ht="15" hidden="false" customHeight="true" outlineLevel="0" collapsed="false">
      <c r="A444" s="9" t="str">
        <f aca="false">Raw_Donors!A444</f>
        <v>D1442</v>
      </c>
      <c r="B444" s="9" t="str">
        <f aca="false">IF(ISNUMBER(SEARCH("-DUP",A444)),"Duplicate ID","")</f>
        <v/>
      </c>
      <c r="C444" s="9" t="n">
        <f aca="false">Raw_Donors!B444</f>
        <v>72389</v>
      </c>
      <c r="D444" s="9" t="n">
        <f aca="false">Raw_Donors!C444</f>
        <v>0</v>
      </c>
      <c r="E444" s="9" t="str">
        <f aca="false">IFERROR(IF(Raw_Donors!D444="","Unknown",Raw_Donors!D444),"Unknown")</f>
        <v>Married</v>
      </c>
      <c r="F444" s="9" t="str">
        <f aca="false">IFERROR(IF(Raw_Donors!E444="","Unknown",Raw_Donors!E444),"Unknown")</f>
        <v>Female</v>
      </c>
      <c r="G444" s="9" t="str">
        <f aca="false">PROPER(TRIM(Raw_Donors!F444))</f>
        <v>Family Donor</v>
      </c>
      <c r="H444" s="9" t="str">
        <f aca="false">IFERROR(IF(Raw_Donors!G444="","N",Raw_Donors!G444),"N")</f>
        <v>Y</v>
      </c>
      <c r="I444" s="9" t="str">
        <f aca="false">IF(Raw_Donors!H444="","Not Rated",Raw_Donors!H444)</f>
        <v>Not Rated</v>
      </c>
      <c r="J444" s="9" t="str">
        <f aca="false">IF(TRIM(Raw_Donors!I444)="","Unknown",TRIM(Raw_Donors!I444))</f>
        <v>HOME</v>
      </c>
      <c r="K444" s="9" t="str">
        <f aca="false">Raw_Donors!J444</f>
        <v>Y</v>
      </c>
      <c r="L444" s="9" t="n">
        <f aca="false">Raw_Donors!K444</f>
        <v>1</v>
      </c>
      <c r="M444" s="10" t="n">
        <f aca="false">IFERROR(VALUE(SUBSTITUTE(SUBSTITUTE(Raw_Donors!L444,"$",""),",","")),0)</f>
        <v>0</v>
      </c>
      <c r="N444" s="10" t="n">
        <f aca="false">IFERROR(VALUE(SUBSTITUTE(SUBSTITUTE(Raw_Donors!M444,"$",""),",","")),0)</f>
        <v>0</v>
      </c>
      <c r="O444" s="10" t="n">
        <f aca="false">IFERROR(VALUE(SUBSTITUTE(SUBSTITUTE(Raw_Donors!N444,"$",""),",","")),0)</f>
        <v>0</v>
      </c>
      <c r="P444" s="10" t="n">
        <f aca="false">IFERROR(VALUE(SUBSTITUTE(SUBSTITUTE(Raw_Donors!O444,"$",""),",","")),0)</f>
        <v>0</v>
      </c>
      <c r="Q444" s="10" t="n">
        <f aca="false">IFERROR(VALUE(SUBSTITUTE(SUBSTITUTE(Raw_Donors!P444,"$",""),",","")),0)</f>
        <v>0</v>
      </c>
      <c r="R444" s="10" t="n">
        <f aca="false">Raw_Donors!Q444</f>
        <v>1</v>
      </c>
      <c r="S444" s="9" t="str">
        <f aca="false">Raw_Donors!R444</f>
        <v>Y</v>
      </c>
      <c r="T444" s="9" t="str">
        <f aca="false">IF(Raw_Donors!S444="","",Raw_Donors!S444)</f>
        <v/>
      </c>
      <c r="U444" s="9" t="str">
        <f aca="false">IF(AND((O444+P444)&gt;0,Q444=0),"Lapsed - Follow Up","")</f>
        <v/>
      </c>
      <c r="V444" s="9" t="n">
        <f aca="false">RANK(R444,$R$2:$R$759)+COUNTIF($R$2:R444,R444)-1</f>
        <v>544</v>
      </c>
      <c r="W444" s="9" t="str">
        <f aca="false">IF(U444="Lapsed - Follow Up",COUNTIF($U$2:U444,"Lapsed - Follow Up"),"")</f>
        <v/>
      </c>
    </row>
    <row r="445" customFormat="false" ht="15" hidden="false" customHeight="true" outlineLevel="0" collapsed="false">
      <c r="A445" s="9" t="str">
        <f aca="false">Raw_Donors!A445</f>
        <v>D1443</v>
      </c>
      <c r="B445" s="9" t="str">
        <f aca="false">IF(ISNUMBER(SEARCH("-DUP",A445)),"Duplicate ID","")</f>
        <v/>
      </c>
      <c r="C445" s="9" t="n">
        <f aca="false">Raw_Donors!B445</f>
        <v>41571</v>
      </c>
      <c r="D445" s="9" t="n">
        <f aca="false">Raw_Donors!C445</f>
        <v>0</v>
      </c>
      <c r="E445" s="9" t="str">
        <f aca="false">IFERROR(IF(Raw_Donors!D445="","Unknown",Raw_Donors!D445),"Unknown")</f>
        <v>Unknown</v>
      </c>
      <c r="F445" s="9" t="str">
        <f aca="false">IFERROR(IF(Raw_Donors!E445="","Unknown",Raw_Donors!E445),"Unknown")</f>
        <v>Male</v>
      </c>
      <c r="G445" s="9" t="str">
        <f aca="false">PROPER(TRIM(Raw_Donors!F445))</f>
        <v>Individual Donor</v>
      </c>
      <c r="H445" s="9" t="str">
        <f aca="false">IFERROR(IF(Raw_Donors!G445="","N",Raw_Donors!G445),"N")</f>
        <v>N</v>
      </c>
      <c r="I445" s="9" t="str">
        <f aca="false">IF(Raw_Donors!H445="","Not Rated",Raw_Donors!H445)</f>
        <v>Not Rated</v>
      </c>
      <c r="J445" s="9" t="str">
        <f aca="false">IF(TRIM(Raw_Donors!I445)="","Unknown",TRIM(Raw_Donors!I445))</f>
        <v>HOME</v>
      </c>
      <c r="K445" s="9" t="str">
        <f aca="false">Raw_Donors!J445</f>
        <v>N</v>
      </c>
      <c r="L445" s="9" t="n">
        <f aca="false">Raw_Donors!K445</f>
        <v>1</v>
      </c>
      <c r="M445" s="10" t="n">
        <f aca="false">IFERROR(VALUE(SUBSTITUTE(SUBSTITUTE(Raw_Donors!L445,"$",""),",","")),0)</f>
        <v>0</v>
      </c>
      <c r="N445" s="10" t="n">
        <f aca="false">IFERROR(VALUE(SUBSTITUTE(SUBSTITUTE(Raw_Donors!M445,"$",""),",","")),0)</f>
        <v>0</v>
      </c>
      <c r="O445" s="10" t="n">
        <f aca="false">IFERROR(VALUE(SUBSTITUTE(SUBSTITUTE(Raw_Donors!N445,"$",""),",","")),0)</f>
        <v>0</v>
      </c>
      <c r="P445" s="10" t="n">
        <f aca="false">IFERROR(VALUE(SUBSTITUTE(SUBSTITUTE(Raw_Donors!O445,"$",""),",","")),0)</f>
        <v>0</v>
      </c>
      <c r="Q445" s="10" t="n">
        <f aca="false">IFERROR(VALUE(SUBSTITUTE(SUBSTITUTE(Raw_Donors!P445,"$",""),",","")),0)</f>
        <v>0</v>
      </c>
      <c r="R445" s="10" t="n">
        <f aca="false">Raw_Donors!Q445</f>
        <v>180</v>
      </c>
      <c r="S445" s="9" t="str">
        <f aca="false">Raw_Donors!R445</f>
        <v>Y</v>
      </c>
      <c r="T445" s="9" t="str">
        <f aca="false">IF(Raw_Donors!S445="","",Raw_Donors!S445)</f>
        <v/>
      </c>
      <c r="U445" s="9" t="str">
        <f aca="false">IF(AND((O445+P445)&gt;0,Q445=0),"Lapsed - Follow Up","")</f>
        <v/>
      </c>
      <c r="V445" s="9" t="n">
        <f aca="false">RANK(R445,$R$2:$R$759)+COUNTIF($R$2:R445,R445)-1</f>
        <v>216</v>
      </c>
      <c r="W445" s="9" t="str">
        <f aca="false">IF(U445="Lapsed - Follow Up",COUNTIF($U$2:U445,"Lapsed - Follow Up"),"")</f>
        <v/>
      </c>
    </row>
    <row r="446" customFormat="false" ht="15" hidden="false" customHeight="true" outlineLevel="0" collapsed="false">
      <c r="A446" s="9" t="str">
        <f aca="false">Raw_Donors!A446</f>
        <v>D1444</v>
      </c>
      <c r="B446" s="9" t="str">
        <f aca="false">IF(ISNUMBER(SEARCH("-DUP",A446)),"Duplicate ID","")</f>
        <v/>
      </c>
      <c r="C446" s="9" t="n">
        <f aca="false">Raw_Donors!B446</f>
        <v>18210</v>
      </c>
      <c r="D446" s="9" t="n">
        <f aca="false">Raw_Donors!C446</f>
        <v>0</v>
      </c>
      <c r="E446" s="9" t="str">
        <f aca="false">IFERROR(IF(Raw_Donors!D446="","Unknown",Raw_Donors!D446),"Unknown")</f>
        <v>Unknown</v>
      </c>
      <c r="F446" s="9" t="str">
        <f aca="false">IFERROR(IF(Raw_Donors!E446="","Unknown",Raw_Donors!E446),"Unknown")</f>
        <v>Female</v>
      </c>
      <c r="G446" s="9" t="str">
        <f aca="false">PROPER(TRIM(Raw_Donors!F446))</f>
        <v>Individual Donor</v>
      </c>
      <c r="H446" s="9" t="str">
        <f aca="false">IFERROR(IF(Raw_Donors!G446="","N",Raw_Donors!G446),"N")</f>
        <v>N</v>
      </c>
      <c r="I446" s="9" t="str">
        <f aca="false">IF(Raw_Donors!H446="","Not Rated",Raw_Donors!H446)</f>
        <v>Not Rated</v>
      </c>
      <c r="J446" s="9" t="str">
        <f aca="false">IF(TRIM(Raw_Donors!I446)="","Unknown",TRIM(Raw_Donors!I446))</f>
        <v>HOME</v>
      </c>
      <c r="K446" s="9" t="str">
        <f aca="false">Raw_Donors!J446</f>
        <v>N</v>
      </c>
      <c r="L446" s="9" t="n">
        <f aca="false">Raw_Donors!K446</f>
        <v>1</v>
      </c>
      <c r="M446" s="10" t="n">
        <f aca="false">IFERROR(VALUE(SUBSTITUTE(SUBSTITUTE(Raw_Donors!L446,"$",""),",","")),0)</f>
        <v>0</v>
      </c>
      <c r="N446" s="10" t="n">
        <f aca="false">IFERROR(VALUE(SUBSTITUTE(SUBSTITUTE(Raw_Donors!M446,"$",""),",","")),0)</f>
        <v>0</v>
      </c>
      <c r="O446" s="10" t="n">
        <f aca="false">IFERROR(VALUE(SUBSTITUTE(SUBSTITUTE(Raw_Donors!N446,"$",""),",","")),0)</f>
        <v>0</v>
      </c>
      <c r="P446" s="10" t="n">
        <f aca="false">IFERROR(VALUE(SUBSTITUTE(SUBSTITUTE(Raw_Donors!O446,"$",""),",","")),0)</f>
        <v>0</v>
      </c>
      <c r="Q446" s="10" t="n">
        <f aca="false">IFERROR(VALUE(SUBSTITUTE(SUBSTITUTE(Raw_Donors!P446,"$",""),",","")),0)</f>
        <v>0</v>
      </c>
      <c r="R446" s="10" t="n">
        <f aca="false">Raw_Donors!Q446</f>
        <v>0</v>
      </c>
      <c r="S446" s="9" t="str">
        <f aca="false">Raw_Donors!R446</f>
        <v>N</v>
      </c>
      <c r="T446" s="9" t="str">
        <f aca="false">IF(Raw_Donors!S446="","",Raw_Donors!S446)</f>
        <v/>
      </c>
      <c r="U446" s="9" t="str">
        <f aca="false">IF(AND((O446+P446)&gt;0,Q446=0),"Lapsed - Follow Up","")</f>
        <v/>
      </c>
      <c r="V446" s="9" t="n">
        <f aca="false">RANK(R446,$R$2:$R$759)+COUNTIF($R$2:R446,R446)-1</f>
        <v>674</v>
      </c>
      <c r="W446" s="9" t="str">
        <f aca="false">IF(U446="Lapsed - Follow Up",COUNTIF($U$2:U446,"Lapsed - Follow Up"),"")</f>
        <v/>
      </c>
    </row>
    <row r="447" customFormat="false" ht="15" hidden="false" customHeight="true" outlineLevel="0" collapsed="false">
      <c r="A447" s="9" t="str">
        <f aca="false">Raw_Donors!A447</f>
        <v>D1445</v>
      </c>
      <c r="B447" s="9" t="str">
        <f aca="false">IF(ISNUMBER(SEARCH("-DUP",A447)),"Duplicate ID","")</f>
        <v/>
      </c>
      <c r="C447" s="9" t="n">
        <f aca="false">Raw_Donors!B447</f>
        <v>6349</v>
      </c>
      <c r="D447" s="9" t="n">
        <f aca="false">Raw_Donors!C447</f>
        <v>23</v>
      </c>
      <c r="E447" s="9" t="str">
        <f aca="false">IFERROR(IF(Raw_Donors!D447="","Unknown",Raw_Donors!D447),"Unknown")</f>
        <v>Unknown</v>
      </c>
      <c r="F447" s="9" t="str">
        <f aca="false">IFERROR(IF(Raw_Donors!E447="","Unknown",Raw_Donors!E447),"Unknown")</f>
        <v>Male</v>
      </c>
      <c r="G447" s="9" t="str">
        <f aca="false">PROPER(TRIM(Raw_Donors!F447))</f>
        <v>Individual Donor</v>
      </c>
      <c r="H447" s="9" t="str">
        <f aca="false">IFERROR(IF(Raw_Donors!G447="","N",Raw_Donors!G447),"N")</f>
        <v>N</v>
      </c>
      <c r="I447" s="9" t="str">
        <f aca="false">IF(Raw_Donors!H447="","Not Rated",Raw_Donors!H447)</f>
        <v>Not Rated</v>
      </c>
      <c r="J447" s="9" t="str">
        <f aca="false">IF(TRIM(Raw_Donors!I447)="","Unknown",TRIM(Raw_Donors!I447))</f>
        <v>CAMP</v>
      </c>
      <c r="K447" s="9" t="str">
        <f aca="false">Raw_Donors!J447</f>
        <v>Y</v>
      </c>
      <c r="L447" s="9" t="n">
        <f aca="false">Raw_Donors!K447</f>
        <v>0</v>
      </c>
      <c r="M447" s="10" t="n">
        <f aca="false">IFERROR(VALUE(SUBSTITUTE(SUBSTITUTE(Raw_Donors!L447,"$",""),",","")),0)</f>
        <v>1</v>
      </c>
      <c r="N447" s="10" t="n">
        <f aca="false">IFERROR(VALUE(SUBSTITUTE(SUBSTITUTE(Raw_Donors!M447,"$",""),",","")),0)</f>
        <v>0</v>
      </c>
      <c r="O447" s="10" t="n">
        <f aca="false">IFERROR(VALUE(SUBSTITUTE(SUBSTITUTE(Raw_Donors!N447,"$",""),",","")),0)</f>
        <v>0</v>
      </c>
      <c r="P447" s="10" t="n">
        <f aca="false">IFERROR(VALUE(SUBSTITUTE(SUBSTITUTE(Raw_Donors!O447,"$",""),",","")),0)</f>
        <v>0</v>
      </c>
      <c r="Q447" s="10" t="n">
        <f aca="false">IFERROR(VALUE(SUBSTITUTE(SUBSTITUTE(Raw_Donors!P447,"$",""),",","")),0)</f>
        <v>0</v>
      </c>
      <c r="R447" s="10" t="n">
        <f aca="false">Raw_Donors!Q447</f>
        <v>1</v>
      </c>
      <c r="S447" s="9" t="str">
        <f aca="false">Raw_Donors!R447</f>
        <v>Y</v>
      </c>
      <c r="T447" s="9" t="str">
        <f aca="false">IF(Raw_Donors!S447="","",Raw_Donors!S447)</f>
        <v>1994-09-10</v>
      </c>
      <c r="U447" s="9" t="str">
        <f aca="false">IF(AND((O447+P447)&gt;0,Q447=0),"Lapsed - Follow Up","")</f>
        <v/>
      </c>
      <c r="V447" s="9" t="n">
        <f aca="false">RANK(R447,$R$2:$R$759)+COUNTIF($R$2:R447,R447)-1</f>
        <v>545</v>
      </c>
      <c r="W447" s="9" t="str">
        <f aca="false">IF(U447="Lapsed - Follow Up",COUNTIF($U$2:U447,"Lapsed - Follow Up"),"")</f>
        <v/>
      </c>
    </row>
    <row r="448" customFormat="false" ht="15" hidden="false" customHeight="true" outlineLevel="0" collapsed="false">
      <c r="A448" s="9" t="str">
        <f aca="false">Raw_Donors!A448</f>
        <v>D1446</v>
      </c>
      <c r="B448" s="9" t="str">
        <f aca="false">IF(ISNUMBER(SEARCH("-DUP",A448)),"Duplicate ID","")</f>
        <v/>
      </c>
      <c r="C448" s="9" t="n">
        <f aca="false">Raw_Donors!B448</f>
        <v>0</v>
      </c>
      <c r="D448" s="9" t="n">
        <f aca="false">Raw_Donors!C448</f>
        <v>34</v>
      </c>
      <c r="E448" s="9" t="str">
        <f aca="false">IFERROR(IF(Raw_Donors!D448="","Unknown",Raw_Donors!D448),"Unknown")</f>
        <v>Unknown</v>
      </c>
      <c r="F448" s="9" t="str">
        <f aca="false">IFERROR(IF(Raw_Donors!E448="","Unknown",Raw_Donors!E448),"Unknown")</f>
        <v>Female</v>
      </c>
      <c r="G448" s="9" t="str">
        <f aca="false">PROPER(TRIM(Raw_Donors!F448))</f>
        <v>Individual Donor</v>
      </c>
      <c r="H448" s="9" t="str">
        <f aca="false">IFERROR(IF(Raw_Donors!G448="","N",Raw_Donors!G448),"N")</f>
        <v>N</v>
      </c>
      <c r="I448" s="9" t="str">
        <f aca="false">IF(Raw_Donors!H448="","Not Rated",Raw_Donors!H448)</f>
        <v>Not Rated</v>
      </c>
      <c r="J448" s="9" t="str">
        <f aca="false">IF(TRIM(Raw_Donors!I448)="","Unknown",TRIM(Raw_Donors!I448))</f>
        <v>HOME</v>
      </c>
      <c r="K448" s="9" t="str">
        <f aca="false">Raw_Donors!J448</f>
        <v>Y</v>
      </c>
      <c r="L448" s="9" t="n">
        <f aca="false">Raw_Donors!K448</f>
        <v>0</v>
      </c>
      <c r="M448" s="10" t="n">
        <f aca="false">IFERROR(VALUE(SUBSTITUTE(SUBSTITUTE(Raw_Donors!L448,"$",""),",","")),0)</f>
        <v>0</v>
      </c>
      <c r="N448" s="10" t="n">
        <f aca="false">IFERROR(VALUE(SUBSTITUTE(SUBSTITUTE(Raw_Donors!M448,"$",""),",","")),0)</f>
        <v>0</v>
      </c>
      <c r="O448" s="10" t="n">
        <f aca="false">IFERROR(VALUE(SUBSTITUTE(SUBSTITUTE(Raw_Donors!N448,"$",""),",","")),0)</f>
        <v>0</v>
      </c>
      <c r="P448" s="10" t="n">
        <f aca="false">IFERROR(VALUE(SUBSTITUTE(SUBSTITUTE(Raw_Donors!O448,"$",""),",","")),0)</f>
        <v>0</v>
      </c>
      <c r="Q448" s="10" t="n">
        <f aca="false">IFERROR(VALUE(SUBSTITUTE(SUBSTITUTE(Raw_Donors!P448,"$",""),",","")),0)</f>
        <v>0</v>
      </c>
      <c r="R448" s="10" t="n">
        <f aca="false">Raw_Donors!Q448</f>
        <v>5</v>
      </c>
      <c r="S448" s="9" t="str">
        <f aca="false">Raw_Donors!R448</f>
        <v>Y</v>
      </c>
      <c r="T448" s="9" t="str">
        <f aca="false">IF(Raw_Donors!S448="","",Raw_Donors!S448)</f>
        <v>1983-05-22</v>
      </c>
      <c r="U448" s="9" t="str">
        <f aca="false">IF(AND((O448+P448)&gt;0,Q448=0),"Lapsed - Follow Up","")</f>
        <v/>
      </c>
      <c r="V448" s="9" t="n">
        <f aca="false">RANK(R448,$R$2:$R$759)+COUNTIF($R$2:R448,R448)-1</f>
        <v>520</v>
      </c>
      <c r="W448" s="9" t="str">
        <f aca="false">IF(U448="Lapsed - Follow Up",COUNTIF($U$2:U448,"Lapsed - Follow Up"),"")</f>
        <v/>
      </c>
    </row>
    <row r="449" customFormat="false" ht="15" hidden="false" customHeight="true" outlineLevel="0" collapsed="false">
      <c r="A449" s="9" t="str">
        <f aca="false">Raw_Donors!A449</f>
        <v>D1447</v>
      </c>
      <c r="B449" s="9" t="str">
        <f aca="false">IF(ISNUMBER(SEARCH("-DUP",A449)),"Duplicate ID","")</f>
        <v/>
      </c>
      <c r="C449" s="9" t="n">
        <f aca="false">Raw_Donors!B449</f>
        <v>63936</v>
      </c>
      <c r="D449" s="9" t="n">
        <f aca="false">Raw_Donors!C449</f>
        <v>51</v>
      </c>
      <c r="E449" s="9" t="str">
        <f aca="false">IFERROR(IF(Raw_Donors!D449="","Unknown",Raw_Donors!D449),"Unknown")</f>
        <v>Unknown</v>
      </c>
      <c r="F449" s="9" t="str">
        <f aca="false">IFERROR(IF(Raw_Donors!E449="","Unknown",Raw_Donors!E449),"Unknown")</f>
        <v>Male</v>
      </c>
      <c r="G449" s="9" t="str">
        <f aca="false">PROPER(TRIM(Raw_Donors!F449))</f>
        <v>Community Partner</v>
      </c>
      <c r="H449" s="9" t="str">
        <f aca="false">IFERROR(IF(Raw_Donors!G449="","N",Raw_Donors!G449),"N")</f>
        <v>Y</v>
      </c>
      <c r="I449" s="9" t="str">
        <f aca="false">IF(Raw_Donors!H449="","Not Rated",Raw_Donors!H449)</f>
        <v>Not Rated</v>
      </c>
      <c r="J449" s="9" t="str">
        <f aca="false">IF(TRIM(Raw_Donors!I449)="","Unknown",TRIM(Raw_Donors!I449))</f>
        <v>HOME</v>
      </c>
      <c r="K449" s="9" t="str">
        <f aca="false">Raw_Donors!J449</f>
        <v>N</v>
      </c>
      <c r="L449" s="9" t="n">
        <f aca="false">Raw_Donors!K449</f>
        <v>0</v>
      </c>
      <c r="M449" s="10" t="n">
        <f aca="false">IFERROR(VALUE(SUBSTITUTE(SUBSTITUTE(Raw_Donors!L449,"$",""),",","")),0)</f>
        <v>0</v>
      </c>
      <c r="N449" s="10" t="n">
        <f aca="false">IFERROR(VALUE(SUBSTITUTE(SUBSTITUTE(Raw_Donors!M449,"$",""),",","")),0)</f>
        <v>0</v>
      </c>
      <c r="O449" s="10" t="n">
        <f aca="false">IFERROR(VALUE(SUBSTITUTE(SUBSTITUTE(Raw_Donors!N449,"$",""),",","")),0)</f>
        <v>0</v>
      </c>
      <c r="P449" s="10" t="n">
        <f aca="false">IFERROR(VALUE(SUBSTITUTE(SUBSTITUTE(Raw_Donors!O449,"$",""),",","")),0)</f>
        <v>0</v>
      </c>
      <c r="Q449" s="10" t="n">
        <f aca="false">IFERROR(VALUE(SUBSTITUTE(SUBSTITUTE(Raw_Donors!P449,"$",""),",","")),0)</f>
        <v>0</v>
      </c>
      <c r="R449" s="10" t="n">
        <f aca="false">Raw_Donors!Q449</f>
        <v>25</v>
      </c>
      <c r="S449" s="9" t="str">
        <f aca="false">Raw_Donors!R449</f>
        <v>Y</v>
      </c>
      <c r="T449" s="9" t="str">
        <f aca="false">IF(Raw_Donors!S449="","",Raw_Donors!S449)</f>
        <v>1966-09-16</v>
      </c>
      <c r="U449" s="9" t="str">
        <f aca="false">IF(AND((O449+P449)&gt;0,Q449=0),"Lapsed - Follow Up","")</f>
        <v/>
      </c>
      <c r="V449" s="9" t="n">
        <f aca="false">RANK(R449,$R$2:$R$759)+COUNTIF($R$2:R449,R449)-1</f>
        <v>450</v>
      </c>
      <c r="W449" s="9" t="str">
        <f aca="false">IF(U449="Lapsed - Follow Up",COUNTIF($U$2:U449,"Lapsed - Follow Up"),"")</f>
        <v/>
      </c>
    </row>
    <row r="450" customFormat="false" ht="15" hidden="false" customHeight="true" outlineLevel="0" collapsed="false">
      <c r="A450" s="9" t="str">
        <f aca="false">Raw_Donors!A450</f>
        <v>D1448</v>
      </c>
      <c r="B450" s="9" t="str">
        <f aca="false">IF(ISNUMBER(SEARCH("-DUP",A450)),"Duplicate ID","")</f>
        <v/>
      </c>
      <c r="C450" s="9" t="n">
        <f aca="false">Raw_Donors!B450</f>
        <v>58052</v>
      </c>
      <c r="D450" s="9" t="n">
        <f aca="false">Raw_Donors!C450</f>
        <v>41</v>
      </c>
      <c r="E450" s="9" t="str">
        <f aca="false">IFERROR(IF(Raw_Donors!D450="","Unknown",Raw_Donors!D450),"Unknown")</f>
        <v>Unknown</v>
      </c>
      <c r="F450" s="9" t="str">
        <f aca="false">IFERROR(IF(Raw_Donors!E450="","Unknown",Raw_Donors!E450),"Unknown")</f>
        <v>Female</v>
      </c>
      <c r="G450" s="9" t="str">
        <f aca="false">PROPER(TRIM(Raw_Donors!F450))</f>
        <v>Community Partner</v>
      </c>
      <c r="H450" s="9" t="str">
        <f aca="false">IFERROR(IF(Raw_Donors!G450="","N",Raw_Donors!G450),"N")</f>
        <v>Y</v>
      </c>
      <c r="I450" s="9" t="str">
        <f aca="false">IF(Raw_Donors!H450="","Not Rated",Raw_Donors!H450)</f>
        <v>Not Rated</v>
      </c>
      <c r="J450" s="9" t="str">
        <f aca="false">IF(TRIM(Raw_Donors!I450)="","Unknown",TRIM(Raw_Donors!I450))</f>
        <v>HOME</v>
      </c>
      <c r="K450" s="9" t="str">
        <f aca="false">Raw_Donors!J450</f>
        <v>Y</v>
      </c>
      <c r="L450" s="9" t="n">
        <f aca="false">Raw_Donors!K450</f>
        <v>1</v>
      </c>
      <c r="M450" s="10" t="n">
        <f aca="false">IFERROR(VALUE(SUBSTITUTE(SUBSTITUTE(Raw_Donors!L450,"$",""),",","")),0)</f>
        <v>0</v>
      </c>
      <c r="N450" s="10" t="n">
        <f aca="false">IFERROR(VALUE(SUBSTITUTE(SUBSTITUTE(Raw_Donors!M450,"$",""),",","")),0)</f>
        <v>0</v>
      </c>
      <c r="O450" s="10" t="n">
        <f aca="false">IFERROR(VALUE(SUBSTITUTE(SUBSTITUTE(Raw_Donors!N450,"$",""),",","")),0)</f>
        <v>0</v>
      </c>
      <c r="P450" s="10" t="n">
        <f aca="false">IFERROR(VALUE(SUBSTITUTE(SUBSTITUTE(Raw_Donors!O450,"$",""),",","")),0)</f>
        <v>0</v>
      </c>
      <c r="Q450" s="10" t="n">
        <f aca="false">IFERROR(VALUE(SUBSTITUTE(SUBSTITUTE(Raw_Donors!P450,"$",""),",","")),0)</f>
        <v>0</v>
      </c>
      <c r="R450" s="10" t="n">
        <f aca="false">Raw_Donors!Q450</f>
        <v>0</v>
      </c>
      <c r="S450" s="9" t="str">
        <f aca="false">Raw_Donors!R450</f>
        <v>N</v>
      </c>
      <c r="T450" s="9" t="str">
        <f aca="false">IF(Raw_Donors!S450="","",Raw_Donors!S450)</f>
        <v>1976-12-13</v>
      </c>
      <c r="U450" s="9" t="str">
        <f aca="false">IF(AND((O450+P450)&gt;0,Q450=0),"Lapsed - Follow Up","")</f>
        <v/>
      </c>
      <c r="V450" s="9" t="n">
        <f aca="false">RANK(R450,$R$2:$R$759)+COUNTIF($R$2:R450,R450)-1</f>
        <v>675</v>
      </c>
      <c r="W450" s="9" t="str">
        <f aca="false">IF(U450="Lapsed - Follow Up",COUNTIF($U$2:U450,"Lapsed - Follow Up"),"")</f>
        <v/>
      </c>
    </row>
    <row r="451" customFormat="false" ht="15" hidden="false" customHeight="true" outlineLevel="0" collapsed="false">
      <c r="A451" s="9" t="str">
        <f aca="false">Raw_Donors!A451</f>
        <v>D1449</v>
      </c>
      <c r="B451" s="9" t="str">
        <f aca="false">IF(ISNUMBER(SEARCH("-DUP",A451)),"Duplicate ID","")</f>
        <v/>
      </c>
      <c r="C451" s="9" t="n">
        <f aca="false">Raw_Donors!B451</f>
        <v>68465</v>
      </c>
      <c r="D451" s="9" t="n">
        <f aca="false">Raw_Donors!C451</f>
        <v>0</v>
      </c>
      <c r="E451" s="9" t="str">
        <f aca="false">IFERROR(IF(Raw_Donors!D451="","Unknown",Raw_Donors!D451),"Unknown")</f>
        <v>Unknown</v>
      </c>
      <c r="F451" s="9" t="str">
        <f aca="false">IFERROR(IF(Raw_Donors!E451="","Unknown",Raw_Donors!E451),"Unknown")</f>
        <v>Female</v>
      </c>
      <c r="G451" s="9" t="str">
        <f aca="false">PROPER(TRIM(Raw_Donors!F451))</f>
        <v>Individual Donor</v>
      </c>
      <c r="H451" s="9" t="str">
        <f aca="false">IFERROR(IF(Raw_Donors!G451="","N",Raw_Donors!G451),"N")</f>
        <v>N</v>
      </c>
      <c r="I451" s="9" t="str">
        <f aca="false">IF(Raw_Donors!H451="","Not Rated",Raw_Donors!H451)</f>
        <v>Not Rated</v>
      </c>
      <c r="J451" s="9" t="str">
        <f aca="false">IF(TRIM(Raw_Donors!I451)="","Unknown",TRIM(Raw_Donors!I451))</f>
        <v>HOME</v>
      </c>
      <c r="K451" s="9" t="str">
        <f aca="false">Raw_Donors!J451</f>
        <v>N</v>
      </c>
      <c r="L451" s="9" t="n">
        <f aca="false">Raw_Donors!K451</f>
        <v>1</v>
      </c>
      <c r="M451" s="10" t="n">
        <f aca="false">IFERROR(VALUE(SUBSTITUTE(SUBSTITUTE(Raw_Donors!L451,"$",""),",","")),0)</f>
        <v>100</v>
      </c>
      <c r="N451" s="10" t="n">
        <f aca="false">IFERROR(VALUE(SUBSTITUTE(SUBSTITUTE(Raw_Donors!M451,"$",""),",","")),0)</f>
        <v>0</v>
      </c>
      <c r="O451" s="10" t="n">
        <f aca="false">IFERROR(VALUE(SUBSTITUTE(SUBSTITUTE(Raw_Donors!N451,"$",""),",","")),0)</f>
        <v>0</v>
      </c>
      <c r="P451" s="10" t="n">
        <f aca="false">IFERROR(VALUE(SUBSTITUTE(SUBSTITUTE(Raw_Donors!O451,"$",""),",","")),0)</f>
        <v>0</v>
      </c>
      <c r="Q451" s="10" t="n">
        <f aca="false">IFERROR(VALUE(SUBSTITUTE(SUBSTITUTE(Raw_Donors!P451,"$",""),",","")),0)</f>
        <v>0</v>
      </c>
      <c r="R451" s="10" t="n">
        <f aca="false">Raw_Donors!Q451</f>
        <v>100</v>
      </c>
      <c r="S451" s="9" t="str">
        <f aca="false">Raw_Donors!R451</f>
        <v>Y</v>
      </c>
      <c r="T451" s="9" t="str">
        <f aca="false">IF(Raw_Donors!S451="","",Raw_Donors!S451)</f>
        <v/>
      </c>
      <c r="U451" s="9" t="str">
        <f aca="false">IF(AND((O451+P451)&gt;0,Q451=0),"Lapsed - Follow Up","")</f>
        <v/>
      </c>
      <c r="V451" s="9" t="n">
        <f aca="false">RANK(R451,$R$2:$R$759)+COUNTIF($R$2:R451,R451)-1</f>
        <v>288</v>
      </c>
      <c r="W451" s="9" t="str">
        <f aca="false">IF(U451="Lapsed - Follow Up",COUNTIF($U$2:U451,"Lapsed - Follow Up"),"")</f>
        <v/>
      </c>
    </row>
    <row r="452" customFormat="false" ht="15" hidden="false" customHeight="true" outlineLevel="0" collapsed="false">
      <c r="A452" s="9" t="str">
        <f aca="false">Raw_Donors!A452</f>
        <v>D1450</v>
      </c>
      <c r="B452" s="9" t="str">
        <f aca="false">IF(ISNUMBER(SEARCH("-DUP",A452)),"Duplicate ID","")</f>
        <v/>
      </c>
      <c r="C452" s="9" t="n">
        <f aca="false">Raw_Donors!B452</f>
        <v>61024</v>
      </c>
      <c r="D452" s="9" t="n">
        <f aca="false">Raw_Donors!C452</f>
        <v>0</v>
      </c>
      <c r="E452" s="9" t="str">
        <f aca="false">IFERROR(IF(Raw_Donors!D452="","Unknown",Raw_Donors!D452),"Unknown")</f>
        <v>Single</v>
      </c>
      <c r="F452" s="9" t="str">
        <f aca="false">IFERROR(IF(Raw_Donors!E452="","Unknown",Raw_Donors!E452),"Unknown")</f>
        <v>Female</v>
      </c>
      <c r="G452" s="9" t="str">
        <f aca="false">PROPER(TRIM(Raw_Donors!F452))</f>
        <v>Individual Donor</v>
      </c>
      <c r="H452" s="9" t="str">
        <f aca="false">IFERROR(IF(Raw_Donors!G452="","N",Raw_Donors!G452),"N")</f>
        <v>N</v>
      </c>
      <c r="I452" s="9" t="str">
        <f aca="false">IF(Raw_Donors!H452="","Not Rated",Raw_Donors!H452)</f>
        <v>Not Rated</v>
      </c>
      <c r="J452" s="9" t="str">
        <f aca="false">IF(TRIM(Raw_Donors!I452)="","Unknown",TRIM(Raw_Donors!I452))</f>
        <v>HOME</v>
      </c>
      <c r="K452" s="9" t="str">
        <f aca="false">Raw_Donors!J452</f>
        <v>N</v>
      </c>
      <c r="L452" s="9" t="n">
        <f aca="false">Raw_Donors!K452</f>
        <v>1</v>
      </c>
      <c r="M452" s="10" t="n">
        <f aca="false">IFERROR(VALUE(SUBSTITUTE(SUBSTITUTE(Raw_Donors!L452,"$",""),",","")),0)</f>
        <v>0</v>
      </c>
      <c r="N452" s="10" t="n">
        <f aca="false">IFERROR(VALUE(SUBSTITUTE(SUBSTITUTE(Raw_Donors!M452,"$",""),",","")),0)</f>
        <v>0</v>
      </c>
      <c r="O452" s="10" t="n">
        <f aca="false">IFERROR(VALUE(SUBSTITUTE(SUBSTITUTE(Raw_Donors!N452,"$",""),",","")),0)</f>
        <v>0</v>
      </c>
      <c r="P452" s="10" t="n">
        <f aca="false">IFERROR(VALUE(SUBSTITUTE(SUBSTITUTE(Raw_Donors!O452,"$",""),",","")),0)</f>
        <v>0</v>
      </c>
      <c r="Q452" s="10" t="n">
        <f aca="false">IFERROR(VALUE(SUBSTITUTE(SUBSTITUTE(Raw_Donors!P452,"$",""),",","")),0)</f>
        <v>125</v>
      </c>
      <c r="R452" s="10" t="n">
        <f aca="false">Raw_Donors!Q452</f>
        <v>125</v>
      </c>
      <c r="S452" s="9" t="str">
        <f aca="false">Raw_Donors!R452</f>
        <v>Y</v>
      </c>
      <c r="T452" s="9" t="str">
        <f aca="false">IF(Raw_Donors!S452="","",Raw_Donors!S452)</f>
        <v/>
      </c>
      <c r="U452" s="9" t="str">
        <f aca="false">IF(AND((O452+P452)&gt;0,Q452=0),"Lapsed - Follow Up","")</f>
        <v/>
      </c>
      <c r="V452" s="9" t="n">
        <f aca="false">RANK(R452,$R$2:$R$759)+COUNTIF($R$2:R452,R452)-1</f>
        <v>244</v>
      </c>
      <c r="W452" s="9" t="str">
        <f aca="false">IF(U452="Lapsed - Follow Up",COUNTIF($U$2:U452,"Lapsed - Follow Up"),"")</f>
        <v/>
      </c>
    </row>
    <row r="453" customFormat="false" ht="15" hidden="false" customHeight="true" outlineLevel="0" collapsed="false">
      <c r="A453" s="9" t="str">
        <f aca="false">Raw_Donors!A453</f>
        <v>D1451</v>
      </c>
      <c r="B453" s="9" t="str">
        <f aca="false">IF(ISNUMBER(SEARCH("-DUP",A453)),"Duplicate ID","")</f>
        <v/>
      </c>
      <c r="C453" s="9" t="n">
        <f aca="false">Raw_Donors!B453</f>
        <v>53237</v>
      </c>
      <c r="D453" s="9" t="n">
        <f aca="false">Raw_Donors!C453</f>
        <v>51</v>
      </c>
      <c r="E453" s="9" t="str">
        <f aca="false">IFERROR(IF(Raw_Donors!D453="","Unknown",Raw_Donors!D453),"Unknown")</f>
        <v>Unknown</v>
      </c>
      <c r="F453" s="9" t="str">
        <f aca="false">IFERROR(IF(Raw_Donors!E453="","Unknown",Raw_Donors!E453),"Unknown")</f>
        <v>Female</v>
      </c>
      <c r="G453" s="9" t="str">
        <f aca="false">PROPER(TRIM(Raw_Donors!F453))</f>
        <v>Individual Donor</v>
      </c>
      <c r="H453" s="9" t="str">
        <f aca="false">IFERROR(IF(Raw_Donors!G453="","N",Raw_Donors!G453),"N")</f>
        <v>N</v>
      </c>
      <c r="I453" s="9" t="str">
        <f aca="false">IF(Raw_Donors!H453="","Not Rated",Raw_Donors!H453)</f>
        <v>Not Rated</v>
      </c>
      <c r="J453" s="9" t="str">
        <f aca="false">IF(TRIM(Raw_Donors!I453)="","Unknown",TRIM(Raw_Donors!I453))</f>
        <v>HOME</v>
      </c>
      <c r="K453" s="9" t="str">
        <f aca="false">Raw_Donors!J453</f>
        <v>N</v>
      </c>
      <c r="L453" s="9" t="n">
        <f aca="false">Raw_Donors!K453</f>
        <v>0</v>
      </c>
      <c r="M453" s="10" t="n">
        <f aca="false">IFERROR(VALUE(SUBSTITUTE(SUBSTITUTE(Raw_Donors!L453,"$",""),",","")),0)</f>
        <v>0</v>
      </c>
      <c r="N453" s="10" t="n">
        <f aca="false">IFERROR(VALUE(SUBSTITUTE(SUBSTITUTE(Raw_Donors!M453,"$",""),",","")),0)</f>
        <v>0</v>
      </c>
      <c r="O453" s="10" t="n">
        <f aca="false">IFERROR(VALUE(SUBSTITUTE(SUBSTITUTE(Raw_Donors!N453,"$",""),",","")),0)</f>
        <v>0</v>
      </c>
      <c r="P453" s="10" t="n">
        <f aca="false">IFERROR(VALUE(SUBSTITUTE(SUBSTITUTE(Raw_Donors!O453,"$",""),",","")),0)</f>
        <v>0</v>
      </c>
      <c r="Q453" s="10" t="n">
        <f aca="false">IFERROR(VALUE(SUBSTITUTE(SUBSTITUTE(Raw_Donors!P453,"$",""),",","")),0)</f>
        <v>0</v>
      </c>
      <c r="R453" s="10" t="n">
        <f aca="false">Raw_Donors!Q453</f>
        <v>0</v>
      </c>
      <c r="S453" s="9" t="str">
        <f aca="false">Raw_Donors!R453</f>
        <v>N</v>
      </c>
      <c r="T453" s="9" t="str">
        <f aca="false">IF(Raw_Donors!S453="","",Raw_Donors!S453)</f>
        <v>1966-09-10</v>
      </c>
      <c r="U453" s="9" t="str">
        <f aca="false">IF(AND((O453+P453)&gt;0,Q453=0),"Lapsed - Follow Up","")</f>
        <v/>
      </c>
      <c r="V453" s="9" t="n">
        <f aca="false">RANK(R453,$R$2:$R$759)+COUNTIF($R$2:R453,R453)-1</f>
        <v>676</v>
      </c>
      <c r="W453" s="9" t="str">
        <f aca="false">IF(U453="Lapsed - Follow Up",COUNTIF($U$2:U453,"Lapsed - Follow Up"),"")</f>
        <v/>
      </c>
    </row>
    <row r="454" customFormat="false" ht="15" hidden="false" customHeight="true" outlineLevel="0" collapsed="false">
      <c r="A454" s="9" t="str">
        <f aca="false">Raw_Donors!A454</f>
        <v>D1452</v>
      </c>
      <c r="B454" s="9" t="str">
        <f aca="false">IF(ISNUMBER(SEARCH("-DUP",A454)),"Duplicate ID","")</f>
        <v/>
      </c>
      <c r="C454" s="9" t="n">
        <f aca="false">Raw_Donors!B454</f>
        <v>99753</v>
      </c>
      <c r="D454" s="9" t="n">
        <f aca="false">Raw_Donors!C454</f>
        <v>30</v>
      </c>
      <c r="E454" s="9" t="str">
        <f aca="false">IFERROR(IF(Raw_Donors!D454="","Unknown",Raw_Donors!D454),"Unknown")</f>
        <v>Unknown</v>
      </c>
      <c r="F454" s="9" t="str">
        <f aca="false">IFERROR(IF(Raw_Donors!E454="","Unknown",Raw_Donors!E454),"Unknown")</f>
        <v>Unknown</v>
      </c>
      <c r="G454" s="9" t="str">
        <f aca="false">PROPER(TRIM(Raw_Donors!F454))</f>
        <v>Individual Donor</v>
      </c>
      <c r="H454" s="9" t="str">
        <f aca="false">IFERROR(IF(Raw_Donors!G454="","N",Raw_Donors!G454),"N")</f>
        <v>N</v>
      </c>
      <c r="I454" s="9" t="str">
        <f aca="false">IF(Raw_Donors!H454="","Not Rated",Raw_Donors!H454)</f>
        <v>Not Rated</v>
      </c>
      <c r="J454" s="9" t="str">
        <f aca="false">IF(TRIM(Raw_Donors!I454)="","Unknown",TRIM(Raw_Donors!I454))</f>
        <v>HOME</v>
      </c>
      <c r="K454" s="9" t="str">
        <f aca="false">Raw_Donors!J454</f>
        <v>N</v>
      </c>
      <c r="L454" s="9" t="n">
        <f aca="false">Raw_Donors!K454</f>
        <v>0</v>
      </c>
      <c r="M454" s="10" t="n">
        <f aca="false">IFERROR(VALUE(SUBSTITUTE(SUBSTITUTE(Raw_Donors!L454,"$",""),",","")),0)</f>
        <v>144</v>
      </c>
      <c r="N454" s="10" t="n">
        <f aca="false">IFERROR(VALUE(SUBSTITUTE(SUBSTITUTE(Raw_Donors!M454,"$",""),",","")),0)</f>
        <v>0</v>
      </c>
      <c r="O454" s="10" t="n">
        <f aca="false">IFERROR(VALUE(SUBSTITUTE(SUBSTITUTE(Raw_Donors!N454,"$",""),",","")),0)</f>
        <v>0</v>
      </c>
      <c r="P454" s="10" t="n">
        <f aca="false">IFERROR(VALUE(SUBSTITUTE(SUBSTITUTE(Raw_Donors!O454,"$",""),",","")),0)</f>
        <v>0</v>
      </c>
      <c r="Q454" s="10" t="n">
        <f aca="false">IFERROR(VALUE(SUBSTITUTE(SUBSTITUTE(Raw_Donors!P454,"$",""),",","")),0)</f>
        <v>0</v>
      </c>
      <c r="R454" s="10" t="n">
        <f aca="false">Raw_Donors!Q454</f>
        <v>145</v>
      </c>
      <c r="S454" s="9" t="str">
        <f aca="false">Raw_Donors!R454</f>
        <v>Y</v>
      </c>
      <c r="T454" s="9" t="str">
        <f aca="false">IF(Raw_Donors!S454="","",Raw_Donors!S454)</f>
        <v>1987-01-23</v>
      </c>
      <c r="U454" s="9" t="str">
        <f aca="false">IF(AND((O454+P454)&gt;0,Q454=0),"Lapsed - Follow Up","")</f>
        <v/>
      </c>
      <c r="V454" s="9" t="n">
        <f aca="false">RANK(R454,$R$2:$R$759)+COUNTIF($R$2:R454,R454)-1</f>
        <v>235</v>
      </c>
      <c r="W454" s="9" t="str">
        <f aca="false">IF(U454="Lapsed - Follow Up",COUNTIF($U$2:U454,"Lapsed - Follow Up"),"")</f>
        <v/>
      </c>
    </row>
    <row r="455" customFormat="false" ht="15" hidden="false" customHeight="true" outlineLevel="0" collapsed="false">
      <c r="A455" s="9" t="str">
        <f aca="false">Raw_Donors!A455</f>
        <v>D1453</v>
      </c>
      <c r="B455" s="9" t="str">
        <f aca="false">IF(ISNUMBER(SEARCH("-DUP",A455)),"Duplicate ID","")</f>
        <v/>
      </c>
      <c r="C455" s="9" t="n">
        <f aca="false">Raw_Donors!B455</f>
        <v>72938</v>
      </c>
      <c r="D455" s="9" t="n">
        <f aca="false">Raw_Donors!C455</f>
        <v>56</v>
      </c>
      <c r="E455" s="9" t="str">
        <f aca="false">IFERROR(IF(Raw_Donors!D455="","Unknown",Raw_Donors!D455),"Unknown")</f>
        <v>Unknown</v>
      </c>
      <c r="F455" s="9" t="str">
        <f aca="false">IFERROR(IF(Raw_Donors!E455="","Unknown",Raw_Donors!E455),"Unknown")</f>
        <v>Male</v>
      </c>
      <c r="G455" s="9" t="str">
        <f aca="false">PROPER(TRIM(Raw_Donors!F455))</f>
        <v>Individual Donor</v>
      </c>
      <c r="H455" s="9" t="str">
        <f aca="false">IFERROR(IF(Raw_Donors!G455="","N",Raw_Donors!G455),"N")</f>
        <v>N</v>
      </c>
      <c r="I455" s="9" t="str">
        <f aca="false">IF(Raw_Donors!H455="","Not Rated",Raw_Donors!H455)</f>
        <v>Not Rated</v>
      </c>
      <c r="J455" s="9" t="str">
        <f aca="false">IF(TRIM(Raw_Donors!I455)="","Unknown",TRIM(Raw_Donors!I455))</f>
        <v>HOME</v>
      </c>
      <c r="K455" s="9" t="str">
        <f aca="false">Raw_Donors!J455</f>
        <v>N</v>
      </c>
      <c r="L455" s="9" t="n">
        <f aca="false">Raw_Donors!K455</f>
        <v>0</v>
      </c>
      <c r="M455" s="10" t="n">
        <f aca="false">IFERROR(VALUE(SUBSTITUTE(SUBSTITUTE(Raw_Donors!L455,"$",""),",","")),0)</f>
        <v>0</v>
      </c>
      <c r="N455" s="10" t="n">
        <f aca="false">IFERROR(VALUE(SUBSTITUTE(SUBSTITUTE(Raw_Donors!M455,"$",""),",","")),0)</f>
        <v>0</v>
      </c>
      <c r="O455" s="10" t="n">
        <f aca="false">IFERROR(VALUE(SUBSTITUTE(SUBSTITUTE(Raw_Donors!N455,"$",""),",","")),0)</f>
        <v>0</v>
      </c>
      <c r="P455" s="10" t="n">
        <f aca="false">IFERROR(VALUE(SUBSTITUTE(SUBSTITUTE(Raw_Donors!O455,"$",""),",","")),0)</f>
        <v>0</v>
      </c>
      <c r="Q455" s="10" t="n">
        <f aca="false">IFERROR(VALUE(SUBSTITUTE(SUBSTITUTE(Raw_Donors!P455,"$",""),",","")),0)</f>
        <v>0</v>
      </c>
      <c r="R455" s="10" t="n">
        <f aca="false">Raw_Donors!Q455</f>
        <v>0</v>
      </c>
      <c r="S455" s="9" t="str">
        <f aca="false">Raw_Donors!R455</f>
        <v>N</v>
      </c>
      <c r="T455" s="9" t="str">
        <f aca="false">IF(Raw_Donors!S455="","",Raw_Donors!S455)</f>
        <v>1961-09-10</v>
      </c>
      <c r="U455" s="9" t="str">
        <f aca="false">IF(AND((O455+P455)&gt;0,Q455=0),"Lapsed - Follow Up","")</f>
        <v/>
      </c>
      <c r="V455" s="9" t="n">
        <f aca="false">RANK(R455,$R$2:$R$759)+COUNTIF($R$2:R455,R455)-1</f>
        <v>677</v>
      </c>
      <c r="W455" s="9" t="str">
        <f aca="false">IF(U455="Lapsed - Follow Up",COUNTIF($U$2:U455,"Lapsed - Follow Up"),"")</f>
        <v/>
      </c>
    </row>
    <row r="456" customFormat="false" ht="15" hidden="false" customHeight="true" outlineLevel="0" collapsed="false">
      <c r="A456" s="9" t="str">
        <f aca="false">Raw_Donors!A456</f>
        <v>D1454</v>
      </c>
      <c r="B456" s="9" t="str">
        <f aca="false">IF(ISNUMBER(SEARCH("-DUP",A456)),"Duplicate ID","")</f>
        <v/>
      </c>
      <c r="C456" s="9" t="n">
        <f aca="false">Raw_Donors!B456</f>
        <v>63053</v>
      </c>
      <c r="D456" s="9" t="n">
        <f aca="false">Raw_Donors!C456</f>
        <v>68</v>
      </c>
      <c r="E456" s="9" t="str">
        <f aca="false">IFERROR(IF(Raw_Donors!D456="","Unknown",Raw_Donors!D456),"Unknown")</f>
        <v>Unknown</v>
      </c>
      <c r="F456" s="9" t="str">
        <f aca="false">IFERROR(IF(Raw_Donors!E456="","Unknown",Raw_Donors!E456),"Unknown")</f>
        <v>Female</v>
      </c>
      <c r="G456" s="9" t="str">
        <f aca="false">PROPER(TRIM(Raw_Donors!F456))</f>
        <v>Community Partner</v>
      </c>
      <c r="H456" s="9" t="str">
        <f aca="false">IFERROR(IF(Raw_Donors!G456="","N",Raw_Donors!G456),"N")</f>
        <v>N</v>
      </c>
      <c r="I456" s="9" t="str">
        <f aca="false">IF(Raw_Donors!H456="","Not Rated",Raw_Donors!H456)</f>
        <v>Not Rated</v>
      </c>
      <c r="J456" s="9" t="str">
        <f aca="false">IF(TRIM(Raw_Donors!I456)="","Unknown",TRIM(Raw_Donors!I456))</f>
        <v>Unknown</v>
      </c>
      <c r="K456" s="9" t="str">
        <f aca="false">Raw_Donors!J456</f>
        <v>N</v>
      </c>
      <c r="L456" s="9" t="n">
        <f aca="false">Raw_Donors!K456</f>
        <v>0</v>
      </c>
      <c r="M456" s="10" t="n">
        <f aca="false">IFERROR(VALUE(SUBSTITUTE(SUBSTITUTE(Raw_Donors!L456,"$",""),",","")),0)</f>
        <v>0</v>
      </c>
      <c r="N456" s="10" t="n">
        <f aca="false">IFERROR(VALUE(SUBSTITUTE(SUBSTITUTE(Raw_Donors!M456,"$",""),",","")),0)</f>
        <v>15</v>
      </c>
      <c r="O456" s="10" t="n">
        <f aca="false">IFERROR(VALUE(SUBSTITUTE(SUBSTITUTE(Raw_Donors!N456,"$",""),",","")),0)</f>
        <v>0</v>
      </c>
      <c r="P456" s="10" t="n">
        <f aca="false">IFERROR(VALUE(SUBSTITUTE(SUBSTITUTE(Raw_Donors!O456,"$",""),",","")),0)</f>
        <v>0</v>
      </c>
      <c r="Q456" s="10" t="n">
        <f aca="false">IFERROR(VALUE(SUBSTITUTE(SUBSTITUTE(Raw_Donors!P456,"$",""),",","")),0)</f>
        <v>0</v>
      </c>
      <c r="R456" s="10" t="n">
        <f aca="false">Raw_Donors!Q456</f>
        <v>470</v>
      </c>
      <c r="S456" s="9" t="str">
        <f aca="false">Raw_Donors!R456</f>
        <v>Y</v>
      </c>
      <c r="T456" s="9" t="str">
        <f aca="false">IF(Raw_Donors!S456="","",Raw_Donors!S456)</f>
        <v>1949-06-17</v>
      </c>
      <c r="U456" s="9" t="str">
        <f aca="false">IF(AND((O456+P456)&gt;0,Q456=0),"Lapsed - Follow Up","")</f>
        <v/>
      </c>
      <c r="V456" s="9" t="n">
        <f aca="false">RANK(R456,$R$2:$R$759)+COUNTIF($R$2:R456,R456)-1</f>
        <v>103</v>
      </c>
      <c r="W456" s="9" t="str">
        <f aca="false">IF(U456="Lapsed - Follow Up",COUNTIF($U$2:U456,"Lapsed - Follow Up"),"")</f>
        <v/>
      </c>
    </row>
    <row r="457" customFormat="false" ht="15" hidden="false" customHeight="true" outlineLevel="0" collapsed="false">
      <c r="A457" s="9" t="str">
        <f aca="false">Raw_Donors!A457</f>
        <v>D1455</v>
      </c>
      <c r="B457" s="9" t="str">
        <f aca="false">IF(ISNUMBER(SEARCH("-DUP",A457)),"Duplicate ID","")</f>
        <v/>
      </c>
      <c r="C457" s="9" t="n">
        <f aca="false">Raw_Donors!B457</f>
        <v>18451</v>
      </c>
      <c r="D457" s="9" t="n">
        <f aca="false">Raw_Donors!C457</f>
        <v>33</v>
      </c>
      <c r="E457" s="9" t="str">
        <f aca="false">IFERROR(IF(Raw_Donors!D457="","Unknown",Raw_Donors!D457),"Unknown")</f>
        <v>Unknown</v>
      </c>
      <c r="F457" s="9" t="str">
        <f aca="false">IFERROR(IF(Raw_Donors!E457="","Unknown",Raw_Donors!E457),"Unknown")</f>
        <v>Female</v>
      </c>
      <c r="G457" s="9" t="str">
        <f aca="false">PROPER(TRIM(Raw_Donors!F457))</f>
        <v>Individual Donor</v>
      </c>
      <c r="H457" s="9" t="str">
        <f aca="false">IFERROR(IF(Raw_Donors!G457="","N",Raw_Donors!G457),"N")</f>
        <v>N</v>
      </c>
      <c r="I457" s="9" t="str">
        <f aca="false">IF(Raw_Donors!H457="","Not Rated",Raw_Donors!H457)</f>
        <v>Not Rated</v>
      </c>
      <c r="J457" s="9" t="str">
        <f aca="false">IF(TRIM(Raw_Donors!I457)="","Unknown",TRIM(Raw_Donors!I457))</f>
        <v>HOME</v>
      </c>
      <c r="K457" s="9" t="str">
        <f aca="false">Raw_Donors!J457</f>
        <v>Y</v>
      </c>
      <c r="L457" s="9" t="n">
        <f aca="false">Raw_Donors!K457</f>
        <v>0</v>
      </c>
      <c r="M457" s="10" t="n">
        <f aca="false">IFERROR(VALUE(SUBSTITUTE(SUBSTITUTE(Raw_Donors!L457,"$",""),",","")),0)</f>
        <v>0</v>
      </c>
      <c r="N457" s="10" t="n">
        <f aca="false">IFERROR(VALUE(SUBSTITUTE(SUBSTITUTE(Raw_Donors!M457,"$",""),",","")),0)</f>
        <v>0</v>
      </c>
      <c r="O457" s="10" t="n">
        <f aca="false">IFERROR(VALUE(SUBSTITUTE(SUBSTITUTE(Raw_Donors!N457,"$",""),",","")),0)</f>
        <v>0</v>
      </c>
      <c r="P457" s="10" t="n">
        <f aca="false">IFERROR(VALUE(SUBSTITUTE(SUBSTITUTE(Raw_Donors!O457,"$",""),",","")),0)</f>
        <v>0</v>
      </c>
      <c r="Q457" s="10" t="n">
        <f aca="false">IFERROR(VALUE(SUBSTITUTE(SUBSTITUTE(Raw_Donors!P457,"$",""),",","")),0)</f>
        <v>0</v>
      </c>
      <c r="R457" s="10" t="n">
        <f aca="false">Raw_Donors!Q457</f>
        <v>20</v>
      </c>
      <c r="S457" s="9" t="str">
        <f aca="false">Raw_Donors!R457</f>
        <v>Y</v>
      </c>
      <c r="T457" s="9" t="str">
        <f aca="false">IF(Raw_Donors!S457="","",Raw_Donors!S457)</f>
        <v>1984-09-26</v>
      </c>
      <c r="U457" s="9" t="str">
        <f aca="false">IF(AND((O457+P457)&gt;0,Q457=0),"Lapsed - Follow Up","")</f>
        <v/>
      </c>
      <c r="V457" s="9" t="n">
        <f aca="false">RANK(R457,$R$2:$R$759)+COUNTIF($R$2:R457,R457)-1</f>
        <v>471</v>
      </c>
      <c r="W457" s="9" t="str">
        <f aca="false">IF(U457="Lapsed - Follow Up",COUNTIF($U$2:U457,"Lapsed - Follow Up"),"")</f>
        <v/>
      </c>
    </row>
    <row r="458" customFormat="false" ht="15" hidden="false" customHeight="true" outlineLevel="0" collapsed="false">
      <c r="A458" s="9" t="str">
        <f aca="false">Raw_Donors!A458</f>
        <v>D1456</v>
      </c>
      <c r="B458" s="9" t="str">
        <f aca="false">IF(ISNUMBER(SEARCH("-DUP",A458)),"Duplicate ID","")</f>
        <v/>
      </c>
      <c r="C458" s="9" t="n">
        <f aca="false">Raw_Donors!B458</f>
        <v>47345</v>
      </c>
      <c r="D458" s="9" t="n">
        <f aca="false">Raw_Donors!C458</f>
        <v>0</v>
      </c>
      <c r="E458" s="9" t="str">
        <f aca="false">IFERROR(IF(Raw_Donors!D458="","Unknown",Raw_Donors!D458),"Unknown")</f>
        <v>Unknown</v>
      </c>
      <c r="F458" s="9" t="str">
        <f aca="false">IFERROR(IF(Raw_Donors!E458="","Unknown",Raw_Donors!E458),"Unknown")</f>
        <v>Female</v>
      </c>
      <c r="G458" s="9" t="str">
        <f aca="false">PROPER(TRIM(Raw_Donors!F458))</f>
        <v>Individual Donor</v>
      </c>
      <c r="H458" s="9" t="str">
        <f aca="false">IFERROR(IF(Raw_Donors!G458="","N",Raw_Donors!G458),"N")</f>
        <v>N</v>
      </c>
      <c r="I458" s="9" t="str">
        <f aca="false">IF(Raw_Donors!H458="","Not Rated",Raw_Donors!H458)</f>
        <v>Not Rated</v>
      </c>
      <c r="J458" s="9" t="str">
        <f aca="false">IF(TRIM(Raw_Donors!I458)="","Unknown",TRIM(Raw_Donors!I458))</f>
        <v>HOME</v>
      </c>
      <c r="K458" s="9" t="str">
        <f aca="false">Raw_Donors!J458</f>
        <v>N</v>
      </c>
      <c r="L458" s="9" t="n">
        <f aca="false">Raw_Donors!K458</f>
        <v>1</v>
      </c>
      <c r="M458" s="10" t="n">
        <f aca="false">IFERROR(VALUE(SUBSTITUTE(SUBSTITUTE(Raw_Donors!L458,"$",""),",","")),0)</f>
        <v>0</v>
      </c>
      <c r="N458" s="10" t="n">
        <f aca="false">IFERROR(VALUE(SUBSTITUTE(SUBSTITUTE(Raw_Donors!M458,"$",""),",","")),0)</f>
        <v>0</v>
      </c>
      <c r="O458" s="10" t="n">
        <f aca="false">IFERROR(VALUE(SUBSTITUTE(SUBSTITUTE(Raw_Donors!N458,"$",""),",","")),0)</f>
        <v>0</v>
      </c>
      <c r="P458" s="10" t="n">
        <f aca="false">IFERROR(VALUE(SUBSTITUTE(SUBSTITUTE(Raw_Donors!O458,"$",""),",","")),0)</f>
        <v>0</v>
      </c>
      <c r="Q458" s="10" t="n">
        <f aca="false">IFERROR(VALUE(SUBSTITUTE(SUBSTITUTE(Raw_Donors!P458,"$",""),",","")),0)</f>
        <v>0</v>
      </c>
      <c r="R458" s="10" t="n">
        <f aca="false">Raw_Donors!Q458</f>
        <v>1</v>
      </c>
      <c r="S458" s="9" t="str">
        <f aca="false">Raw_Donors!R458</f>
        <v>Y</v>
      </c>
      <c r="T458" s="9" t="str">
        <f aca="false">IF(Raw_Donors!S458="","",Raw_Donors!S458)</f>
        <v/>
      </c>
      <c r="U458" s="9" t="str">
        <f aca="false">IF(AND((O458+P458)&gt;0,Q458=0),"Lapsed - Follow Up","")</f>
        <v/>
      </c>
      <c r="V458" s="9" t="n">
        <f aca="false">RANK(R458,$R$2:$R$759)+COUNTIF($R$2:R458,R458)-1</f>
        <v>546</v>
      </c>
      <c r="W458" s="9" t="str">
        <f aca="false">IF(U458="Lapsed - Follow Up",COUNTIF($U$2:U458,"Lapsed - Follow Up"),"")</f>
        <v/>
      </c>
    </row>
    <row r="459" customFormat="false" ht="15" hidden="false" customHeight="true" outlineLevel="0" collapsed="false">
      <c r="A459" s="9" t="str">
        <f aca="false">Raw_Donors!A459</f>
        <v>D1457</v>
      </c>
      <c r="B459" s="9" t="str">
        <f aca="false">IF(ISNUMBER(SEARCH("-DUP",A459)),"Duplicate ID","")</f>
        <v/>
      </c>
      <c r="C459" s="9" t="n">
        <f aca="false">Raw_Donors!B459</f>
        <v>95412</v>
      </c>
      <c r="D459" s="9" t="n">
        <f aca="false">Raw_Donors!C459</f>
        <v>38</v>
      </c>
      <c r="E459" s="9" t="str">
        <f aca="false">IFERROR(IF(Raw_Donors!D459="","Unknown",Raw_Donors!D459),"Unknown")</f>
        <v>Unknown</v>
      </c>
      <c r="F459" s="9" t="str">
        <f aca="false">IFERROR(IF(Raw_Donors!E459="","Unknown",Raw_Donors!E459),"Unknown")</f>
        <v>Male</v>
      </c>
      <c r="G459" s="9" t="str">
        <f aca="false">PROPER(TRIM(Raw_Donors!F459))</f>
        <v>Community Partner</v>
      </c>
      <c r="H459" s="9" t="str">
        <f aca="false">IFERROR(IF(Raw_Donors!G459="","N",Raw_Donors!G459),"N")</f>
        <v>Y</v>
      </c>
      <c r="I459" s="9" t="str">
        <f aca="false">IF(Raw_Donors!H459="","Not Rated",Raw_Donors!H459)</f>
        <v>Not Rated</v>
      </c>
      <c r="J459" s="9" t="str">
        <f aca="false">IF(TRIM(Raw_Donors!I459)="","Unknown",TRIM(Raw_Donors!I459))</f>
        <v>HOME</v>
      </c>
      <c r="K459" s="9" t="str">
        <f aca="false">Raw_Donors!J459</f>
        <v>N</v>
      </c>
      <c r="L459" s="9" t="n">
        <f aca="false">Raw_Donors!K459</f>
        <v>0</v>
      </c>
      <c r="M459" s="10" t="n">
        <f aca="false">IFERROR(VALUE(SUBSTITUTE(SUBSTITUTE(Raw_Donors!L459,"$",""),",","")),0)</f>
        <v>0</v>
      </c>
      <c r="N459" s="10" t="n">
        <f aca="false">IFERROR(VALUE(SUBSTITUTE(SUBSTITUTE(Raw_Donors!M459,"$",""),",","")),0)</f>
        <v>0</v>
      </c>
      <c r="O459" s="10" t="n">
        <f aca="false">IFERROR(VALUE(SUBSTITUTE(SUBSTITUTE(Raw_Donors!N459,"$",""),",","")),0)</f>
        <v>0</v>
      </c>
      <c r="P459" s="10" t="n">
        <f aca="false">IFERROR(VALUE(SUBSTITUTE(SUBSTITUTE(Raw_Donors!O459,"$",""),",","")),0)</f>
        <v>0</v>
      </c>
      <c r="Q459" s="10" t="n">
        <f aca="false">IFERROR(VALUE(SUBSTITUTE(SUBSTITUTE(Raw_Donors!P459,"$",""),",","")),0)</f>
        <v>0</v>
      </c>
      <c r="R459" s="10" t="n">
        <f aca="false">Raw_Donors!Q459</f>
        <v>200</v>
      </c>
      <c r="S459" s="9" t="str">
        <f aca="false">Raw_Donors!R459</f>
        <v>Y</v>
      </c>
      <c r="T459" s="9" t="str">
        <f aca="false">IF(Raw_Donors!S459="","",Raw_Donors!S459)</f>
        <v>1979-12-01</v>
      </c>
      <c r="U459" s="9" t="str">
        <f aca="false">IF(AND((O459+P459)&gt;0,Q459=0),"Lapsed - Follow Up","")</f>
        <v/>
      </c>
      <c r="V459" s="9" t="n">
        <f aca="false">RANK(R459,$R$2:$R$759)+COUNTIF($R$2:R459,R459)-1</f>
        <v>201</v>
      </c>
      <c r="W459" s="9" t="str">
        <f aca="false">IF(U459="Lapsed - Follow Up",COUNTIF($U$2:U459,"Lapsed - Follow Up"),"")</f>
        <v/>
      </c>
    </row>
    <row r="460" customFormat="false" ht="15" hidden="false" customHeight="true" outlineLevel="0" collapsed="false">
      <c r="A460" s="9" t="str">
        <f aca="false">Raw_Donors!A460</f>
        <v>D1458</v>
      </c>
      <c r="B460" s="9" t="str">
        <f aca="false">IF(ISNUMBER(SEARCH("-DUP",A460)),"Duplicate ID","")</f>
        <v/>
      </c>
      <c r="C460" s="9" t="n">
        <f aca="false">Raw_Donors!B460</f>
        <v>90265</v>
      </c>
      <c r="D460" s="9" t="n">
        <f aca="false">Raw_Donors!C460</f>
        <v>48</v>
      </c>
      <c r="E460" s="9" t="str">
        <f aca="false">IFERROR(IF(Raw_Donors!D460="","Unknown",Raw_Donors!D460),"Unknown")</f>
        <v>Unknown</v>
      </c>
      <c r="F460" s="9" t="str">
        <f aca="false">IFERROR(IF(Raw_Donors!E460="","Unknown",Raw_Donors!E460),"Unknown")</f>
        <v>Male</v>
      </c>
      <c r="G460" s="9" t="str">
        <f aca="false">PROPER(TRIM(Raw_Donors!F460))</f>
        <v>Community Partner</v>
      </c>
      <c r="H460" s="9" t="str">
        <f aca="false">IFERROR(IF(Raw_Donors!G460="","N",Raw_Donors!G460),"N")</f>
        <v>Y</v>
      </c>
      <c r="I460" s="9" t="str">
        <f aca="false">IF(Raw_Donors!H460="","Not Rated",Raw_Donors!H460)</f>
        <v>Not Rated</v>
      </c>
      <c r="J460" s="9" t="str">
        <f aca="false">IF(TRIM(Raw_Donors!I460)="","Unknown",TRIM(Raw_Donors!I460))</f>
        <v>HOME</v>
      </c>
      <c r="K460" s="9" t="str">
        <f aca="false">Raw_Donors!J460</f>
        <v>Y</v>
      </c>
      <c r="L460" s="9" t="n">
        <f aca="false">Raw_Donors!K460</f>
        <v>0</v>
      </c>
      <c r="M460" s="10" t="n">
        <f aca="false">IFERROR(VALUE(SUBSTITUTE(SUBSTITUTE(Raw_Donors!L460,"$",""),",","")),0)</f>
        <v>0</v>
      </c>
      <c r="N460" s="10" t="n">
        <f aca="false">IFERROR(VALUE(SUBSTITUTE(SUBSTITUTE(Raw_Donors!M460,"$",""),",","")),0)</f>
        <v>0</v>
      </c>
      <c r="O460" s="10" t="n">
        <f aca="false">IFERROR(VALUE(SUBSTITUTE(SUBSTITUTE(Raw_Donors!N460,"$",""),",","")),0)</f>
        <v>0</v>
      </c>
      <c r="P460" s="10" t="n">
        <f aca="false">IFERROR(VALUE(SUBSTITUTE(SUBSTITUTE(Raw_Donors!O460,"$",""),",","")),0)</f>
        <v>0</v>
      </c>
      <c r="Q460" s="10" t="n">
        <f aca="false">IFERROR(VALUE(SUBSTITUTE(SUBSTITUTE(Raw_Donors!P460,"$",""),",","")),0)</f>
        <v>0</v>
      </c>
      <c r="R460" s="10" t="n">
        <f aca="false">Raw_Donors!Q460</f>
        <v>85</v>
      </c>
      <c r="S460" s="9" t="str">
        <f aca="false">Raw_Donors!R460</f>
        <v>Y</v>
      </c>
      <c r="T460" s="9" t="str">
        <f aca="false">IF(Raw_Donors!S460="","",Raw_Donors!S460)</f>
        <v>1969-06-16</v>
      </c>
      <c r="U460" s="9" t="str">
        <f aca="false">IF(AND((O460+P460)&gt;0,Q460=0),"Lapsed - Follow Up","")</f>
        <v/>
      </c>
      <c r="V460" s="9" t="n">
        <f aca="false">RANK(R460,$R$2:$R$759)+COUNTIF($R$2:R460,R460)-1</f>
        <v>317</v>
      </c>
      <c r="W460" s="9" t="str">
        <f aca="false">IF(U460="Lapsed - Follow Up",COUNTIF($U$2:U460,"Lapsed - Follow Up"),"")</f>
        <v/>
      </c>
    </row>
    <row r="461" customFormat="false" ht="15" hidden="false" customHeight="true" outlineLevel="0" collapsed="false">
      <c r="A461" s="9" t="str">
        <f aca="false">Raw_Donors!A461</f>
        <v>D1459</v>
      </c>
      <c r="B461" s="9" t="str">
        <f aca="false">IF(ISNUMBER(SEARCH("-DUP",A461)),"Duplicate ID","")</f>
        <v/>
      </c>
      <c r="C461" s="9" t="n">
        <f aca="false">Raw_Donors!B461</f>
        <v>50133</v>
      </c>
      <c r="D461" s="9" t="n">
        <f aca="false">Raw_Donors!C461</f>
        <v>0</v>
      </c>
      <c r="E461" s="9" t="str">
        <f aca="false">IFERROR(IF(Raw_Donors!D461="","Unknown",Raw_Donors!D461),"Unknown")</f>
        <v>Unknown</v>
      </c>
      <c r="F461" s="9" t="str">
        <f aca="false">IFERROR(IF(Raw_Donors!E461="","Unknown",Raw_Donors!E461),"Unknown")</f>
        <v>Male</v>
      </c>
      <c r="G461" s="9" t="str">
        <f aca="false">PROPER(TRIM(Raw_Donors!F461))</f>
        <v>Individual Donor</v>
      </c>
      <c r="H461" s="9" t="str">
        <f aca="false">IFERROR(IF(Raw_Donors!G461="","N",Raw_Donors!G461),"N")</f>
        <v>N</v>
      </c>
      <c r="I461" s="9" t="str">
        <f aca="false">IF(Raw_Donors!H461="","Not Rated",Raw_Donors!H461)</f>
        <v>Not Rated</v>
      </c>
      <c r="J461" s="9" t="str">
        <f aca="false">IF(TRIM(Raw_Donors!I461)="","Unknown",TRIM(Raw_Donors!I461))</f>
        <v>HOME</v>
      </c>
      <c r="K461" s="9" t="str">
        <f aca="false">Raw_Donors!J461</f>
        <v>Y</v>
      </c>
      <c r="L461" s="9" t="n">
        <f aca="false">Raw_Donors!K461</f>
        <v>2</v>
      </c>
      <c r="M461" s="10" t="n">
        <f aca="false">IFERROR(VALUE(SUBSTITUTE(SUBSTITUTE(Raw_Donors!L461,"$",""),",","")),0)</f>
        <v>0</v>
      </c>
      <c r="N461" s="10" t="n">
        <f aca="false">IFERROR(VALUE(SUBSTITUTE(SUBSTITUTE(Raw_Donors!M461,"$",""),",","")),0)</f>
        <v>0</v>
      </c>
      <c r="O461" s="10" t="n">
        <f aca="false">IFERROR(VALUE(SUBSTITUTE(SUBSTITUTE(Raw_Donors!N461,"$",""),",","")),0)</f>
        <v>0</v>
      </c>
      <c r="P461" s="10" t="n">
        <f aca="false">IFERROR(VALUE(SUBSTITUTE(SUBSTITUTE(Raw_Donors!O461,"$",""),",","")),0)</f>
        <v>0</v>
      </c>
      <c r="Q461" s="10" t="n">
        <f aca="false">IFERROR(VALUE(SUBSTITUTE(SUBSTITUTE(Raw_Donors!P461,"$",""),",","")),0)</f>
        <v>0</v>
      </c>
      <c r="R461" s="10" t="n">
        <f aca="false">Raw_Donors!Q461</f>
        <v>30</v>
      </c>
      <c r="S461" s="9" t="str">
        <f aca="false">Raw_Donors!R461</f>
        <v>Y</v>
      </c>
      <c r="T461" s="9" t="str">
        <f aca="false">IF(Raw_Donors!S461="","",Raw_Donors!S461)</f>
        <v/>
      </c>
      <c r="U461" s="9" t="str">
        <f aca="false">IF(AND((O461+P461)&gt;0,Q461=0),"Lapsed - Follow Up","")</f>
        <v/>
      </c>
      <c r="V461" s="9" t="n">
        <f aca="false">RANK(R461,$R$2:$R$759)+COUNTIF($R$2:R461,R461)-1</f>
        <v>419</v>
      </c>
      <c r="W461" s="9" t="str">
        <f aca="false">IF(U461="Lapsed - Follow Up",COUNTIF($U$2:U461,"Lapsed - Follow Up"),"")</f>
        <v/>
      </c>
    </row>
    <row r="462" customFormat="false" ht="15" hidden="false" customHeight="true" outlineLevel="0" collapsed="false">
      <c r="A462" s="9" t="str">
        <f aca="false">Raw_Donors!A462</f>
        <v>D1460</v>
      </c>
      <c r="B462" s="9" t="str">
        <f aca="false">IF(ISNUMBER(SEARCH("-DUP",A462)),"Duplicate ID","")</f>
        <v/>
      </c>
      <c r="C462" s="9" t="n">
        <f aca="false">Raw_Donors!B462</f>
        <v>53156</v>
      </c>
      <c r="D462" s="9" t="n">
        <f aca="false">Raw_Donors!C462</f>
        <v>62</v>
      </c>
      <c r="E462" s="9" t="str">
        <f aca="false">IFERROR(IF(Raw_Donors!D462="","Unknown",Raw_Donors!D462),"Unknown")</f>
        <v>Unknown</v>
      </c>
      <c r="F462" s="9" t="str">
        <f aca="false">IFERROR(IF(Raw_Donors!E462="","Unknown",Raw_Donors!E462),"Unknown")</f>
        <v>Female</v>
      </c>
      <c r="G462" s="9" t="str">
        <f aca="false">PROPER(TRIM(Raw_Donors!F462))</f>
        <v>Individual Donor</v>
      </c>
      <c r="H462" s="9" t="str">
        <f aca="false">IFERROR(IF(Raw_Donors!G462="","N",Raw_Donors!G462),"N")</f>
        <v>N</v>
      </c>
      <c r="I462" s="9" t="str">
        <f aca="false">IF(Raw_Donors!H462="","Not Rated",Raw_Donors!H462)</f>
        <v>Not Rated</v>
      </c>
      <c r="J462" s="9" t="str">
        <f aca="false">IF(TRIM(Raw_Donors!I462)="","Unknown",TRIM(Raw_Donors!I462))</f>
        <v>HOME</v>
      </c>
      <c r="K462" s="9" t="str">
        <f aca="false">Raw_Donors!J462</f>
        <v>N</v>
      </c>
      <c r="L462" s="9" t="n">
        <f aca="false">Raw_Donors!K462</f>
        <v>0</v>
      </c>
      <c r="M462" s="10" t="n">
        <f aca="false">IFERROR(VALUE(SUBSTITUTE(SUBSTITUTE(Raw_Donors!L462,"$",""),",","")),0)</f>
        <v>0</v>
      </c>
      <c r="N462" s="10" t="n">
        <f aca="false">IFERROR(VALUE(SUBSTITUTE(SUBSTITUTE(Raw_Donors!M462,"$",""),",","")),0)</f>
        <v>0</v>
      </c>
      <c r="O462" s="10" t="n">
        <f aca="false">IFERROR(VALUE(SUBSTITUTE(SUBSTITUTE(Raw_Donors!N462,"$",""),",","")),0)</f>
        <v>0</v>
      </c>
      <c r="P462" s="10" t="n">
        <f aca="false">IFERROR(VALUE(SUBSTITUTE(SUBSTITUTE(Raw_Donors!O462,"$",""),",","")),0)</f>
        <v>0</v>
      </c>
      <c r="Q462" s="10" t="n">
        <f aca="false">IFERROR(VALUE(SUBSTITUTE(SUBSTITUTE(Raw_Donors!P462,"$",""),",","")),0)</f>
        <v>0</v>
      </c>
      <c r="R462" s="10" t="n">
        <f aca="false">Raw_Donors!Q462</f>
        <v>0</v>
      </c>
      <c r="S462" s="9" t="str">
        <f aca="false">Raw_Donors!R462</f>
        <v>N</v>
      </c>
      <c r="T462" s="9" t="str">
        <f aca="false">IF(Raw_Donors!S462="","",Raw_Donors!S462)</f>
        <v>1955-08-16</v>
      </c>
      <c r="U462" s="9" t="str">
        <f aca="false">IF(AND((O462+P462)&gt;0,Q462=0),"Lapsed - Follow Up","")</f>
        <v/>
      </c>
      <c r="V462" s="9" t="n">
        <f aca="false">RANK(R462,$R$2:$R$759)+COUNTIF($R$2:R462,R462)-1</f>
        <v>678</v>
      </c>
      <c r="W462" s="9" t="str">
        <f aca="false">IF(U462="Lapsed - Follow Up",COUNTIF($U$2:U462,"Lapsed - Follow Up"),"")</f>
        <v/>
      </c>
    </row>
    <row r="463" customFormat="false" ht="15" hidden="false" customHeight="true" outlineLevel="0" collapsed="false">
      <c r="A463" s="9" t="str">
        <f aca="false">Raw_Donors!A463</f>
        <v>D1461</v>
      </c>
      <c r="B463" s="9" t="str">
        <f aca="false">IF(ISNUMBER(SEARCH("-DUP",A463)),"Duplicate ID","")</f>
        <v/>
      </c>
      <c r="C463" s="9" t="n">
        <f aca="false">Raw_Donors!B463</f>
        <v>50446</v>
      </c>
      <c r="D463" s="9" t="n">
        <f aca="false">Raw_Donors!C463</f>
        <v>24</v>
      </c>
      <c r="E463" s="9" t="str">
        <f aca="false">IFERROR(IF(Raw_Donors!D463="","Unknown",Raw_Donors!D463),"Unknown")</f>
        <v>Unknown</v>
      </c>
      <c r="F463" s="9" t="str">
        <f aca="false">IFERROR(IF(Raw_Donors!E463="","Unknown",Raw_Donors!E463),"Unknown")</f>
        <v>Female</v>
      </c>
      <c r="G463" s="9" t="str">
        <f aca="false">PROPER(TRIM(Raw_Donors!F463))</f>
        <v>Individual Donor</v>
      </c>
      <c r="H463" s="9" t="str">
        <f aca="false">IFERROR(IF(Raw_Donors!G463="","N",Raw_Donors!G463),"N")</f>
        <v>N</v>
      </c>
      <c r="I463" s="9" t="str">
        <f aca="false">IF(Raw_Donors!H463="","Not Rated",Raw_Donors!H463)</f>
        <v>Not Rated</v>
      </c>
      <c r="J463" s="9" t="str">
        <f aca="false">IF(TRIM(Raw_Donors!I463)="","Unknown",TRIM(Raw_Donors!I463))</f>
        <v>HOME</v>
      </c>
      <c r="K463" s="9" t="str">
        <f aca="false">Raw_Donors!J463</f>
        <v>N</v>
      </c>
      <c r="L463" s="9" t="n">
        <f aca="false">Raw_Donors!K463</f>
        <v>0</v>
      </c>
      <c r="M463" s="10" t="n">
        <f aca="false">IFERROR(VALUE(SUBSTITUTE(SUBSTITUTE(Raw_Donors!L463,"$",""),",","")),0)</f>
        <v>1</v>
      </c>
      <c r="N463" s="10" t="n">
        <f aca="false">IFERROR(VALUE(SUBSTITUTE(SUBSTITUTE(Raw_Donors!M463,"$",""),",","")),0)</f>
        <v>0</v>
      </c>
      <c r="O463" s="10" t="n">
        <f aca="false">IFERROR(VALUE(SUBSTITUTE(SUBSTITUTE(Raw_Donors!N463,"$",""),",","")),0)</f>
        <v>0</v>
      </c>
      <c r="P463" s="10" t="n">
        <f aca="false">IFERROR(VALUE(SUBSTITUTE(SUBSTITUTE(Raw_Donors!O463,"$",""),",","")),0)</f>
        <v>0</v>
      </c>
      <c r="Q463" s="10" t="n">
        <f aca="false">IFERROR(VALUE(SUBSTITUTE(SUBSTITUTE(Raw_Donors!P463,"$",""),",","")),0)</f>
        <v>100</v>
      </c>
      <c r="R463" s="10" t="n">
        <f aca="false">Raw_Donors!Q463</f>
        <v>101</v>
      </c>
      <c r="S463" s="9" t="str">
        <f aca="false">Raw_Donors!R463</f>
        <v>Y</v>
      </c>
      <c r="T463" s="9" t="str">
        <f aca="false">IF(Raw_Donors!S463="","",Raw_Donors!S463)</f>
        <v>1993-12-10</v>
      </c>
      <c r="U463" s="9" t="str">
        <f aca="false">IF(AND((O463+P463)&gt;0,Q463=0),"Lapsed - Follow Up","")</f>
        <v/>
      </c>
      <c r="V463" s="9" t="n">
        <f aca="false">RANK(R463,$R$2:$R$759)+COUNTIF($R$2:R463,R463)-1</f>
        <v>270</v>
      </c>
      <c r="W463" s="9" t="str">
        <f aca="false">IF(U463="Lapsed - Follow Up",COUNTIF($U$2:U463,"Lapsed - Follow Up"),"")</f>
        <v/>
      </c>
    </row>
    <row r="464" customFormat="false" ht="15" hidden="false" customHeight="true" outlineLevel="0" collapsed="false">
      <c r="A464" s="9" t="str">
        <f aca="false">Raw_Donors!A464</f>
        <v>D1462</v>
      </c>
      <c r="B464" s="9" t="str">
        <f aca="false">IF(ISNUMBER(SEARCH("-DUP",A464)),"Duplicate ID","")</f>
        <v/>
      </c>
      <c r="C464" s="9" t="n">
        <f aca="false">Raw_Donors!B464</f>
        <v>34770</v>
      </c>
      <c r="D464" s="9" t="n">
        <f aca="false">Raw_Donors!C464</f>
        <v>0</v>
      </c>
      <c r="E464" s="9" t="str">
        <f aca="false">IFERROR(IF(Raw_Donors!D464="","Unknown",Raw_Donors!D464),"Unknown")</f>
        <v>Unknown</v>
      </c>
      <c r="F464" s="9" t="str">
        <f aca="false">IFERROR(IF(Raw_Donors!E464="","Unknown",Raw_Donors!E464),"Unknown")</f>
        <v>Male</v>
      </c>
      <c r="G464" s="9" t="str">
        <f aca="false">PROPER(TRIM(Raw_Donors!F464))</f>
        <v>Community Partner</v>
      </c>
      <c r="H464" s="9" t="str">
        <f aca="false">IFERROR(IF(Raw_Donors!G464="","N",Raw_Donors!G464),"N")</f>
        <v>N</v>
      </c>
      <c r="I464" s="9" t="str">
        <f aca="false">IF(Raw_Donors!H464="","Not Rated",Raw_Donors!H464)</f>
        <v>Not Rated</v>
      </c>
      <c r="J464" s="9" t="str">
        <f aca="false">IF(TRIM(Raw_Donors!I464)="","Unknown",TRIM(Raw_Donors!I464))</f>
        <v>HOME</v>
      </c>
      <c r="K464" s="9" t="str">
        <f aca="false">Raw_Donors!J464</f>
        <v>N</v>
      </c>
      <c r="L464" s="9" t="n">
        <f aca="false">Raw_Donors!K464</f>
        <v>0</v>
      </c>
      <c r="M464" s="10" t="n">
        <f aca="false">IFERROR(VALUE(SUBSTITUTE(SUBSTITUTE(Raw_Donors!L464,"$",""),",","")),0)</f>
        <v>0</v>
      </c>
      <c r="N464" s="10" t="n">
        <f aca="false">IFERROR(VALUE(SUBSTITUTE(SUBSTITUTE(Raw_Donors!M464,"$",""),",","")),0)</f>
        <v>0</v>
      </c>
      <c r="O464" s="10" t="n">
        <f aca="false">IFERROR(VALUE(SUBSTITUTE(SUBSTITUTE(Raw_Donors!N464,"$",""),",","")),0)</f>
        <v>0</v>
      </c>
      <c r="P464" s="10" t="n">
        <f aca="false">IFERROR(VALUE(SUBSTITUTE(SUBSTITUTE(Raw_Donors!O464,"$",""),",","")),0)</f>
        <v>0</v>
      </c>
      <c r="Q464" s="10" t="n">
        <f aca="false">IFERROR(VALUE(SUBSTITUTE(SUBSTITUTE(Raw_Donors!P464,"$",""),",","")),0)</f>
        <v>0</v>
      </c>
      <c r="R464" s="10" t="n">
        <f aca="false">Raw_Donors!Q464</f>
        <v>60</v>
      </c>
      <c r="S464" s="9" t="str">
        <f aca="false">Raw_Donors!R464</f>
        <v>Y</v>
      </c>
      <c r="T464" s="9" t="str">
        <f aca="false">IF(Raw_Donors!S464="","",Raw_Donors!S464)</f>
        <v/>
      </c>
      <c r="U464" s="9" t="str">
        <f aca="false">IF(AND((O464+P464)&gt;0,Q464=0),"Lapsed - Follow Up","")</f>
        <v/>
      </c>
      <c r="V464" s="9" t="n">
        <f aca="false">RANK(R464,$R$2:$R$759)+COUNTIF($R$2:R464,R464)-1</f>
        <v>356</v>
      </c>
      <c r="W464" s="9" t="str">
        <f aca="false">IF(U464="Lapsed - Follow Up",COUNTIF($U$2:U464,"Lapsed - Follow Up"),"")</f>
        <v/>
      </c>
    </row>
    <row r="465" customFormat="false" ht="15" hidden="false" customHeight="true" outlineLevel="0" collapsed="false">
      <c r="A465" s="9" t="str">
        <f aca="false">Raw_Donors!A465</f>
        <v>D1463</v>
      </c>
      <c r="B465" s="9" t="str">
        <f aca="false">IF(ISNUMBER(SEARCH("-DUP",A465)),"Duplicate ID","")</f>
        <v/>
      </c>
      <c r="C465" s="9" t="n">
        <f aca="false">Raw_Donors!B465</f>
        <v>90265</v>
      </c>
      <c r="D465" s="9" t="n">
        <f aca="false">Raw_Donors!C465</f>
        <v>0</v>
      </c>
      <c r="E465" s="9" t="str">
        <f aca="false">IFERROR(IF(Raw_Donors!D465="","Unknown",Raw_Donors!D465),"Unknown")</f>
        <v>Unknown</v>
      </c>
      <c r="F465" s="9" t="str">
        <f aca="false">IFERROR(IF(Raw_Donors!E465="","Unknown",Raw_Donors!E465),"Unknown")</f>
        <v>Female</v>
      </c>
      <c r="G465" s="9" t="str">
        <f aca="false">PROPER(TRIM(Raw_Donors!F465))</f>
        <v>Individual Donor</v>
      </c>
      <c r="H465" s="9" t="str">
        <f aca="false">IFERROR(IF(Raw_Donors!G465="","N",Raw_Donors!G465),"N")</f>
        <v>N</v>
      </c>
      <c r="I465" s="9" t="str">
        <f aca="false">IF(Raw_Donors!H465="","Not Rated",Raw_Donors!H465)</f>
        <v>Not Rated</v>
      </c>
      <c r="J465" s="9" t="str">
        <f aca="false">IF(TRIM(Raw_Donors!I465)="","Unknown",TRIM(Raw_Donors!I465))</f>
        <v>HOME</v>
      </c>
      <c r="K465" s="9" t="str">
        <f aca="false">Raw_Donors!J465</f>
        <v>Y</v>
      </c>
      <c r="L465" s="9" t="n">
        <f aca="false">Raw_Donors!K465</f>
        <v>8</v>
      </c>
      <c r="M465" s="10" t="n">
        <f aca="false">IFERROR(VALUE(SUBSTITUTE(SUBSTITUTE(Raw_Donors!L465,"$",""),",","")),0)</f>
        <v>0</v>
      </c>
      <c r="N465" s="10" t="n">
        <f aca="false">IFERROR(VALUE(SUBSTITUTE(SUBSTITUTE(Raw_Donors!M465,"$",""),",","")),0)</f>
        <v>0</v>
      </c>
      <c r="O465" s="10" t="n">
        <f aca="false">IFERROR(VALUE(SUBSTITUTE(SUBSTITUTE(Raw_Donors!N465,"$",""),",","")),0)</f>
        <v>0</v>
      </c>
      <c r="P465" s="10" t="n">
        <f aca="false">IFERROR(VALUE(SUBSTITUTE(SUBSTITUTE(Raw_Donors!O465,"$",""),",","")),0)</f>
        <v>0</v>
      </c>
      <c r="Q465" s="10" t="n">
        <f aca="false">IFERROR(VALUE(SUBSTITUTE(SUBSTITUTE(Raw_Donors!P465,"$",""),",","")),0)</f>
        <v>0</v>
      </c>
      <c r="R465" s="10" t="n">
        <f aca="false">Raw_Donors!Q465</f>
        <v>3594</v>
      </c>
      <c r="S465" s="9" t="str">
        <f aca="false">Raw_Donors!R465</f>
        <v>Y</v>
      </c>
      <c r="T465" s="9" t="str">
        <f aca="false">IF(Raw_Donors!S465="","",Raw_Donors!S465)</f>
        <v/>
      </c>
      <c r="U465" s="9" t="str">
        <f aca="false">IF(AND((O465+P465)&gt;0,Q465=0),"Lapsed - Follow Up","")</f>
        <v/>
      </c>
      <c r="V465" s="9" t="n">
        <f aca="false">RANK(R465,$R$2:$R$759)+COUNTIF($R$2:R465,R465)-1</f>
        <v>19</v>
      </c>
      <c r="W465" s="9" t="str">
        <f aca="false">IF(U465="Lapsed - Follow Up",COUNTIF($U$2:U465,"Lapsed - Follow Up"),"")</f>
        <v/>
      </c>
    </row>
    <row r="466" customFormat="false" ht="15" hidden="false" customHeight="true" outlineLevel="0" collapsed="false">
      <c r="A466" s="9" t="str">
        <f aca="false">Raw_Donors!A466</f>
        <v>D1464</v>
      </c>
      <c r="B466" s="9" t="str">
        <f aca="false">IF(ISNUMBER(SEARCH("-DUP",A466)),"Duplicate ID","")</f>
        <v/>
      </c>
      <c r="C466" s="9" t="n">
        <f aca="false">Raw_Donors!B466</f>
        <v>15009</v>
      </c>
      <c r="D466" s="9" t="n">
        <f aca="false">Raw_Donors!C466</f>
        <v>0</v>
      </c>
      <c r="E466" s="9" t="str">
        <f aca="false">IFERROR(IF(Raw_Donors!D466="","Unknown",Raw_Donors!D466),"Unknown")</f>
        <v>Unknown</v>
      </c>
      <c r="F466" s="9" t="str">
        <f aca="false">IFERROR(IF(Raw_Donors!E466="","Unknown",Raw_Donors!E466),"Unknown")</f>
        <v>Female</v>
      </c>
      <c r="G466" s="9" t="str">
        <f aca="false">PROPER(TRIM(Raw_Donors!F466))</f>
        <v>Individual Donor</v>
      </c>
      <c r="H466" s="9" t="str">
        <f aca="false">IFERROR(IF(Raw_Donors!G466="","N",Raw_Donors!G466),"N")</f>
        <v>Y</v>
      </c>
      <c r="I466" s="9" t="str">
        <f aca="false">IF(Raw_Donors!H466="","Not Rated",Raw_Donors!H466)</f>
        <v>$1-$24,999</v>
      </c>
      <c r="J466" s="9" t="str">
        <f aca="false">IF(TRIM(Raw_Donors!I466)="","Unknown",TRIM(Raw_Donors!I466))</f>
        <v>HOME</v>
      </c>
      <c r="K466" s="9" t="str">
        <f aca="false">Raw_Donors!J466</f>
        <v>Y</v>
      </c>
      <c r="L466" s="9" t="n">
        <f aca="false">Raw_Donors!K466</f>
        <v>1</v>
      </c>
      <c r="M466" s="10" t="n">
        <f aca="false">IFERROR(VALUE(SUBSTITUTE(SUBSTITUTE(Raw_Donors!L466,"$",""),",","")),0)</f>
        <v>0</v>
      </c>
      <c r="N466" s="10" t="n">
        <f aca="false">IFERROR(VALUE(SUBSTITUTE(SUBSTITUTE(Raw_Donors!M466,"$",""),",","")),0)</f>
        <v>0</v>
      </c>
      <c r="O466" s="10" t="n">
        <f aca="false">IFERROR(VALUE(SUBSTITUTE(SUBSTITUTE(Raw_Donors!N466,"$",""),",","")),0)</f>
        <v>0</v>
      </c>
      <c r="P466" s="10" t="n">
        <f aca="false">IFERROR(VALUE(SUBSTITUTE(SUBSTITUTE(Raw_Donors!O466,"$",""),",","")),0)</f>
        <v>0</v>
      </c>
      <c r="Q466" s="10" t="n">
        <f aca="false">IFERROR(VALUE(SUBSTITUTE(SUBSTITUTE(Raw_Donors!P466,"$",""),",","")),0)</f>
        <v>0</v>
      </c>
      <c r="R466" s="10" t="n">
        <f aca="false">Raw_Donors!Q466</f>
        <v>0</v>
      </c>
      <c r="S466" s="9" t="str">
        <f aca="false">Raw_Donors!R466</f>
        <v>N</v>
      </c>
      <c r="T466" s="9" t="str">
        <f aca="false">IF(Raw_Donors!S466="","",Raw_Donors!S466)</f>
        <v/>
      </c>
      <c r="U466" s="9" t="str">
        <f aca="false">IF(AND((O466+P466)&gt;0,Q466=0),"Lapsed - Follow Up","")</f>
        <v/>
      </c>
      <c r="V466" s="9" t="n">
        <f aca="false">RANK(R466,$R$2:$R$759)+COUNTIF($R$2:R466,R466)-1</f>
        <v>679</v>
      </c>
      <c r="W466" s="9" t="str">
        <f aca="false">IF(U466="Lapsed - Follow Up",COUNTIF($U$2:U466,"Lapsed - Follow Up"),"")</f>
        <v/>
      </c>
    </row>
    <row r="467" customFormat="false" ht="15" hidden="false" customHeight="true" outlineLevel="0" collapsed="false">
      <c r="A467" s="9" t="str">
        <f aca="false">Raw_Donors!A467</f>
        <v>D1465</v>
      </c>
      <c r="B467" s="9" t="str">
        <f aca="false">IF(ISNUMBER(SEARCH("-DUP",A467)),"Duplicate ID","")</f>
        <v/>
      </c>
      <c r="C467" s="9" t="n">
        <f aca="false">Raw_Donors!B467</f>
        <v>33949</v>
      </c>
      <c r="D467" s="9" t="n">
        <f aca="false">Raw_Donors!C467</f>
        <v>53</v>
      </c>
      <c r="E467" s="9" t="str">
        <f aca="false">IFERROR(IF(Raw_Donors!D467="","Unknown",Raw_Donors!D467),"Unknown")</f>
        <v>Unknown</v>
      </c>
      <c r="F467" s="9" t="str">
        <f aca="false">IFERROR(IF(Raw_Donors!E467="","Unknown",Raw_Donors!E467),"Unknown")</f>
        <v>Male</v>
      </c>
      <c r="G467" s="9" t="str">
        <f aca="false">PROPER(TRIM(Raw_Donors!F467))</f>
        <v>Community Partner</v>
      </c>
      <c r="H467" s="9" t="str">
        <f aca="false">IFERROR(IF(Raw_Donors!G467="","N",Raw_Donors!G467),"N")</f>
        <v>N</v>
      </c>
      <c r="I467" s="9" t="str">
        <f aca="false">IF(Raw_Donors!H467="","Not Rated",Raw_Donors!H467)</f>
        <v>Not Rated</v>
      </c>
      <c r="J467" s="9" t="str">
        <f aca="false">IF(TRIM(Raw_Donors!I467)="","Unknown",TRIM(Raw_Donors!I467))</f>
        <v>HOME</v>
      </c>
      <c r="K467" s="9" t="str">
        <f aca="false">Raw_Donors!J467</f>
        <v>Y</v>
      </c>
      <c r="L467" s="9" t="n">
        <f aca="false">Raw_Donors!K467</f>
        <v>0</v>
      </c>
      <c r="M467" s="10" t="n">
        <f aca="false">IFERROR(VALUE(SUBSTITUTE(SUBSTITUTE(Raw_Donors!L467,"$",""),",","")),0)</f>
        <v>0</v>
      </c>
      <c r="N467" s="10" t="n">
        <f aca="false">IFERROR(VALUE(SUBSTITUTE(SUBSTITUTE(Raw_Donors!M467,"$",""),",","")),0)</f>
        <v>0</v>
      </c>
      <c r="O467" s="10" t="n">
        <f aca="false">IFERROR(VALUE(SUBSTITUTE(SUBSTITUTE(Raw_Donors!N467,"$",""),",","")),0)</f>
        <v>0</v>
      </c>
      <c r="P467" s="10" t="n">
        <f aca="false">IFERROR(VALUE(SUBSTITUTE(SUBSTITUTE(Raw_Donors!O467,"$",""),",","")),0)</f>
        <v>0</v>
      </c>
      <c r="Q467" s="10" t="n">
        <f aca="false">IFERROR(VALUE(SUBSTITUTE(SUBSTITUTE(Raw_Donors!P467,"$",""),",","")),0)</f>
        <v>0</v>
      </c>
      <c r="R467" s="10" t="n">
        <f aca="false">Raw_Donors!Q467</f>
        <v>0</v>
      </c>
      <c r="S467" s="9" t="str">
        <f aca="false">Raw_Donors!R467</f>
        <v>N</v>
      </c>
      <c r="T467" s="9" t="str">
        <f aca="false">IF(Raw_Donors!S467="","",Raw_Donors!S467)</f>
        <v>1964-03-19</v>
      </c>
      <c r="U467" s="9" t="str">
        <f aca="false">IF(AND((O467+P467)&gt;0,Q467=0),"Lapsed - Follow Up","")</f>
        <v/>
      </c>
      <c r="V467" s="9" t="n">
        <f aca="false">RANK(R467,$R$2:$R$759)+COUNTIF($R$2:R467,R467)-1</f>
        <v>680</v>
      </c>
      <c r="W467" s="9" t="str">
        <f aca="false">IF(U467="Lapsed - Follow Up",COUNTIF($U$2:U467,"Lapsed - Follow Up"),"")</f>
        <v/>
      </c>
    </row>
    <row r="468" customFormat="false" ht="15" hidden="false" customHeight="true" outlineLevel="0" collapsed="false">
      <c r="A468" s="9" t="str">
        <f aca="false">Raw_Donors!A468</f>
        <v>D1466</v>
      </c>
      <c r="B468" s="9" t="str">
        <f aca="false">IF(ISNUMBER(SEARCH("-DUP",A468)),"Duplicate ID","")</f>
        <v/>
      </c>
      <c r="C468" s="9" t="n">
        <f aca="false">Raw_Donors!B468</f>
        <v>8227</v>
      </c>
      <c r="D468" s="9" t="n">
        <f aca="false">Raw_Donors!C468</f>
        <v>27</v>
      </c>
      <c r="E468" s="9" t="str">
        <f aca="false">IFERROR(IF(Raw_Donors!D468="","Unknown",Raw_Donors!D468),"Unknown")</f>
        <v>Unknown</v>
      </c>
      <c r="F468" s="9" t="str">
        <f aca="false">IFERROR(IF(Raw_Donors!E468="","Unknown",Raw_Donors!E468),"Unknown")</f>
        <v>Female</v>
      </c>
      <c r="G468" s="9" t="str">
        <f aca="false">PROPER(TRIM(Raw_Donors!F468))</f>
        <v>Individual Donor</v>
      </c>
      <c r="H468" s="9" t="str">
        <f aca="false">IFERROR(IF(Raw_Donors!G468="","N",Raw_Donors!G468),"N")</f>
        <v>N</v>
      </c>
      <c r="I468" s="9" t="str">
        <f aca="false">IF(Raw_Donors!H468="","Not Rated",Raw_Donors!H468)</f>
        <v>Not Rated</v>
      </c>
      <c r="J468" s="9" t="str">
        <f aca="false">IF(TRIM(Raw_Donors!I468)="","Unknown",TRIM(Raw_Donors!I468))</f>
        <v>HOME</v>
      </c>
      <c r="K468" s="9" t="str">
        <f aca="false">Raw_Donors!J468</f>
        <v>N</v>
      </c>
      <c r="L468" s="9" t="n">
        <f aca="false">Raw_Donors!K468</f>
        <v>0</v>
      </c>
      <c r="M468" s="10" t="n">
        <f aca="false">IFERROR(VALUE(SUBSTITUTE(SUBSTITUTE(Raw_Donors!L468,"$",""),",","")),0)</f>
        <v>0</v>
      </c>
      <c r="N468" s="10" t="n">
        <f aca="false">IFERROR(VALUE(SUBSTITUTE(SUBSTITUTE(Raw_Donors!M468,"$",""),",","")),0)</f>
        <v>0</v>
      </c>
      <c r="O468" s="10" t="n">
        <f aca="false">IFERROR(VALUE(SUBSTITUTE(SUBSTITUTE(Raw_Donors!N468,"$",""),",","")),0)</f>
        <v>0</v>
      </c>
      <c r="P468" s="10" t="n">
        <f aca="false">IFERROR(VALUE(SUBSTITUTE(SUBSTITUTE(Raw_Donors!O468,"$",""),",","")),0)</f>
        <v>0</v>
      </c>
      <c r="Q468" s="10" t="n">
        <f aca="false">IFERROR(VALUE(SUBSTITUTE(SUBSTITUTE(Raw_Donors!P468,"$",""),",","")),0)</f>
        <v>0</v>
      </c>
      <c r="R468" s="10" t="n">
        <f aca="false">Raw_Donors!Q468</f>
        <v>10</v>
      </c>
      <c r="S468" s="9" t="str">
        <f aca="false">Raw_Donors!R468</f>
        <v>Y</v>
      </c>
      <c r="T468" s="9" t="str">
        <f aca="false">IF(Raw_Donors!S468="","",Raw_Donors!S468)</f>
        <v>1990-09-22</v>
      </c>
      <c r="U468" s="9" t="str">
        <f aca="false">IF(AND((O468+P468)&gt;0,Q468=0),"Lapsed - Follow Up","")</f>
        <v/>
      </c>
      <c r="V468" s="9" t="n">
        <f aca="false">RANK(R468,$R$2:$R$759)+COUNTIF($R$2:R468,R468)-1</f>
        <v>500</v>
      </c>
      <c r="W468" s="9" t="str">
        <f aca="false">IF(U468="Lapsed - Follow Up",COUNTIF($U$2:U468,"Lapsed - Follow Up"),"")</f>
        <v/>
      </c>
    </row>
    <row r="469" customFormat="false" ht="15" hidden="false" customHeight="true" outlineLevel="0" collapsed="false">
      <c r="A469" s="9" t="str">
        <f aca="false">Raw_Donors!A469</f>
        <v>D1467</v>
      </c>
      <c r="B469" s="9" t="str">
        <f aca="false">IF(ISNUMBER(SEARCH("-DUP",A469)),"Duplicate ID","")</f>
        <v/>
      </c>
      <c r="C469" s="9" t="n">
        <f aca="false">Raw_Donors!B469</f>
        <v>92029</v>
      </c>
      <c r="D469" s="9" t="n">
        <f aca="false">Raw_Donors!C469</f>
        <v>0</v>
      </c>
      <c r="E469" s="9" t="str">
        <f aca="false">IFERROR(IF(Raw_Donors!D469="","Unknown",Raw_Donors!D469),"Unknown")</f>
        <v>Unknown</v>
      </c>
      <c r="F469" s="9" t="str">
        <f aca="false">IFERROR(IF(Raw_Donors!E469="","Unknown",Raw_Donors!E469),"Unknown")</f>
        <v>Male</v>
      </c>
      <c r="G469" s="9" t="str">
        <f aca="false">PROPER(TRIM(Raw_Donors!F469))</f>
        <v>Family Donor</v>
      </c>
      <c r="H469" s="9" t="str">
        <f aca="false">IFERROR(IF(Raw_Donors!G469="","N",Raw_Donors!G469),"N")</f>
        <v>Y</v>
      </c>
      <c r="I469" s="9" t="str">
        <f aca="false">IF(Raw_Donors!H469="","Not Rated",Raw_Donors!H469)</f>
        <v>Not Rated</v>
      </c>
      <c r="J469" s="9" t="str">
        <f aca="false">IF(TRIM(Raw_Donors!I469)="","Unknown",TRIM(Raw_Donors!I469))</f>
        <v>HOME</v>
      </c>
      <c r="K469" s="9" t="str">
        <f aca="false">Raw_Donors!J469</f>
        <v>N</v>
      </c>
      <c r="L469" s="9" t="n">
        <f aca="false">Raw_Donors!K469</f>
        <v>0</v>
      </c>
      <c r="M469" s="10" t="n">
        <f aca="false">IFERROR(VALUE(SUBSTITUTE(SUBSTITUTE(Raw_Donors!L469,"$",""),",","")),0)</f>
        <v>0</v>
      </c>
      <c r="N469" s="10" t="n">
        <f aca="false">IFERROR(VALUE(SUBSTITUTE(SUBSTITUTE(Raw_Donors!M469,"$",""),",","")),0)</f>
        <v>0</v>
      </c>
      <c r="O469" s="10" t="n">
        <f aca="false">IFERROR(VALUE(SUBSTITUTE(SUBSTITUTE(Raw_Donors!N469,"$",""),",","")),0)</f>
        <v>0</v>
      </c>
      <c r="P469" s="10" t="n">
        <f aca="false">IFERROR(VALUE(SUBSTITUTE(SUBSTITUTE(Raw_Donors!O469,"$",""),",","")),0)</f>
        <v>0</v>
      </c>
      <c r="Q469" s="10" t="n">
        <f aca="false">IFERROR(VALUE(SUBSTITUTE(SUBSTITUTE(Raw_Donors!P469,"$",""),",","")),0)</f>
        <v>125</v>
      </c>
      <c r="R469" s="10" t="n">
        <f aca="false">Raw_Donors!Q469</f>
        <v>489</v>
      </c>
      <c r="S469" s="9" t="str">
        <f aca="false">Raw_Donors!R469</f>
        <v>Y</v>
      </c>
      <c r="T469" s="9" t="str">
        <f aca="false">IF(Raw_Donors!S469="","",Raw_Donors!S469)</f>
        <v/>
      </c>
      <c r="U469" s="9" t="str">
        <f aca="false">IF(AND((O469+P469)&gt;0,Q469=0),"Lapsed - Follow Up","")</f>
        <v/>
      </c>
      <c r="V469" s="9" t="n">
        <f aca="false">RANK(R469,$R$2:$R$759)+COUNTIF($R$2:R469,R469)-1</f>
        <v>99</v>
      </c>
      <c r="W469" s="9" t="str">
        <f aca="false">IF(U469="Lapsed - Follow Up",COUNTIF($U$2:U469,"Lapsed - Follow Up"),"")</f>
        <v/>
      </c>
    </row>
    <row r="470" customFormat="false" ht="15" hidden="false" customHeight="true" outlineLevel="0" collapsed="false">
      <c r="A470" s="9" t="str">
        <f aca="false">Raw_Donors!A470</f>
        <v>D1468</v>
      </c>
      <c r="B470" s="9" t="str">
        <f aca="false">IF(ISNUMBER(SEARCH("-DUP",A470)),"Duplicate ID","")</f>
        <v/>
      </c>
      <c r="C470" s="9" t="n">
        <f aca="false">Raw_Donors!B470</f>
        <v>90265</v>
      </c>
      <c r="D470" s="9" t="n">
        <f aca="false">Raw_Donors!C470</f>
        <v>0</v>
      </c>
      <c r="E470" s="9" t="str">
        <f aca="false">IFERROR(IF(Raw_Donors!D470="","Unknown",Raw_Donors!D470),"Unknown")</f>
        <v>Unknown</v>
      </c>
      <c r="F470" s="9" t="str">
        <f aca="false">IFERROR(IF(Raw_Donors!E470="","Unknown",Raw_Donors!E470),"Unknown")</f>
        <v>Unknown</v>
      </c>
      <c r="G470" s="9" t="str">
        <f aca="false">PROPER(TRIM(Raw_Donors!F470))</f>
        <v>Individual Donor</v>
      </c>
      <c r="H470" s="9" t="str">
        <f aca="false">IFERROR(IF(Raw_Donors!G470="","N",Raw_Donors!G470),"N")</f>
        <v>N</v>
      </c>
      <c r="I470" s="9" t="str">
        <f aca="false">IF(Raw_Donors!H470="","Not Rated",Raw_Donors!H470)</f>
        <v>Not Rated</v>
      </c>
      <c r="J470" s="9" t="str">
        <f aca="false">IF(TRIM(Raw_Donors!I470)="","Unknown",TRIM(Raw_Donors!I470))</f>
        <v>HOME</v>
      </c>
      <c r="K470" s="9" t="str">
        <f aca="false">Raw_Donors!J470</f>
        <v>N</v>
      </c>
      <c r="L470" s="9" t="n">
        <f aca="false">Raw_Donors!K470</f>
        <v>1</v>
      </c>
      <c r="M470" s="10" t="n">
        <f aca="false">IFERROR(VALUE(SUBSTITUTE(SUBSTITUTE(Raw_Donors!L470,"$",""),",","")),0)</f>
        <v>0</v>
      </c>
      <c r="N470" s="10" t="n">
        <f aca="false">IFERROR(VALUE(SUBSTITUTE(SUBSTITUTE(Raw_Donors!M470,"$",""),",","")),0)</f>
        <v>0</v>
      </c>
      <c r="O470" s="10" t="n">
        <f aca="false">IFERROR(VALUE(SUBSTITUTE(SUBSTITUTE(Raw_Donors!N470,"$",""),",","")),0)</f>
        <v>40</v>
      </c>
      <c r="P470" s="10" t="n">
        <f aca="false">IFERROR(VALUE(SUBSTITUTE(SUBSTITUTE(Raw_Donors!O470,"$",""),",","")),0)</f>
        <v>0</v>
      </c>
      <c r="Q470" s="10" t="n">
        <f aca="false">IFERROR(VALUE(SUBSTITUTE(SUBSTITUTE(Raw_Donors!P470,"$",""),",","")),0)</f>
        <v>0</v>
      </c>
      <c r="R470" s="10" t="n">
        <f aca="false">Raw_Donors!Q470</f>
        <v>40</v>
      </c>
      <c r="S470" s="9" t="str">
        <f aca="false">Raw_Donors!R470</f>
        <v>Y</v>
      </c>
      <c r="T470" s="9" t="str">
        <f aca="false">IF(Raw_Donors!S470="","",Raw_Donors!S470)</f>
        <v/>
      </c>
      <c r="U470" s="9" t="str">
        <f aca="false">IF(AND((O470+P470)&gt;0,Q470=0),"Lapsed - Follow Up","")</f>
        <v>Lapsed - Follow Up</v>
      </c>
      <c r="V470" s="9" t="n">
        <f aca="false">RANK(R470,$R$2:$R$759)+COUNTIF($R$2:R470,R470)-1</f>
        <v>401</v>
      </c>
      <c r="W470" s="9" t="n">
        <f aca="false">IF(U470="Lapsed - Follow Up",COUNTIF($U$2:U470,"Lapsed - Follow Up"),"")</f>
        <v>65</v>
      </c>
    </row>
    <row r="471" customFormat="false" ht="15" hidden="false" customHeight="true" outlineLevel="0" collapsed="false">
      <c r="A471" s="9" t="str">
        <f aca="false">Raw_Donors!A471</f>
        <v>D1469</v>
      </c>
      <c r="B471" s="9" t="str">
        <f aca="false">IF(ISNUMBER(SEARCH("-DUP",A471)),"Duplicate ID","")</f>
        <v/>
      </c>
      <c r="C471" s="9" t="n">
        <f aca="false">Raw_Donors!B471</f>
        <v>29570</v>
      </c>
      <c r="D471" s="9" t="n">
        <f aca="false">Raw_Donors!C471</f>
        <v>41</v>
      </c>
      <c r="E471" s="9" t="str">
        <f aca="false">IFERROR(IF(Raw_Donors!D471="","Unknown",Raw_Donors!D471),"Unknown")</f>
        <v>Unknown</v>
      </c>
      <c r="F471" s="9" t="str">
        <f aca="false">IFERROR(IF(Raw_Donors!E471="","Unknown",Raw_Donors!E471),"Unknown")</f>
        <v>Male</v>
      </c>
      <c r="G471" s="9" t="str">
        <f aca="false">PROPER(TRIM(Raw_Donors!F471))</f>
        <v>Individual Donor</v>
      </c>
      <c r="H471" s="9" t="str">
        <f aca="false">IFERROR(IF(Raw_Donors!G471="","N",Raw_Donors!G471),"N")</f>
        <v>N</v>
      </c>
      <c r="I471" s="9" t="str">
        <f aca="false">IF(Raw_Donors!H471="","Not Rated",Raw_Donors!H471)</f>
        <v>Not Rated</v>
      </c>
      <c r="J471" s="9" t="str">
        <f aca="false">IF(TRIM(Raw_Donors!I471)="","Unknown",TRIM(Raw_Donors!I471))</f>
        <v>HOME</v>
      </c>
      <c r="K471" s="9" t="str">
        <f aca="false">Raw_Donors!J471</f>
        <v>N</v>
      </c>
      <c r="L471" s="9" t="n">
        <f aca="false">Raw_Donors!K471</f>
        <v>0</v>
      </c>
      <c r="M471" s="10" t="n">
        <f aca="false">IFERROR(VALUE(SUBSTITUTE(SUBSTITUTE(Raw_Donors!L471,"$",""),",","")),0)</f>
        <v>0</v>
      </c>
      <c r="N471" s="10" t="n">
        <f aca="false">IFERROR(VALUE(SUBSTITUTE(SUBSTITUTE(Raw_Donors!M471,"$",""),",","")),0)</f>
        <v>0</v>
      </c>
      <c r="O471" s="10" t="n">
        <f aca="false">IFERROR(VALUE(SUBSTITUTE(SUBSTITUTE(Raw_Donors!N471,"$",""),",","")),0)</f>
        <v>0</v>
      </c>
      <c r="P471" s="10" t="n">
        <f aca="false">IFERROR(VALUE(SUBSTITUTE(SUBSTITUTE(Raw_Donors!O471,"$",""),",","")),0)</f>
        <v>0</v>
      </c>
      <c r="Q471" s="10" t="n">
        <f aca="false">IFERROR(VALUE(SUBSTITUTE(SUBSTITUTE(Raw_Donors!P471,"$",""),",","")),0)</f>
        <v>0</v>
      </c>
      <c r="R471" s="10" t="n">
        <f aca="false">Raw_Donors!Q471</f>
        <v>50</v>
      </c>
      <c r="S471" s="9" t="str">
        <f aca="false">Raw_Donors!R471</f>
        <v>Y</v>
      </c>
      <c r="T471" s="9" t="str">
        <f aca="false">IF(Raw_Donors!S471="","",Raw_Donors!S471)</f>
        <v>1976-12-17</v>
      </c>
      <c r="U471" s="9" t="str">
        <f aca="false">IF(AND((O471+P471)&gt;0,Q471=0),"Lapsed - Follow Up","")</f>
        <v/>
      </c>
      <c r="V471" s="9" t="n">
        <f aca="false">RANK(R471,$R$2:$R$759)+COUNTIF($R$2:R471,R471)-1</f>
        <v>379</v>
      </c>
      <c r="W471" s="9" t="str">
        <f aca="false">IF(U471="Lapsed - Follow Up",COUNTIF($U$2:U471,"Lapsed - Follow Up"),"")</f>
        <v/>
      </c>
    </row>
    <row r="472" customFormat="false" ht="15" hidden="false" customHeight="true" outlineLevel="0" collapsed="false">
      <c r="A472" s="9" t="str">
        <f aca="false">Raw_Donors!A472</f>
        <v>D1470</v>
      </c>
      <c r="B472" s="9" t="str">
        <f aca="false">IF(ISNUMBER(SEARCH("-DUP",A472)),"Duplicate ID","")</f>
        <v/>
      </c>
      <c r="C472" s="9" t="n">
        <f aca="false">Raw_Donors!B472</f>
        <v>95668</v>
      </c>
      <c r="D472" s="9" t="n">
        <f aca="false">Raw_Donors!C472</f>
        <v>36</v>
      </c>
      <c r="E472" s="9" t="str">
        <f aca="false">IFERROR(IF(Raw_Donors!D472="","Unknown",Raw_Donors!D472),"Unknown")</f>
        <v>Unknown</v>
      </c>
      <c r="F472" s="9" t="str">
        <f aca="false">IFERROR(IF(Raw_Donors!E472="","Unknown",Raw_Donors!E472),"Unknown")</f>
        <v>Male</v>
      </c>
      <c r="G472" s="9" t="str">
        <f aca="false">PROPER(TRIM(Raw_Donors!F472))</f>
        <v>Community Partner</v>
      </c>
      <c r="H472" s="9" t="str">
        <f aca="false">IFERROR(IF(Raw_Donors!G472="","N",Raw_Donors!G472),"N")</f>
        <v>Y</v>
      </c>
      <c r="I472" s="9" t="str">
        <f aca="false">IF(Raw_Donors!H472="","Not Rated",Raw_Donors!H472)</f>
        <v>Not Rated</v>
      </c>
      <c r="J472" s="9" t="str">
        <f aca="false">IF(TRIM(Raw_Donors!I472)="","Unknown",TRIM(Raw_Donors!I472))</f>
        <v>HOME</v>
      </c>
      <c r="K472" s="9" t="str">
        <f aca="false">Raw_Donors!J472</f>
        <v>Y</v>
      </c>
      <c r="L472" s="9" t="n">
        <f aca="false">Raw_Donors!K472</f>
        <v>1</v>
      </c>
      <c r="M472" s="10" t="n">
        <f aca="false">IFERROR(VALUE(SUBSTITUTE(SUBSTITUTE(Raw_Donors!L472,"$",""),",","")),0)</f>
        <v>0</v>
      </c>
      <c r="N472" s="10" t="n">
        <f aca="false">IFERROR(VALUE(SUBSTITUTE(SUBSTITUTE(Raw_Donors!M472,"$",""),",","")),0)</f>
        <v>0</v>
      </c>
      <c r="O472" s="10" t="n">
        <f aca="false">IFERROR(VALUE(SUBSTITUTE(SUBSTITUTE(Raw_Donors!N472,"$",""),",","")),0)</f>
        <v>0</v>
      </c>
      <c r="P472" s="10" t="n">
        <f aca="false">IFERROR(VALUE(SUBSTITUTE(SUBSTITUTE(Raw_Donors!O472,"$",""),",","")),0)</f>
        <v>0</v>
      </c>
      <c r="Q472" s="10" t="n">
        <f aca="false">IFERROR(VALUE(SUBSTITUTE(SUBSTITUTE(Raw_Donors!P472,"$",""),",","")),0)</f>
        <v>0</v>
      </c>
      <c r="R472" s="10" t="n">
        <f aca="false">Raw_Donors!Q472</f>
        <v>0</v>
      </c>
      <c r="S472" s="9" t="str">
        <f aca="false">Raw_Donors!R472</f>
        <v>N</v>
      </c>
      <c r="T472" s="9" t="str">
        <f aca="false">IF(Raw_Donors!S472="","",Raw_Donors!S472)</f>
        <v>1981-05-10</v>
      </c>
      <c r="U472" s="9" t="str">
        <f aca="false">IF(AND((O472+P472)&gt;0,Q472=0),"Lapsed - Follow Up","")</f>
        <v/>
      </c>
      <c r="V472" s="9" t="n">
        <f aca="false">RANK(R472,$R$2:$R$759)+COUNTIF($R$2:R472,R472)-1</f>
        <v>681</v>
      </c>
      <c r="W472" s="9" t="str">
        <f aca="false">IF(U472="Lapsed - Follow Up",COUNTIF($U$2:U472,"Lapsed - Follow Up"),"")</f>
        <v/>
      </c>
    </row>
    <row r="473" customFormat="false" ht="15" hidden="false" customHeight="true" outlineLevel="0" collapsed="false">
      <c r="A473" s="9" t="str">
        <f aca="false">Raw_Donors!A473</f>
        <v>D1471</v>
      </c>
      <c r="B473" s="9" t="str">
        <f aca="false">IF(ISNUMBER(SEARCH("-DUP",A473)),"Duplicate ID","")</f>
        <v/>
      </c>
      <c r="C473" s="9" t="n">
        <f aca="false">Raw_Donors!B473</f>
        <v>90265</v>
      </c>
      <c r="D473" s="9" t="n">
        <f aca="false">Raw_Donors!C473</f>
        <v>0</v>
      </c>
      <c r="E473" s="9" t="str">
        <f aca="false">IFERROR(IF(Raw_Donors!D473="","Unknown",Raw_Donors!D473),"Unknown")</f>
        <v>Unknown</v>
      </c>
      <c r="F473" s="9" t="str">
        <f aca="false">IFERROR(IF(Raw_Donors!E473="","Unknown",Raw_Donors!E473),"Unknown")</f>
        <v>Female</v>
      </c>
      <c r="G473" s="9" t="str">
        <f aca="false">PROPER(TRIM(Raw_Donors!F473))</f>
        <v>Individual Donor</v>
      </c>
      <c r="H473" s="9" t="str">
        <f aca="false">IFERROR(IF(Raw_Donors!G473="","N",Raw_Donors!G473),"N")</f>
        <v>N</v>
      </c>
      <c r="I473" s="9" t="str">
        <f aca="false">IF(Raw_Donors!H473="","Not Rated",Raw_Donors!H473)</f>
        <v>Not Rated</v>
      </c>
      <c r="J473" s="9" t="str">
        <f aca="false">IF(TRIM(Raw_Donors!I473)="","Unknown",TRIM(Raw_Donors!I473))</f>
        <v>HOME</v>
      </c>
      <c r="K473" s="9" t="str">
        <f aca="false">Raw_Donors!J473</f>
        <v>N</v>
      </c>
      <c r="L473" s="9" t="n">
        <f aca="false">Raw_Donors!K473</f>
        <v>3</v>
      </c>
      <c r="M473" s="10" t="n">
        <f aca="false">IFERROR(VALUE(SUBSTITUTE(SUBSTITUTE(Raw_Donors!L473,"$",""),",","")),0)</f>
        <v>0</v>
      </c>
      <c r="N473" s="10" t="n">
        <f aca="false">IFERROR(VALUE(SUBSTITUTE(SUBSTITUTE(Raw_Donors!M473,"$",""),",","")),0)</f>
        <v>0</v>
      </c>
      <c r="O473" s="10" t="n">
        <f aca="false">IFERROR(VALUE(SUBSTITUTE(SUBSTITUTE(Raw_Donors!N473,"$",""),",","")),0)</f>
        <v>0</v>
      </c>
      <c r="P473" s="10" t="n">
        <f aca="false">IFERROR(VALUE(SUBSTITUTE(SUBSTITUTE(Raw_Donors!O473,"$",""),",","")),0)</f>
        <v>0</v>
      </c>
      <c r="Q473" s="10" t="n">
        <f aca="false">IFERROR(VALUE(SUBSTITUTE(SUBSTITUTE(Raw_Donors!P473,"$",""),",","")),0)</f>
        <v>0</v>
      </c>
      <c r="R473" s="10" t="n">
        <f aca="false">Raw_Donors!Q473</f>
        <v>0</v>
      </c>
      <c r="S473" s="9" t="str">
        <f aca="false">Raw_Donors!R473</f>
        <v>N</v>
      </c>
      <c r="T473" s="9" t="str">
        <f aca="false">IF(Raw_Donors!S473="","",Raw_Donors!S473)</f>
        <v/>
      </c>
      <c r="U473" s="9" t="str">
        <f aca="false">IF(AND((O473+P473)&gt;0,Q473=0),"Lapsed - Follow Up","")</f>
        <v/>
      </c>
      <c r="V473" s="9" t="n">
        <f aca="false">RANK(R473,$R$2:$R$759)+COUNTIF($R$2:R473,R473)-1</f>
        <v>682</v>
      </c>
      <c r="W473" s="9" t="str">
        <f aca="false">IF(U473="Lapsed - Follow Up",COUNTIF($U$2:U473,"Lapsed - Follow Up"),"")</f>
        <v/>
      </c>
    </row>
    <row r="474" customFormat="false" ht="15" hidden="false" customHeight="true" outlineLevel="0" collapsed="false">
      <c r="A474" s="9" t="str">
        <f aca="false">Raw_Donors!A474</f>
        <v>D1472</v>
      </c>
      <c r="B474" s="9" t="str">
        <f aca="false">IF(ISNUMBER(SEARCH("-DUP",A474)),"Duplicate ID","")</f>
        <v/>
      </c>
      <c r="C474" s="9" t="n">
        <f aca="false">Raw_Donors!B474</f>
        <v>50381</v>
      </c>
      <c r="D474" s="9" t="n">
        <f aca="false">Raw_Donors!C474</f>
        <v>73</v>
      </c>
      <c r="E474" s="9" t="str">
        <f aca="false">IFERROR(IF(Raw_Donors!D474="","Unknown",Raw_Donors!D474),"Unknown")</f>
        <v>Unknown</v>
      </c>
      <c r="F474" s="9" t="str">
        <f aca="false">IFERROR(IF(Raw_Donors!E474="","Unknown",Raw_Donors!E474),"Unknown")</f>
        <v>Female</v>
      </c>
      <c r="G474" s="9" t="str">
        <f aca="false">PROPER(TRIM(Raw_Donors!F474))</f>
        <v>Individual Donor</v>
      </c>
      <c r="H474" s="9" t="str">
        <f aca="false">IFERROR(IF(Raw_Donors!G474="","N",Raw_Donors!G474),"N")</f>
        <v>N</v>
      </c>
      <c r="I474" s="9" t="str">
        <f aca="false">IF(Raw_Donors!H474="","Not Rated",Raw_Donors!H474)</f>
        <v>Not Rated</v>
      </c>
      <c r="J474" s="9" t="str">
        <f aca="false">IF(TRIM(Raw_Donors!I474)="","Unknown",TRIM(Raw_Donors!I474))</f>
        <v>HOME</v>
      </c>
      <c r="K474" s="9" t="str">
        <f aca="false">Raw_Donors!J474</f>
        <v>N</v>
      </c>
      <c r="L474" s="9" t="n">
        <f aca="false">Raw_Donors!K474</f>
        <v>0</v>
      </c>
      <c r="M474" s="10" t="n">
        <f aca="false">IFERROR(VALUE(SUBSTITUTE(SUBSTITUTE(Raw_Donors!L474,"$",""),",","")),0)</f>
        <v>0</v>
      </c>
      <c r="N474" s="10" t="n">
        <f aca="false">IFERROR(VALUE(SUBSTITUTE(SUBSTITUTE(Raw_Donors!M474,"$",""),",","")),0)</f>
        <v>0</v>
      </c>
      <c r="O474" s="10" t="n">
        <f aca="false">IFERROR(VALUE(SUBSTITUTE(SUBSTITUTE(Raw_Donors!N474,"$",""),",","")),0)</f>
        <v>0</v>
      </c>
      <c r="P474" s="10" t="n">
        <f aca="false">IFERROR(VALUE(SUBSTITUTE(SUBSTITUTE(Raw_Donors!O474,"$",""),",","")),0)</f>
        <v>0</v>
      </c>
      <c r="Q474" s="10" t="n">
        <f aca="false">IFERROR(VALUE(SUBSTITUTE(SUBSTITUTE(Raw_Donors!P474,"$",""),",","")),0)</f>
        <v>0</v>
      </c>
      <c r="R474" s="10" t="n">
        <f aca="false">Raw_Donors!Q474</f>
        <v>25</v>
      </c>
      <c r="S474" s="9" t="str">
        <f aca="false">Raw_Donors!R474</f>
        <v>Y</v>
      </c>
      <c r="T474" s="9" t="str">
        <f aca="false">IF(Raw_Donors!S474="","",Raw_Donors!S474)</f>
        <v>1944-06-09</v>
      </c>
      <c r="U474" s="9" t="str">
        <f aca="false">IF(AND((O474+P474)&gt;0,Q474=0),"Lapsed - Follow Up","")</f>
        <v/>
      </c>
      <c r="V474" s="9" t="n">
        <f aca="false">RANK(R474,$R$2:$R$759)+COUNTIF($R$2:R474,R474)-1</f>
        <v>451</v>
      </c>
      <c r="W474" s="9" t="str">
        <f aca="false">IF(U474="Lapsed - Follow Up",COUNTIF($U$2:U474,"Lapsed - Follow Up"),"")</f>
        <v/>
      </c>
    </row>
    <row r="475" customFormat="false" ht="15" hidden="false" customHeight="true" outlineLevel="0" collapsed="false">
      <c r="A475" s="9" t="str">
        <f aca="false">Raw_Donors!A475</f>
        <v>D1473</v>
      </c>
      <c r="B475" s="9" t="str">
        <f aca="false">IF(ISNUMBER(SEARCH("-DUP",A475)),"Duplicate ID","")</f>
        <v/>
      </c>
      <c r="C475" s="9" t="n">
        <f aca="false">Raw_Donors!B475</f>
        <v>78237</v>
      </c>
      <c r="D475" s="9" t="n">
        <f aca="false">Raw_Donors!C475</f>
        <v>69</v>
      </c>
      <c r="E475" s="9" t="str">
        <f aca="false">IFERROR(IF(Raw_Donors!D475="","Unknown",Raw_Donors!D475),"Unknown")</f>
        <v>Unknown</v>
      </c>
      <c r="F475" s="9" t="str">
        <f aca="false">IFERROR(IF(Raw_Donors!E475="","Unknown",Raw_Donors!E475),"Unknown")</f>
        <v>Male</v>
      </c>
      <c r="G475" s="9" t="str">
        <f aca="false">PROPER(TRIM(Raw_Donors!F475))</f>
        <v>Individual Donor</v>
      </c>
      <c r="H475" s="9" t="str">
        <f aca="false">IFERROR(IF(Raw_Donors!G475="","N",Raw_Donors!G475),"N")</f>
        <v>N</v>
      </c>
      <c r="I475" s="9" t="str">
        <f aca="false">IF(Raw_Donors!H475="","Not Rated",Raw_Donors!H475)</f>
        <v>Not Rated</v>
      </c>
      <c r="J475" s="9" t="str">
        <f aca="false">IF(TRIM(Raw_Donors!I475)="","Unknown",TRIM(Raw_Donors!I475))</f>
        <v>HOME</v>
      </c>
      <c r="K475" s="9" t="str">
        <f aca="false">Raw_Donors!J475</f>
        <v>N</v>
      </c>
      <c r="L475" s="9" t="n">
        <f aca="false">Raw_Donors!K475</f>
        <v>0</v>
      </c>
      <c r="M475" s="10" t="n">
        <f aca="false">IFERROR(VALUE(SUBSTITUTE(SUBSTITUTE(Raw_Donors!L475,"$",""),",","")),0)</f>
        <v>0</v>
      </c>
      <c r="N475" s="10" t="n">
        <f aca="false">IFERROR(VALUE(SUBSTITUTE(SUBSTITUTE(Raw_Donors!M475,"$",""),",","")),0)</f>
        <v>0</v>
      </c>
      <c r="O475" s="10" t="n">
        <f aca="false">IFERROR(VALUE(SUBSTITUTE(SUBSTITUTE(Raw_Donors!N475,"$",""),",","")),0)</f>
        <v>0</v>
      </c>
      <c r="P475" s="10" t="n">
        <f aca="false">IFERROR(VALUE(SUBSTITUTE(SUBSTITUTE(Raw_Donors!O475,"$",""),",","")),0)</f>
        <v>0</v>
      </c>
      <c r="Q475" s="10" t="n">
        <f aca="false">IFERROR(VALUE(SUBSTITUTE(SUBSTITUTE(Raw_Donors!P475,"$",""),",","")),0)</f>
        <v>0</v>
      </c>
      <c r="R475" s="10" t="n">
        <f aca="false">Raw_Donors!Q475</f>
        <v>9</v>
      </c>
      <c r="S475" s="9" t="str">
        <f aca="false">Raw_Donors!R475</f>
        <v>Y</v>
      </c>
      <c r="T475" s="9" t="str">
        <f aca="false">IF(Raw_Donors!S475="","",Raw_Donors!S475)</f>
        <v>1948-06-19</v>
      </c>
      <c r="U475" s="9" t="str">
        <f aca="false">IF(AND((O475+P475)&gt;0,Q475=0),"Lapsed - Follow Up","")</f>
        <v/>
      </c>
      <c r="V475" s="9" t="n">
        <f aca="false">RANK(R475,$R$2:$R$759)+COUNTIF($R$2:R475,R475)-1</f>
        <v>509</v>
      </c>
      <c r="W475" s="9" t="str">
        <f aca="false">IF(U475="Lapsed - Follow Up",COUNTIF($U$2:U475,"Lapsed - Follow Up"),"")</f>
        <v/>
      </c>
    </row>
    <row r="476" customFormat="false" ht="15" hidden="false" customHeight="true" outlineLevel="0" collapsed="false">
      <c r="A476" s="9" t="str">
        <f aca="false">Raw_Donors!A476</f>
        <v>D1474</v>
      </c>
      <c r="B476" s="9" t="str">
        <f aca="false">IF(ISNUMBER(SEARCH("-DUP",A476)),"Duplicate ID","")</f>
        <v/>
      </c>
      <c r="C476" s="9" t="n">
        <f aca="false">Raw_Donors!B476</f>
        <v>22211</v>
      </c>
      <c r="D476" s="9" t="n">
        <f aca="false">Raw_Donors!C476</f>
        <v>0</v>
      </c>
      <c r="E476" s="9" t="str">
        <f aca="false">IFERROR(IF(Raw_Donors!D476="","Unknown",Raw_Donors!D476),"Unknown")</f>
        <v>Unknown</v>
      </c>
      <c r="F476" s="9" t="str">
        <f aca="false">IFERROR(IF(Raw_Donors!E476="","Unknown",Raw_Donors!E476),"Unknown")</f>
        <v>Male</v>
      </c>
      <c r="G476" s="9" t="str">
        <f aca="false">PROPER(TRIM(Raw_Donors!F476))</f>
        <v>Community Partner</v>
      </c>
      <c r="H476" s="9" t="str">
        <f aca="false">IFERROR(IF(Raw_Donors!G476="","N",Raw_Donors!G476),"N")</f>
        <v>N</v>
      </c>
      <c r="I476" s="9" t="str">
        <f aca="false">IF(Raw_Donors!H476="","Not Rated",Raw_Donors!H476)</f>
        <v>Not Rated</v>
      </c>
      <c r="J476" s="9" t="str">
        <f aca="false">IF(TRIM(Raw_Donors!I476)="","Unknown",TRIM(Raw_Donors!I476))</f>
        <v>Unknown</v>
      </c>
      <c r="K476" s="9" t="str">
        <f aca="false">Raw_Donors!J476</f>
        <v>N</v>
      </c>
      <c r="L476" s="9" t="n">
        <f aca="false">Raw_Donors!K476</f>
        <v>0</v>
      </c>
      <c r="M476" s="10" t="n">
        <f aca="false">IFERROR(VALUE(SUBSTITUTE(SUBSTITUTE(Raw_Donors!L476,"$",""),",","")),0)</f>
        <v>0</v>
      </c>
      <c r="N476" s="10" t="n">
        <f aca="false">IFERROR(VALUE(SUBSTITUTE(SUBSTITUTE(Raw_Donors!M476,"$",""),",","")),0)</f>
        <v>0</v>
      </c>
      <c r="O476" s="10" t="n">
        <f aca="false">IFERROR(VALUE(SUBSTITUTE(SUBSTITUTE(Raw_Donors!N476,"$",""),",","")),0)</f>
        <v>0</v>
      </c>
      <c r="P476" s="10" t="n">
        <f aca="false">IFERROR(VALUE(SUBSTITUTE(SUBSTITUTE(Raw_Donors!O476,"$",""),",","")),0)</f>
        <v>0</v>
      </c>
      <c r="Q476" s="10" t="n">
        <f aca="false">IFERROR(VALUE(SUBSTITUTE(SUBSTITUTE(Raw_Donors!P476,"$",""),",","")),0)</f>
        <v>0</v>
      </c>
      <c r="R476" s="10" t="n">
        <f aca="false">Raw_Donors!Q476</f>
        <v>0</v>
      </c>
      <c r="S476" s="9" t="str">
        <f aca="false">Raw_Donors!R476</f>
        <v>N</v>
      </c>
      <c r="T476" s="9" t="str">
        <f aca="false">IF(Raw_Donors!S476="","",Raw_Donors!S476)</f>
        <v/>
      </c>
      <c r="U476" s="9" t="str">
        <f aca="false">IF(AND((O476+P476)&gt;0,Q476=0),"Lapsed - Follow Up","")</f>
        <v/>
      </c>
      <c r="V476" s="9" t="n">
        <f aca="false">RANK(R476,$R$2:$R$759)+COUNTIF($R$2:R476,R476)-1</f>
        <v>683</v>
      </c>
      <c r="W476" s="9" t="str">
        <f aca="false">IF(U476="Lapsed - Follow Up",COUNTIF($U$2:U476,"Lapsed - Follow Up"),"")</f>
        <v/>
      </c>
    </row>
    <row r="477" customFormat="false" ht="15" hidden="false" customHeight="true" outlineLevel="0" collapsed="false">
      <c r="A477" s="9" t="str">
        <f aca="false">Raw_Donors!A477</f>
        <v>D1475</v>
      </c>
      <c r="B477" s="9" t="str">
        <f aca="false">IF(ISNUMBER(SEARCH("-DUP",A477)),"Duplicate ID","")</f>
        <v/>
      </c>
      <c r="C477" s="9" t="n">
        <f aca="false">Raw_Donors!B477</f>
        <v>18324</v>
      </c>
      <c r="D477" s="9" t="n">
        <f aca="false">Raw_Donors!C477</f>
        <v>0</v>
      </c>
      <c r="E477" s="9" t="str">
        <f aca="false">IFERROR(IF(Raw_Donors!D477="","Unknown",Raw_Donors!D477),"Unknown")</f>
        <v>Unknown</v>
      </c>
      <c r="F477" s="9" t="str">
        <f aca="false">IFERROR(IF(Raw_Donors!E477="","Unknown",Raw_Donors!E477),"Unknown")</f>
        <v>Female</v>
      </c>
      <c r="G477" s="9" t="str">
        <f aca="false">PROPER(TRIM(Raw_Donors!F477))</f>
        <v>Individual Donor</v>
      </c>
      <c r="H477" s="9" t="str">
        <f aca="false">IFERROR(IF(Raw_Donors!G477="","N",Raw_Donors!G477),"N")</f>
        <v>Y</v>
      </c>
      <c r="I477" s="9" t="str">
        <f aca="false">IF(Raw_Donors!H477="","Not Rated",Raw_Donors!H477)</f>
        <v>Not Rated</v>
      </c>
      <c r="J477" s="9" t="str">
        <f aca="false">IF(TRIM(Raw_Donors!I477)="","Unknown",TRIM(Raw_Donors!I477))</f>
        <v>HOME</v>
      </c>
      <c r="K477" s="9" t="str">
        <f aca="false">Raw_Donors!J477</f>
        <v>N</v>
      </c>
      <c r="L477" s="9" t="n">
        <f aca="false">Raw_Donors!K477</f>
        <v>4</v>
      </c>
      <c r="M477" s="10" t="n">
        <f aca="false">IFERROR(VALUE(SUBSTITUTE(SUBSTITUTE(Raw_Donors!L477,"$",""),",","")),0)</f>
        <v>100</v>
      </c>
      <c r="N477" s="10" t="n">
        <f aca="false">IFERROR(VALUE(SUBSTITUTE(SUBSTITUTE(Raw_Donors!M477,"$",""),",","")),0)</f>
        <v>0</v>
      </c>
      <c r="O477" s="10" t="n">
        <f aca="false">IFERROR(VALUE(SUBSTITUTE(SUBSTITUTE(Raw_Donors!N477,"$",""),",","")),0)</f>
        <v>0</v>
      </c>
      <c r="P477" s="10" t="n">
        <f aca="false">IFERROR(VALUE(SUBSTITUTE(SUBSTITUTE(Raw_Donors!O477,"$",""),",","")),0)</f>
        <v>0</v>
      </c>
      <c r="Q477" s="10" t="n">
        <f aca="false">IFERROR(VALUE(SUBSTITUTE(SUBSTITUTE(Raw_Donors!P477,"$",""),",","")),0)</f>
        <v>0</v>
      </c>
      <c r="R477" s="10" t="n">
        <f aca="false">Raw_Donors!Q477</f>
        <v>100</v>
      </c>
      <c r="S477" s="9" t="str">
        <f aca="false">Raw_Donors!R477</f>
        <v>Y</v>
      </c>
      <c r="T477" s="9" t="str">
        <f aca="false">IF(Raw_Donors!S477="","",Raw_Donors!S477)</f>
        <v/>
      </c>
      <c r="U477" s="9" t="str">
        <f aca="false">IF(AND((O477+P477)&gt;0,Q477=0),"Lapsed - Follow Up","")</f>
        <v/>
      </c>
      <c r="V477" s="9" t="n">
        <f aca="false">RANK(R477,$R$2:$R$759)+COUNTIF($R$2:R477,R477)-1</f>
        <v>289</v>
      </c>
      <c r="W477" s="9" t="str">
        <f aca="false">IF(U477="Lapsed - Follow Up",COUNTIF($U$2:U477,"Lapsed - Follow Up"),"")</f>
        <v/>
      </c>
    </row>
    <row r="478" customFormat="false" ht="15" hidden="false" customHeight="true" outlineLevel="0" collapsed="false">
      <c r="A478" s="9" t="str">
        <f aca="false">Raw_Donors!A478</f>
        <v>D1476</v>
      </c>
      <c r="B478" s="9" t="str">
        <f aca="false">IF(ISNUMBER(SEARCH("-DUP",A478)),"Duplicate ID","")</f>
        <v/>
      </c>
      <c r="C478" s="9" t="n">
        <f aca="false">Raw_Donors!B478</f>
        <v>4936</v>
      </c>
      <c r="D478" s="9" t="n">
        <f aca="false">Raw_Donors!C478</f>
        <v>0</v>
      </c>
      <c r="E478" s="9" t="str">
        <f aca="false">IFERROR(IF(Raw_Donors!D478="","Unknown",Raw_Donors!D478),"Unknown")</f>
        <v>Single</v>
      </c>
      <c r="F478" s="9" t="str">
        <f aca="false">IFERROR(IF(Raw_Donors!E478="","Unknown",Raw_Donors!E478),"Unknown")</f>
        <v>Male</v>
      </c>
      <c r="G478" s="9" t="str">
        <f aca="false">PROPER(TRIM(Raw_Donors!F478))</f>
        <v>Individual Donor</v>
      </c>
      <c r="H478" s="9" t="str">
        <f aca="false">IFERROR(IF(Raw_Donors!G478="","N",Raw_Donors!G478),"N")</f>
        <v>N</v>
      </c>
      <c r="I478" s="9" t="str">
        <f aca="false">IF(Raw_Donors!H478="","Not Rated",Raw_Donors!H478)</f>
        <v>Not Rated</v>
      </c>
      <c r="J478" s="9" t="str">
        <f aca="false">IF(TRIM(Raw_Donors!I478)="","Unknown",TRIM(Raw_Donors!I478))</f>
        <v>Unknown</v>
      </c>
      <c r="K478" s="9" t="str">
        <f aca="false">Raw_Donors!J478</f>
        <v>N</v>
      </c>
      <c r="L478" s="9" t="n">
        <f aca="false">Raw_Donors!K478</f>
        <v>0</v>
      </c>
      <c r="M478" s="10" t="n">
        <f aca="false">IFERROR(VALUE(SUBSTITUTE(SUBSTITUTE(Raw_Donors!L478,"$",""),",","")),0)</f>
        <v>0</v>
      </c>
      <c r="N478" s="10" t="n">
        <f aca="false">IFERROR(VALUE(SUBSTITUTE(SUBSTITUTE(Raw_Donors!M478,"$",""),",","")),0)</f>
        <v>0</v>
      </c>
      <c r="O478" s="10" t="n">
        <f aca="false">IFERROR(VALUE(SUBSTITUTE(SUBSTITUTE(Raw_Donors!N478,"$",""),",","")),0)</f>
        <v>0</v>
      </c>
      <c r="P478" s="10" t="n">
        <f aca="false">IFERROR(VALUE(SUBSTITUTE(SUBSTITUTE(Raw_Donors!O478,"$",""),",","")),0)</f>
        <v>0</v>
      </c>
      <c r="Q478" s="10" t="n">
        <f aca="false">IFERROR(VALUE(SUBSTITUTE(SUBSTITUTE(Raw_Donors!P478,"$",""),",","")),0)</f>
        <v>0</v>
      </c>
      <c r="R478" s="10" t="n">
        <f aca="false">Raw_Donors!Q478</f>
        <v>245</v>
      </c>
      <c r="S478" s="9" t="str">
        <f aca="false">Raw_Donors!R478</f>
        <v>Y</v>
      </c>
      <c r="T478" s="9" t="str">
        <f aca="false">IF(Raw_Donors!S478="","",Raw_Donors!S478)</f>
        <v/>
      </c>
      <c r="U478" s="9" t="str">
        <f aca="false">IF(AND((O478+P478)&gt;0,Q478=0),"Lapsed - Follow Up","")</f>
        <v/>
      </c>
      <c r="V478" s="9" t="n">
        <f aca="false">RANK(R478,$R$2:$R$759)+COUNTIF($R$2:R478,R478)-1</f>
        <v>173</v>
      </c>
      <c r="W478" s="9" t="str">
        <f aca="false">IF(U478="Lapsed - Follow Up",COUNTIF($U$2:U478,"Lapsed - Follow Up"),"")</f>
        <v/>
      </c>
    </row>
    <row r="479" customFormat="false" ht="15" hidden="false" customHeight="true" outlineLevel="0" collapsed="false">
      <c r="A479" s="9" t="str">
        <f aca="false">Raw_Donors!A479</f>
        <v>D1477</v>
      </c>
      <c r="B479" s="9" t="str">
        <f aca="false">IF(ISNUMBER(SEARCH("-DUP",A479)),"Duplicate ID","")</f>
        <v/>
      </c>
      <c r="C479" s="9" t="n">
        <f aca="false">Raw_Donors!B479</f>
        <v>90265</v>
      </c>
      <c r="D479" s="9" t="n">
        <f aca="false">Raw_Donors!C479</f>
        <v>0</v>
      </c>
      <c r="E479" s="9" t="str">
        <f aca="false">IFERROR(IF(Raw_Donors!D479="","Unknown",Raw_Donors!D479),"Unknown")</f>
        <v>Unknown</v>
      </c>
      <c r="F479" s="9" t="str">
        <f aca="false">IFERROR(IF(Raw_Donors!E479="","Unknown",Raw_Donors!E479),"Unknown")</f>
        <v>Female</v>
      </c>
      <c r="G479" s="9" t="str">
        <f aca="false">PROPER(TRIM(Raw_Donors!F479))</f>
        <v>Individual Donor</v>
      </c>
      <c r="H479" s="9" t="str">
        <f aca="false">IFERROR(IF(Raw_Donors!G479="","N",Raw_Donors!G479),"N")</f>
        <v>N</v>
      </c>
      <c r="I479" s="9" t="str">
        <f aca="false">IF(Raw_Donors!H479="","Not Rated",Raw_Donors!H479)</f>
        <v>Not Rated</v>
      </c>
      <c r="J479" s="9" t="str">
        <f aca="false">IF(TRIM(Raw_Donors!I479)="","Unknown",TRIM(Raw_Donors!I479))</f>
        <v>BUSN</v>
      </c>
      <c r="K479" s="9" t="str">
        <f aca="false">Raw_Donors!J479</f>
        <v>N</v>
      </c>
      <c r="L479" s="9" t="n">
        <f aca="false">Raw_Donors!K479</f>
        <v>1</v>
      </c>
      <c r="M479" s="10" t="n">
        <f aca="false">IFERROR(VALUE(SUBSTITUTE(SUBSTITUTE(Raw_Donors!L479,"$",""),",","")),0)</f>
        <v>0</v>
      </c>
      <c r="N479" s="10" t="n">
        <f aca="false">IFERROR(VALUE(SUBSTITUTE(SUBSTITUTE(Raw_Donors!M479,"$",""),",","")),0)</f>
        <v>0</v>
      </c>
      <c r="O479" s="10" t="n">
        <f aca="false">IFERROR(VALUE(SUBSTITUTE(SUBSTITUTE(Raw_Donors!N479,"$",""),",","")),0)</f>
        <v>0</v>
      </c>
      <c r="P479" s="10" t="n">
        <f aca="false">IFERROR(VALUE(SUBSTITUTE(SUBSTITUTE(Raw_Donors!O479,"$",""),",","")),0)</f>
        <v>0</v>
      </c>
      <c r="Q479" s="10" t="n">
        <f aca="false">IFERROR(VALUE(SUBSTITUTE(SUBSTITUTE(Raw_Donors!P479,"$",""),",","")),0)</f>
        <v>0</v>
      </c>
      <c r="R479" s="10" t="n">
        <f aca="false">Raw_Donors!Q479</f>
        <v>65</v>
      </c>
      <c r="S479" s="9" t="str">
        <f aca="false">Raw_Donors!R479</f>
        <v>Y</v>
      </c>
      <c r="T479" s="9" t="str">
        <f aca="false">IF(Raw_Donors!S479="","",Raw_Donors!S479)</f>
        <v/>
      </c>
      <c r="U479" s="9" t="str">
        <f aca="false">IF(AND((O479+P479)&gt;0,Q479=0),"Lapsed - Follow Up","")</f>
        <v/>
      </c>
      <c r="V479" s="9" t="n">
        <f aca="false">RANK(R479,$R$2:$R$759)+COUNTIF($R$2:R479,R479)-1</f>
        <v>345</v>
      </c>
      <c r="W479" s="9" t="str">
        <f aca="false">IF(U479="Lapsed - Follow Up",COUNTIF($U$2:U479,"Lapsed - Follow Up"),"")</f>
        <v/>
      </c>
    </row>
    <row r="480" customFormat="false" ht="15" hidden="false" customHeight="true" outlineLevel="0" collapsed="false">
      <c r="A480" s="9" t="str">
        <f aca="false">Raw_Donors!A480</f>
        <v>D1478</v>
      </c>
      <c r="B480" s="9" t="str">
        <f aca="false">IF(ISNUMBER(SEARCH("-DUP",A480)),"Duplicate ID","")</f>
        <v/>
      </c>
      <c r="C480" s="9" t="n">
        <f aca="false">Raw_Donors!B480</f>
        <v>63436</v>
      </c>
      <c r="D480" s="9" t="n">
        <f aca="false">Raw_Donors!C480</f>
        <v>24</v>
      </c>
      <c r="E480" s="9" t="str">
        <f aca="false">IFERROR(IF(Raw_Donors!D480="","Unknown",Raw_Donors!D480),"Unknown")</f>
        <v>Unknown</v>
      </c>
      <c r="F480" s="9" t="str">
        <f aca="false">IFERROR(IF(Raw_Donors!E480="","Unknown",Raw_Donors!E480),"Unknown")</f>
        <v>Female</v>
      </c>
      <c r="G480" s="9" t="str">
        <f aca="false">PROPER(TRIM(Raw_Donors!F480))</f>
        <v>Individual Donor</v>
      </c>
      <c r="H480" s="9" t="str">
        <f aca="false">IFERROR(IF(Raw_Donors!G480="","N",Raw_Donors!G480),"N")</f>
        <v>N</v>
      </c>
      <c r="I480" s="9" t="str">
        <f aca="false">IF(Raw_Donors!H480="","Not Rated",Raw_Donors!H480)</f>
        <v>$250,000-$499,999</v>
      </c>
      <c r="J480" s="9" t="str">
        <f aca="false">IF(TRIM(Raw_Donors!I480)="","Unknown",TRIM(Raw_Donors!I480))</f>
        <v>HOME</v>
      </c>
      <c r="K480" s="9" t="str">
        <f aca="false">Raw_Donors!J480</f>
        <v>Y</v>
      </c>
      <c r="L480" s="9" t="n">
        <f aca="false">Raw_Donors!K480</f>
        <v>0</v>
      </c>
      <c r="M480" s="10" t="n">
        <f aca="false">IFERROR(VALUE(SUBSTITUTE(SUBSTITUTE(Raw_Donors!L480,"$",""),",","")),0)</f>
        <v>0</v>
      </c>
      <c r="N480" s="10" t="n">
        <f aca="false">IFERROR(VALUE(SUBSTITUTE(SUBSTITUTE(Raw_Donors!M480,"$",""),",","")),0)</f>
        <v>0</v>
      </c>
      <c r="O480" s="10" t="n">
        <f aca="false">IFERROR(VALUE(SUBSTITUTE(SUBSTITUTE(Raw_Donors!N480,"$",""),",","")),0)</f>
        <v>0</v>
      </c>
      <c r="P480" s="10" t="n">
        <f aca="false">IFERROR(VALUE(SUBSTITUTE(SUBSTITUTE(Raw_Donors!O480,"$",""),",","")),0)</f>
        <v>0</v>
      </c>
      <c r="Q480" s="10" t="n">
        <f aca="false">IFERROR(VALUE(SUBSTITUTE(SUBSTITUTE(Raw_Donors!P480,"$",""),",","")),0)</f>
        <v>0</v>
      </c>
      <c r="R480" s="10" t="n">
        <f aca="false">Raw_Donors!Q480</f>
        <v>50</v>
      </c>
      <c r="S480" s="9" t="str">
        <f aca="false">Raw_Donors!R480</f>
        <v>Y</v>
      </c>
      <c r="T480" s="9" t="str">
        <f aca="false">IF(Raw_Donors!S480="","",Raw_Donors!S480)</f>
        <v>1993-09-23</v>
      </c>
      <c r="U480" s="9" t="str">
        <f aca="false">IF(AND((O480+P480)&gt;0,Q480=0),"Lapsed - Follow Up","")</f>
        <v/>
      </c>
      <c r="V480" s="9" t="n">
        <f aca="false">RANK(R480,$R$2:$R$759)+COUNTIF($R$2:R480,R480)-1</f>
        <v>380</v>
      </c>
      <c r="W480" s="9" t="str">
        <f aca="false">IF(U480="Lapsed - Follow Up",COUNTIF($U$2:U480,"Lapsed - Follow Up"),"")</f>
        <v/>
      </c>
    </row>
    <row r="481" customFormat="false" ht="15" hidden="false" customHeight="true" outlineLevel="0" collapsed="false">
      <c r="A481" s="9" t="str">
        <f aca="false">Raw_Donors!A481</f>
        <v>D1479</v>
      </c>
      <c r="B481" s="9" t="str">
        <f aca="false">IF(ISNUMBER(SEARCH("-DUP",A481)),"Duplicate ID","")</f>
        <v/>
      </c>
      <c r="C481" s="9" t="n">
        <f aca="false">Raw_Donors!B481</f>
        <v>85018</v>
      </c>
      <c r="D481" s="9" t="n">
        <f aca="false">Raw_Donors!C481</f>
        <v>0</v>
      </c>
      <c r="E481" s="9" t="str">
        <f aca="false">IFERROR(IF(Raw_Donors!D481="","Unknown",Raw_Donors!D481),"Unknown")</f>
        <v>Unknown</v>
      </c>
      <c r="F481" s="9" t="str">
        <f aca="false">IFERROR(IF(Raw_Donors!E481="","Unknown",Raw_Donors!E481),"Unknown")</f>
        <v>Male</v>
      </c>
      <c r="G481" s="9" t="str">
        <f aca="false">PROPER(TRIM(Raw_Donors!F481))</f>
        <v>Individual Donor</v>
      </c>
      <c r="H481" s="9" t="str">
        <f aca="false">IFERROR(IF(Raw_Donors!G481="","N",Raw_Donors!G481),"N")</f>
        <v>N</v>
      </c>
      <c r="I481" s="9" t="str">
        <f aca="false">IF(Raw_Donors!H481="","Not Rated",Raw_Donors!H481)</f>
        <v>$50,000-$99,999</v>
      </c>
      <c r="J481" s="9" t="str">
        <f aca="false">IF(TRIM(Raw_Donors!I481)="","Unknown",TRIM(Raw_Donors!I481))</f>
        <v>HOME</v>
      </c>
      <c r="K481" s="9" t="str">
        <f aca="false">Raw_Donors!J481</f>
        <v>N</v>
      </c>
      <c r="L481" s="9" t="n">
        <f aca="false">Raw_Donors!K481</f>
        <v>1</v>
      </c>
      <c r="M481" s="10" t="n">
        <f aca="false">IFERROR(VALUE(SUBSTITUTE(SUBSTITUTE(Raw_Donors!L481,"$",""),",","")),0)</f>
        <v>0</v>
      </c>
      <c r="N481" s="10" t="n">
        <f aca="false">IFERROR(VALUE(SUBSTITUTE(SUBSTITUTE(Raw_Donors!M481,"$",""),",","")),0)</f>
        <v>0</v>
      </c>
      <c r="O481" s="10" t="n">
        <f aca="false">IFERROR(VALUE(SUBSTITUTE(SUBSTITUTE(Raw_Donors!N481,"$",""),",","")),0)</f>
        <v>1</v>
      </c>
      <c r="P481" s="10" t="n">
        <f aca="false">IFERROR(VALUE(SUBSTITUTE(SUBSTITUTE(Raw_Donors!O481,"$",""),",","")),0)</f>
        <v>0</v>
      </c>
      <c r="Q481" s="10" t="n">
        <f aca="false">IFERROR(VALUE(SUBSTITUTE(SUBSTITUTE(Raw_Donors!P481,"$",""),",","")),0)</f>
        <v>50</v>
      </c>
      <c r="R481" s="10" t="n">
        <f aca="false">Raw_Donors!Q481</f>
        <v>60</v>
      </c>
      <c r="S481" s="9" t="str">
        <f aca="false">Raw_Donors!R481</f>
        <v>Y</v>
      </c>
      <c r="T481" s="9" t="str">
        <f aca="false">IF(Raw_Donors!S481="","",Raw_Donors!S481)</f>
        <v/>
      </c>
      <c r="U481" s="9" t="str">
        <f aca="false">IF(AND((O481+P481)&gt;0,Q481=0),"Lapsed - Follow Up","")</f>
        <v/>
      </c>
      <c r="V481" s="9" t="n">
        <f aca="false">RANK(R481,$R$2:$R$759)+COUNTIF($R$2:R481,R481)-1</f>
        <v>357</v>
      </c>
      <c r="W481" s="9" t="str">
        <f aca="false">IF(U481="Lapsed - Follow Up",COUNTIF($U$2:U481,"Lapsed - Follow Up"),"")</f>
        <v/>
      </c>
    </row>
    <row r="482" customFormat="false" ht="15" hidden="false" customHeight="true" outlineLevel="0" collapsed="false">
      <c r="A482" s="9" t="str">
        <f aca="false">Raw_Donors!A482</f>
        <v>D1480</v>
      </c>
      <c r="B482" s="9" t="str">
        <f aca="false">IF(ISNUMBER(SEARCH("-DUP",A482)),"Duplicate ID","")</f>
        <v/>
      </c>
      <c r="C482" s="9" t="n">
        <f aca="false">Raw_Donors!B482</f>
        <v>9868</v>
      </c>
      <c r="D482" s="9" t="n">
        <f aca="false">Raw_Donors!C482</f>
        <v>23</v>
      </c>
      <c r="E482" s="9" t="str">
        <f aca="false">IFERROR(IF(Raw_Donors!D482="","Unknown",Raw_Donors!D482),"Unknown")</f>
        <v>Unknown</v>
      </c>
      <c r="F482" s="9" t="str">
        <f aca="false">IFERROR(IF(Raw_Donors!E482="","Unknown",Raw_Donors!E482),"Unknown")</f>
        <v>Female</v>
      </c>
      <c r="G482" s="9" t="str">
        <f aca="false">PROPER(TRIM(Raw_Donors!F482))</f>
        <v>Individual Donor</v>
      </c>
      <c r="H482" s="9" t="str">
        <f aca="false">IFERROR(IF(Raw_Donors!G482="","N",Raw_Donors!G482),"N")</f>
        <v>N</v>
      </c>
      <c r="I482" s="9" t="str">
        <f aca="false">IF(Raw_Donors!H482="","Not Rated",Raw_Donors!H482)</f>
        <v>Not Rated</v>
      </c>
      <c r="J482" s="9" t="str">
        <f aca="false">IF(TRIM(Raw_Donors!I482)="","Unknown",TRIM(Raw_Donors!I482))</f>
        <v>HOME</v>
      </c>
      <c r="K482" s="9" t="str">
        <f aca="false">Raw_Donors!J482</f>
        <v>N</v>
      </c>
      <c r="L482" s="9" t="n">
        <f aca="false">Raw_Donors!K482</f>
        <v>0</v>
      </c>
      <c r="M482" s="10" t="n">
        <f aca="false">IFERROR(VALUE(SUBSTITUTE(SUBSTITUTE(Raw_Donors!L482,"$",""),",","")),0)</f>
        <v>0</v>
      </c>
      <c r="N482" s="10" t="n">
        <f aca="false">IFERROR(VALUE(SUBSTITUTE(SUBSTITUTE(Raw_Donors!M482,"$",""),",","")),0)</f>
        <v>0</v>
      </c>
      <c r="O482" s="10" t="n">
        <f aca="false">IFERROR(VALUE(SUBSTITUTE(SUBSTITUTE(Raw_Donors!N482,"$",""),",","")),0)</f>
        <v>0</v>
      </c>
      <c r="P482" s="10" t="n">
        <f aca="false">IFERROR(VALUE(SUBSTITUTE(SUBSTITUTE(Raw_Donors!O482,"$",""),",","")),0)</f>
        <v>0</v>
      </c>
      <c r="Q482" s="10" t="n">
        <f aca="false">IFERROR(VALUE(SUBSTITUTE(SUBSTITUTE(Raw_Donors!P482,"$",""),",","")),0)</f>
        <v>0</v>
      </c>
      <c r="R482" s="10" t="n">
        <f aca="false">Raw_Donors!Q482</f>
        <v>245</v>
      </c>
      <c r="S482" s="9" t="str">
        <f aca="false">Raw_Donors!R482</f>
        <v>Y</v>
      </c>
      <c r="T482" s="9" t="str">
        <f aca="false">IF(Raw_Donors!S482="","",Raw_Donors!S482)</f>
        <v>1994-08-05</v>
      </c>
      <c r="U482" s="9" t="str">
        <f aca="false">IF(AND((O482+P482)&gt;0,Q482=0),"Lapsed - Follow Up","")</f>
        <v/>
      </c>
      <c r="V482" s="9" t="n">
        <f aca="false">RANK(R482,$R$2:$R$759)+COUNTIF($R$2:R482,R482)-1</f>
        <v>174</v>
      </c>
      <c r="W482" s="9" t="str">
        <f aca="false">IF(U482="Lapsed - Follow Up",COUNTIF($U$2:U482,"Lapsed - Follow Up"),"")</f>
        <v/>
      </c>
    </row>
    <row r="483" customFormat="false" ht="15" hidden="false" customHeight="true" outlineLevel="0" collapsed="false">
      <c r="A483" s="9" t="str">
        <f aca="false">Raw_Donors!A483</f>
        <v>D1481</v>
      </c>
      <c r="B483" s="9" t="str">
        <f aca="false">IF(ISNUMBER(SEARCH("-DUP",A483)),"Duplicate ID","")</f>
        <v/>
      </c>
      <c r="C483" s="9" t="n">
        <f aca="false">Raw_Donors!B483</f>
        <v>1033</v>
      </c>
      <c r="D483" s="9" t="n">
        <f aca="false">Raw_Donors!C483</f>
        <v>0</v>
      </c>
      <c r="E483" s="9" t="str">
        <f aca="false">IFERROR(IF(Raw_Donors!D483="","Unknown",Raw_Donors!D483),"Unknown")</f>
        <v>Married</v>
      </c>
      <c r="F483" s="9" t="str">
        <f aca="false">IFERROR(IF(Raw_Donors!E483="","Unknown",Raw_Donors!E483),"Unknown")</f>
        <v>Male</v>
      </c>
      <c r="G483" s="9" t="str">
        <f aca="false">PROPER(TRIM(Raw_Donors!F483))</f>
        <v>Family Donor</v>
      </c>
      <c r="H483" s="9" t="str">
        <f aca="false">IFERROR(IF(Raw_Donors!G483="","N",Raw_Donors!G483),"N")</f>
        <v>N</v>
      </c>
      <c r="I483" s="9" t="str">
        <f aca="false">IF(Raw_Donors!H483="","Not Rated",Raw_Donors!H483)</f>
        <v>Not Rated</v>
      </c>
      <c r="J483" s="9" t="str">
        <f aca="false">IF(TRIM(Raw_Donors!I483)="","Unknown",TRIM(Raw_Donors!I483))</f>
        <v>HOME</v>
      </c>
      <c r="K483" s="9" t="str">
        <f aca="false">Raw_Donors!J483</f>
        <v>N</v>
      </c>
      <c r="L483" s="9" t="n">
        <f aca="false">Raw_Donors!K483</f>
        <v>0</v>
      </c>
      <c r="M483" s="10" t="n">
        <f aca="false">IFERROR(VALUE(SUBSTITUTE(SUBSTITUTE(Raw_Donors!L483,"$",""),",","")),0)</f>
        <v>0</v>
      </c>
      <c r="N483" s="10" t="n">
        <f aca="false">IFERROR(VALUE(SUBSTITUTE(SUBSTITUTE(Raw_Donors!M483,"$",""),",","")),0)</f>
        <v>0</v>
      </c>
      <c r="O483" s="10" t="n">
        <f aca="false">IFERROR(VALUE(SUBSTITUTE(SUBSTITUTE(Raw_Donors!N483,"$",""),",","")),0)</f>
        <v>0</v>
      </c>
      <c r="P483" s="10" t="n">
        <f aca="false">IFERROR(VALUE(SUBSTITUTE(SUBSTITUTE(Raw_Donors!O483,"$",""),",","")),0)</f>
        <v>0</v>
      </c>
      <c r="Q483" s="10" t="n">
        <f aca="false">IFERROR(VALUE(SUBSTITUTE(SUBSTITUTE(Raw_Donors!P483,"$",""),",","")),0)</f>
        <v>0</v>
      </c>
      <c r="R483" s="10" t="n">
        <f aca="false">Raw_Donors!Q483</f>
        <v>0</v>
      </c>
      <c r="S483" s="9" t="str">
        <f aca="false">Raw_Donors!R483</f>
        <v>N</v>
      </c>
      <c r="T483" s="9" t="str">
        <f aca="false">IF(Raw_Donors!S483="","",Raw_Donors!S483)</f>
        <v/>
      </c>
      <c r="U483" s="9" t="str">
        <f aca="false">IF(AND((O483+P483)&gt;0,Q483=0),"Lapsed - Follow Up","")</f>
        <v/>
      </c>
      <c r="V483" s="9" t="n">
        <f aca="false">RANK(R483,$R$2:$R$759)+COUNTIF($R$2:R483,R483)-1</f>
        <v>684</v>
      </c>
      <c r="W483" s="9" t="str">
        <f aca="false">IF(U483="Lapsed - Follow Up",COUNTIF($U$2:U483,"Lapsed - Follow Up"),"")</f>
        <v/>
      </c>
    </row>
    <row r="484" customFormat="false" ht="15" hidden="false" customHeight="true" outlineLevel="0" collapsed="false">
      <c r="A484" s="9" t="str">
        <f aca="false">Raw_Donors!A484</f>
        <v>D1482</v>
      </c>
      <c r="B484" s="9" t="str">
        <f aca="false">IF(ISNUMBER(SEARCH("-DUP",A484)),"Duplicate ID","")</f>
        <v/>
      </c>
      <c r="C484" s="9" t="n">
        <f aca="false">Raw_Donors!B484</f>
        <v>2861</v>
      </c>
      <c r="D484" s="9" t="n">
        <f aca="false">Raw_Donors!C484</f>
        <v>0</v>
      </c>
      <c r="E484" s="9" t="str">
        <f aca="false">IFERROR(IF(Raw_Donors!D484="","Unknown",Raw_Donors!D484),"Unknown")</f>
        <v>Unknown</v>
      </c>
      <c r="F484" s="9" t="str">
        <f aca="false">IFERROR(IF(Raw_Donors!E484="","Unknown",Raw_Donors!E484),"Unknown")</f>
        <v>Male</v>
      </c>
      <c r="G484" s="9" t="str">
        <f aca="false">PROPER(TRIM(Raw_Donors!F484))</f>
        <v>Individual Donor</v>
      </c>
      <c r="H484" s="9" t="str">
        <f aca="false">IFERROR(IF(Raw_Donors!G484="","N",Raw_Donors!G484),"N")</f>
        <v>N</v>
      </c>
      <c r="I484" s="9" t="str">
        <f aca="false">IF(Raw_Donors!H484="","Not Rated",Raw_Donors!H484)</f>
        <v>Not Rated</v>
      </c>
      <c r="J484" s="9" t="str">
        <f aca="false">IF(TRIM(Raw_Donors!I484)="","Unknown",TRIM(Raw_Donors!I484))</f>
        <v>HOME</v>
      </c>
      <c r="K484" s="9" t="str">
        <f aca="false">Raw_Donors!J484</f>
        <v>Y</v>
      </c>
      <c r="L484" s="9" t="n">
        <f aca="false">Raw_Donors!K484</f>
        <v>3</v>
      </c>
      <c r="M484" s="10" t="n">
        <f aca="false">IFERROR(VALUE(SUBSTITUTE(SUBSTITUTE(Raw_Donors!L484,"$",""),",","")),0)</f>
        <v>0</v>
      </c>
      <c r="N484" s="10" t="n">
        <f aca="false">IFERROR(VALUE(SUBSTITUTE(SUBSTITUTE(Raw_Donors!M484,"$",""),",","")),0)</f>
        <v>0</v>
      </c>
      <c r="O484" s="10" t="n">
        <f aca="false">IFERROR(VALUE(SUBSTITUTE(SUBSTITUTE(Raw_Donors!N484,"$",""),",","")),0)</f>
        <v>0</v>
      </c>
      <c r="P484" s="10" t="n">
        <f aca="false">IFERROR(VALUE(SUBSTITUTE(SUBSTITUTE(Raw_Donors!O484,"$",""),",","")),0)</f>
        <v>0</v>
      </c>
      <c r="Q484" s="10" t="n">
        <f aca="false">IFERROR(VALUE(SUBSTITUTE(SUBSTITUTE(Raw_Donors!P484,"$",""),",","")),0)</f>
        <v>0</v>
      </c>
      <c r="R484" s="10" t="n">
        <f aca="false">Raw_Donors!Q484</f>
        <v>30</v>
      </c>
      <c r="S484" s="9" t="str">
        <f aca="false">Raw_Donors!R484</f>
        <v>Y</v>
      </c>
      <c r="T484" s="9" t="str">
        <f aca="false">IF(Raw_Donors!S484="","",Raw_Donors!S484)</f>
        <v/>
      </c>
      <c r="U484" s="9" t="str">
        <f aca="false">IF(AND((O484+P484)&gt;0,Q484=0),"Lapsed - Follow Up","")</f>
        <v/>
      </c>
      <c r="V484" s="9" t="n">
        <f aca="false">RANK(R484,$R$2:$R$759)+COUNTIF($R$2:R484,R484)-1</f>
        <v>420</v>
      </c>
      <c r="W484" s="9" t="str">
        <f aca="false">IF(U484="Lapsed - Follow Up",COUNTIF($U$2:U484,"Lapsed - Follow Up"),"")</f>
        <v/>
      </c>
    </row>
    <row r="485" customFormat="false" ht="15" hidden="false" customHeight="true" outlineLevel="0" collapsed="false">
      <c r="A485" s="9" t="str">
        <f aca="false">Raw_Donors!A485</f>
        <v>D1483</v>
      </c>
      <c r="B485" s="9" t="str">
        <f aca="false">IF(ISNUMBER(SEARCH("-DUP",A485)),"Duplicate ID","")</f>
        <v/>
      </c>
      <c r="C485" s="9" t="n">
        <f aca="false">Raw_Donors!B485</f>
        <v>39885</v>
      </c>
      <c r="D485" s="9" t="n">
        <f aca="false">Raw_Donors!C485</f>
        <v>37</v>
      </c>
      <c r="E485" s="9" t="str">
        <f aca="false">IFERROR(IF(Raw_Donors!D485="","Unknown",Raw_Donors!D485),"Unknown")</f>
        <v>Unknown</v>
      </c>
      <c r="F485" s="9" t="str">
        <f aca="false">IFERROR(IF(Raw_Donors!E485="","Unknown",Raw_Donors!E485),"Unknown")</f>
        <v>Male</v>
      </c>
      <c r="G485" s="9" t="str">
        <f aca="false">PROPER(TRIM(Raw_Donors!F485))</f>
        <v>Community Partner</v>
      </c>
      <c r="H485" s="9" t="str">
        <f aca="false">IFERROR(IF(Raw_Donors!G485="","N",Raw_Donors!G485),"N")</f>
        <v>Y</v>
      </c>
      <c r="I485" s="9" t="str">
        <f aca="false">IF(Raw_Donors!H485="","Not Rated",Raw_Donors!H485)</f>
        <v>Not Rated</v>
      </c>
      <c r="J485" s="9" t="str">
        <f aca="false">IF(TRIM(Raw_Donors!I485)="","Unknown",TRIM(Raw_Donors!I485))</f>
        <v>HOME</v>
      </c>
      <c r="K485" s="9" t="str">
        <f aca="false">Raw_Donors!J485</f>
        <v>Y</v>
      </c>
      <c r="L485" s="9" t="n">
        <f aca="false">Raw_Donors!K485</f>
        <v>0</v>
      </c>
      <c r="M485" s="10" t="n">
        <f aca="false">IFERROR(VALUE(SUBSTITUTE(SUBSTITUTE(Raw_Donors!L485,"$",""),",","")),0)</f>
        <v>0</v>
      </c>
      <c r="N485" s="10" t="n">
        <f aca="false">IFERROR(VALUE(SUBSTITUTE(SUBSTITUTE(Raw_Donors!M485,"$",""),",","")),0)</f>
        <v>0</v>
      </c>
      <c r="O485" s="10" t="n">
        <f aca="false">IFERROR(VALUE(SUBSTITUTE(SUBSTITUTE(Raw_Donors!N485,"$",""),",","")),0)</f>
        <v>0</v>
      </c>
      <c r="P485" s="10" t="n">
        <f aca="false">IFERROR(VALUE(SUBSTITUTE(SUBSTITUTE(Raw_Donors!O485,"$",""),",","")),0)</f>
        <v>0</v>
      </c>
      <c r="Q485" s="10" t="n">
        <f aca="false">IFERROR(VALUE(SUBSTITUTE(SUBSTITUTE(Raw_Donors!P485,"$",""),",","")),0)</f>
        <v>0</v>
      </c>
      <c r="R485" s="10" t="n">
        <f aca="false">Raw_Donors!Q485</f>
        <v>0</v>
      </c>
      <c r="S485" s="9" t="str">
        <f aca="false">Raw_Donors!R485</f>
        <v>N</v>
      </c>
      <c r="T485" s="9" t="str">
        <f aca="false">IF(Raw_Donors!S485="","",Raw_Donors!S485)</f>
        <v>1980-12-13</v>
      </c>
      <c r="U485" s="9" t="str">
        <f aca="false">IF(AND((O485+P485)&gt;0,Q485=0),"Lapsed - Follow Up","")</f>
        <v/>
      </c>
      <c r="V485" s="9" t="n">
        <f aca="false">RANK(R485,$R$2:$R$759)+COUNTIF($R$2:R485,R485)-1</f>
        <v>685</v>
      </c>
      <c r="W485" s="9" t="str">
        <f aca="false">IF(U485="Lapsed - Follow Up",COUNTIF($U$2:U485,"Lapsed - Follow Up"),"")</f>
        <v/>
      </c>
    </row>
    <row r="486" customFormat="false" ht="15" hidden="false" customHeight="true" outlineLevel="0" collapsed="false">
      <c r="A486" s="9" t="str">
        <f aca="false">Raw_Donors!A486</f>
        <v>D1484</v>
      </c>
      <c r="B486" s="9" t="str">
        <f aca="false">IF(ISNUMBER(SEARCH("-DUP",A486)),"Duplicate ID","")</f>
        <v/>
      </c>
      <c r="C486" s="9" t="n">
        <f aca="false">Raw_Donors!B486</f>
        <v>46928</v>
      </c>
      <c r="D486" s="9" t="n">
        <f aca="false">Raw_Donors!C486</f>
        <v>0</v>
      </c>
      <c r="E486" s="9" t="str">
        <f aca="false">IFERROR(IF(Raw_Donors!D486="","Unknown",Raw_Donors!D486),"Unknown")</f>
        <v>Unknown</v>
      </c>
      <c r="F486" s="9" t="str">
        <f aca="false">IFERROR(IF(Raw_Donors!E486="","Unknown",Raw_Donors!E486),"Unknown")</f>
        <v>Male</v>
      </c>
      <c r="G486" s="9" t="str">
        <f aca="false">PROPER(TRIM(Raw_Donors!F486))</f>
        <v>Individual Donor</v>
      </c>
      <c r="H486" s="9" t="str">
        <f aca="false">IFERROR(IF(Raw_Donors!G486="","N",Raw_Donors!G486),"N")</f>
        <v>Y</v>
      </c>
      <c r="I486" s="9" t="str">
        <f aca="false">IF(Raw_Donors!H486="","Not Rated",Raw_Donors!H486)</f>
        <v>Not Rated</v>
      </c>
      <c r="J486" s="9" t="str">
        <f aca="false">IF(TRIM(Raw_Donors!I486)="","Unknown",TRIM(Raw_Donors!I486))</f>
        <v>HOME</v>
      </c>
      <c r="K486" s="9" t="str">
        <f aca="false">Raw_Donors!J486</f>
        <v>N</v>
      </c>
      <c r="L486" s="9" t="n">
        <f aca="false">Raw_Donors!K486</f>
        <v>7</v>
      </c>
      <c r="M486" s="10" t="n">
        <f aca="false">IFERROR(VALUE(SUBSTITUTE(SUBSTITUTE(Raw_Donors!L486,"$",""),",","")),0)</f>
        <v>600</v>
      </c>
      <c r="N486" s="10" t="n">
        <f aca="false">IFERROR(VALUE(SUBSTITUTE(SUBSTITUTE(Raw_Donors!M486,"$",""),",","")),0)</f>
        <v>0</v>
      </c>
      <c r="O486" s="10" t="n">
        <f aca="false">IFERROR(VALUE(SUBSTITUTE(SUBSTITUTE(Raw_Donors!N486,"$",""),",","")),0)</f>
        <v>125</v>
      </c>
      <c r="P486" s="10" t="n">
        <f aca="false">IFERROR(VALUE(SUBSTITUTE(SUBSTITUTE(Raw_Donors!O486,"$",""),",","")),0)</f>
        <v>300</v>
      </c>
      <c r="Q486" s="10" t="n">
        <f aca="false">IFERROR(VALUE(SUBSTITUTE(SUBSTITUTE(Raw_Donors!P486,"$",""),",","")),0)</f>
        <v>0</v>
      </c>
      <c r="R486" s="10" t="n">
        <f aca="false">Raw_Donors!Q486</f>
        <v>1025</v>
      </c>
      <c r="S486" s="9" t="str">
        <f aca="false">Raw_Donors!R486</f>
        <v>Y</v>
      </c>
      <c r="T486" s="9" t="str">
        <f aca="false">IF(Raw_Donors!S486="","",Raw_Donors!S486)</f>
        <v/>
      </c>
      <c r="U486" s="9" t="str">
        <f aca="false">IF(AND((O486+P486)&gt;0,Q486=0),"Lapsed - Follow Up","")</f>
        <v>Lapsed - Follow Up</v>
      </c>
      <c r="V486" s="9" t="n">
        <f aca="false">RANK(R486,$R$2:$R$759)+COUNTIF($R$2:R486,R486)-1</f>
        <v>57</v>
      </c>
      <c r="W486" s="9" t="n">
        <f aca="false">IF(U486="Lapsed - Follow Up",COUNTIF($U$2:U486,"Lapsed - Follow Up"),"")</f>
        <v>66</v>
      </c>
    </row>
    <row r="487" customFormat="false" ht="15" hidden="false" customHeight="true" outlineLevel="0" collapsed="false">
      <c r="A487" s="9" t="str">
        <f aca="false">Raw_Donors!A487</f>
        <v>D1485</v>
      </c>
      <c r="B487" s="9" t="str">
        <f aca="false">IF(ISNUMBER(SEARCH("-DUP",A487)),"Duplicate ID","")</f>
        <v/>
      </c>
      <c r="C487" s="9" t="n">
        <f aca="false">Raw_Donors!B487</f>
        <v>30707</v>
      </c>
      <c r="D487" s="9" t="n">
        <f aca="false">Raw_Donors!C487</f>
        <v>59</v>
      </c>
      <c r="E487" s="9" t="str">
        <f aca="false">IFERROR(IF(Raw_Donors!D487="","Unknown",Raw_Donors!D487),"Unknown")</f>
        <v>Single</v>
      </c>
      <c r="F487" s="9" t="str">
        <f aca="false">IFERROR(IF(Raw_Donors!E487="","Unknown",Raw_Donors!E487),"Unknown")</f>
        <v>Male</v>
      </c>
      <c r="G487" s="9" t="str">
        <f aca="false">PROPER(TRIM(Raw_Donors!F487))</f>
        <v>Community Partner</v>
      </c>
      <c r="H487" s="9" t="str">
        <f aca="false">IFERROR(IF(Raw_Donors!G487="","N",Raw_Donors!G487),"N")</f>
        <v>Y</v>
      </c>
      <c r="I487" s="9" t="str">
        <f aca="false">IF(Raw_Donors!H487="","Not Rated",Raw_Donors!H487)</f>
        <v>Not Rated</v>
      </c>
      <c r="J487" s="9" t="str">
        <f aca="false">IF(TRIM(Raw_Donors!I487)="","Unknown",TRIM(Raw_Donors!I487))</f>
        <v>HOME</v>
      </c>
      <c r="K487" s="9" t="str">
        <f aca="false">Raw_Donors!J487</f>
        <v>Y</v>
      </c>
      <c r="L487" s="9" t="n">
        <f aca="false">Raw_Donors!K487</f>
        <v>0</v>
      </c>
      <c r="M487" s="10" t="n">
        <f aca="false">IFERROR(VALUE(SUBSTITUTE(SUBSTITUTE(Raw_Donors!L487,"$",""),",","")),0)</f>
        <v>0</v>
      </c>
      <c r="N487" s="10" t="n">
        <f aca="false">IFERROR(VALUE(SUBSTITUTE(SUBSTITUTE(Raw_Donors!M487,"$",""),",","")),0)</f>
        <v>0</v>
      </c>
      <c r="O487" s="10" t="n">
        <f aca="false">IFERROR(VALUE(SUBSTITUTE(SUBSTITUTE(Raw_Donors!N487,"$",""),",","")),0)</f>
        <v>0</v>
      </c>
      <c r="P487" s="10" t="n">
        <f aca="false">IFERROR(VALUE(SUBSTITUTE(SUBSTITUTE(Raw_Donors!O487,"$",""),",","")),0)</f>
        <v>0</v>
      </c>
      <c r="Q487" s="10" t="n">
        <f aca="false">IFERROR(VALUE(SUBSTITUTE(SUBSTITUTE(Raw_Donors!P487,"$",""),",","")),0)</f>
        <v>0</v>
      </c>
      <c r="R487" s="10" t="n">
        <f aca="false">Raw_Donors!Q487</f>
        <v>0</v>
      </c>
      <c r="S487" s="9" t="str">
        <f aca="false">Raw_Donors!R487</f>
        <v>N</v>
      </c>
      <c r="T487" s="9" t="str">
        <f aca="false">IF(Raw_Donors!S487="","",Raw_Donors!S487)</f>
        <v>1958-06-11</v>
      </c>
      <c r="U487" s="9" t="str">
        <f aca="false">IF(AND((O487+P487)&gt;0,Q487=0),"Lapsed - Follow Up","")</f>
        <v/>
      </c>
      <c r="V487" s="9" t="n">
        <f aca="false">RANK(R487,$R$2:$R$759)+COUNTIF($R$2:R487,R487)-1</f>
        <v>686</v>
      </c>
      <c r="W487" s="9" t="str">
        <f aca="false">IF(U487="Lapsed - Follow Up",COUNTIF($U$2:U487,"Lapsed - Follow Up"),"")</f>
        <v/>
      </c>
    </row>
    <row r="488" customFormat="false" ht="15" hidden="false" customHeight="true" outlineLevel="0" collapsed="false">
      <c r="A488" s="9" t="str">
        <f aca="false">Raw_Donors!A488</f>
        <v>D1486</v>
      </c>
      <c r="B488" s="9" t="str">
        <f aca="false">IF(ISNUMBER(SEARCH("-DUP",A488)),"Duplicate ID","")</f>
        <v/>
      </c>
      <c r="C488" s="9" t="n">
        <f aca="false">Raw_Donors!B488</f>
        <v>53935</v>
      </c>
      <c r="D488" s="9" t="n">
        <f aca="false">Raw_Donors!C488</f>
        <v>64</v>
      </c>
      <c r="E488" s="9" t="str">
        <f aca="false">IFERROR(IF(Raw_Donors!D488="","Unknown",Raw_Donors!D488),"Unknown")</f>
        <v>Unknown</v>
      </c>
      <c r="F488" s="9" t="str">
        <f aca="false">IFERROR(IF(Raw_Donors!E488="","Unknown",Raw_Donors!E488),"Unknown")</f>
        <v>Female</v>
      </c>
      <c r="G488" s="9" t="str">
        <f aca="false">PROPER(TRIM(Raw_Donors!F488))</f>
        <v>Individual Donor</v>
      </c>
      <c r="H488" s="9" t="str">
        <f aca="false">IFERROR(IF(Raw_Donors!G488="","N",Raw_Donors!G488),"N")</f>
        <v>N</v>
      </c>
      <c r="I488" s="9" t="str">
        <f aca="false">IF(Raw_Donors!H488="","Not Rated",Raw_Donors!H488)</f>
        <v>Not Rated</v>
      </c>
      <c r="J488" s="9" t="str">
        <f aca="false">IF(TRIM(Raw_Donors!I488)="","Unknown",TRIM(Raw_Donors!I488))</f>
        <v>HOME</v>
      </c>
      <c r="K488" s="9" t="str">
        <f aca="false">Raw_Donors!J488</f>
        <v>N</v>
      </c>
      <c r="L488" s="9" t="n">
        <f aca="false">Raw_Donors!K488</f>
        <v>0</v>
      </c>
      <c r="M488" s="10" t="n">
        <f aca="false">IFERROR(VALUE(SUBSTITUTE(SUBSTITUTE(Raw_Donors!L488,"$",""),",","")),0)</f>
        <v>0</v>
      </c>
      <c r="N488" s="10" t="n">
        <f aca="false">IFERROR(VALUE(SUBSTITUTE(SUBSTITUTE(Raw_Donors!M488,"$",""),",","")),0)</f>
        <v>0</v>
      </c>
      <c r="O488" s="10" t="n">
        <f aca="false">IFERROR(VALUE(SUBSTITUTE(SUBSTITUTE(Raw_Donors!N488,"$",""),",","")),0)</f>
        <v>0</v>
      </c>
      <c r="P488" s="10" t="n">
        <f aca="false">IFERROR(VALUE(SUBSTITUTE(SUBSTITUTE(Raw_Donors!O488,"$",""),",","")),0)</f>
        <v>0</v>
      </c>
      <c r="Q488" s="10" t="n">
        <f aca="false">IFERROR(VALUE(SUBSTITUTE(SUBSTITUTE(Raw_Donors!P488,"$",""),",","")),0)</f>
        <v>0</v>
      </c>
      <c r="R488" s="10" t="n">
        <f aca="false">Raw_Donors!Q488</f>
        <v>0</v>
      </c>
      <c r="S488" s="9" t="str">
        <f aca="false">Raw_Donors!R488</f>
        <v>N</v>
      </c>
      <c r="T488" s="9" t="str">
        <f aca="false">IF(Raw_Donors!S488="","",Raw_Donors!S488)</f>
        <v>1953-09-14</v>
      </c>
      <c r="U488" s="9" t="str">
        <f aca="false">IF(AND((O488+P488)&gt;0,Q488=0),"Lapsed - Follow Up","")</f>
        <v/>
      </c>
      <c r="V488" s="9" t="n">
        <f aca="false">RANK(R488,$R$2:$R$759)+COUNTIF($R$2:R488,R488)-1</f>
        <v>687</v>
      </c>
      <c r="W488" s="9" t="str">
        <f aca="false">IF(U488="Lapsed - Follow Up",COUNTIF($U$2:U488,"Lapsed - Follow Up"),"")</f>
        <v/>
      </c>
    </row>
    <row r="489" customFormat="false" ht="15" hidden="false" customHeight="true" outlineLevel="0" collapsed="false">
      <c r="A489" s="9" t="str">
        <f aca="false">Raw_Donors!A489</f>
        <v>D1487</v>
      </c>
      <c r="B489" s="9" t="str">
        <f aca="false">IF(ISNUMBER(SEARCH("-DUP",A489)),"Duplicate ID","")</f>
        <v/>
      </c>
      <c r="C489" s="9" t="n">
        <f aca="false">Raw_Donors!B489</f>
        <v>64078</v>
      </c>
      <c r="D489" s="9" t="n">
        <f aca="false">Raw_Donors!C489</f>
        <v>0</v>
      </c>
      <c r="E489" s="9" t="str">
        <f aca="false">IFERROR(IF(Raw_Donors!D489="","Unknown",Raw_Donors!D489),"Unknown")</f>
        <v>Unknown</v>
      </c>
      <c r="F489" s="9" t="str">
        <f aca="false">IFERROR(IF(Raw_Donors!E489="","Unknown",Raw_Donors!E489),"Unknown")</f>
        <v>Female</v>
      </c>
      <c r="G489" s="9" t="str">
        <f aca="false">PROPER(TRIM(Raw_Donors!F489))</f>
        <v>Individual Donor</v>
      </c>
      <c r="H489" s="9" t="str">
        <f aca="false">IFERROR(IF(Raw_Donors!G489="","N",Raw_Donors!G489),"N")</f>
        <v>N</v>
      </c>
      <c r="I489" s="9" t="str">
        <f aca="false">IF(Raw_Donors!H489="","Not Rated",Raw_Donors!H489)</f>
        <v>Not Rated</v>
      </c>
      <c r="J489" s="9" t="str">
        <f aca="false">IF(TRIM(Raw_Donors!I489)="","Unknown",TRIM(Raw_Donors!I489))</f>
        <v>HOME</v>
      </c>
      <c r="K489" s="9" t="str">
        <f aca="false">Raw_Donors!J489</f>
        <v>N</v>
      </c>
      <c r="L489" s="9" t="n">
        <f aca="false">Raw_Donors!K489</f>
        <v>1</v>
      </c>
      <c r="M489" s="10" t="n">
        <f aca="false">IFERROR(VALUE(SUBSTITUTE(SUBSTITUTE(Raw_Donors!L489,"$",""),",","")),0)</f>
        <v>0</v>
      </c>
      <c r="N489" s="10" t="n">
        <f aca="false">IFERROR(VALUE(SUBSTITUTE(SUBSTITUTE(Raw_Donors!M489,"$",""),",","")),0)</f>
        <v>0</v>
      </c>
      <c r="O489" s="10" t="n">
        <f aca="false">IFERROR(VALUE(SUBSTITUTE(SUBSTITUTE(Raw_Donors!N489,"$",""),",","")),0)</f>
        <v>0</v>
      </c>
      <c r="P489" s="10" t="n">
        <f aca="false">IFERROR(VALUE(SUBSTITUTE(SUBSTITUTE(Raw_Donors!O489,"$",""),",","")),0)</f>
        <v>0</v>
      </c>
      <c r="Q489" s="10" t="n">
        <f aca="false">IFERROR(VALUE(SUBSTITUTE(SUBSTITUTE(Raw_Donors!P489,"$",""),",","")),0)</f>
        <v>0</v>
      </c>
      <c r="R489" s="10" t="n">
        <f aca="false">Raw_Donors!Q489</f>
        <v>0</v>
      </c>
      <c r="S489" s="9" t="str">
        <f aca="false">Raw_Donors!R489</f>
        <v>N</v>
      </c>
      <c r="T489" s="9" t="str">
        <f aca="false">IF(Raw_Donors!S489="","",Raw_Donors!S489)</f>
        <v/>
      </c>
      <c r="U489" s="9" t="str">
        <f aca="false">IF(AND((O489+P489)&gt;0,Q489=0),"Lapsed - Follow Up","")</f>
        <v/>
      </c>
      <c r="V489" s="9" t="n">
        <f aca="false">RANK(R489,$R$2:$R$759)+COUNTIF($R$2:R489,R489)-1</f>
        <v>688</v>
      </c>
      <c r="W489" s="9" t="str">
        <f aca="false">IF(U489="Lapsed - Follow Up",COUNTIF($U$2:U489,"Lapsed - Follow Up"),"")</f>
        <v/>
      </c>
    </row>
    <row r="490" customFormat="false" ht="15" hidden="false" customHeight="true" outlineLevel="0" collapsed="false">
      <c r="A490" s="9" t="str">
        <f aca="false">Raw_Donors!A490</f>
        <v>D1488</v>
      </c>
      <c r="B490" s="9" t="str">
        <f aca="false">IF(ISNUMBER(SEARCH("-DUP",A490)),"Duplicate ID","")</f>
        <v/>
      </c>
      <c r="C490" s="9" t="n">
        <f aca="false">Raw_Donors!B490</f>
        <v>20553</v>
      </c>
      <c r="D490" s="9" t="n">
        <f aca="false">Raw_Donors!C490</f>
        <v>53</v>
      </c>
      <c r="E490" s="9" t="str">
        <f aca="false">IFERROR(IF(Raw_Donors!D490="","Unknown",Raw_Donors!D490),"Unknown")</f>
        <v>Unknown</v>
      </c>
      <c r="F490" s="9" t="str">
        <f aca="false">IFERROR(IF(Raw_Donors!E490="","Unknown",Raw_Donors!E490),"Unknown")</f>
        <v>Female</v>
      </c>
      <c r="G490" s="9" t="str">
        <f aca="false">PROPER(TRIM(Raw_Donors!F490))</f>
        <v>Individual Donor</v>
      </c>
      <c r="H490" s="9" t="str">
        <f aca="false">IFERROR(IF(Raw_Donors!G490="","N",Raw_Donors!G490),"N")</f>
        <v>N</v>
      </c>
      <c r="I490" s="9" t="str">
        <f aca="false">IF(Raw_Donors!H490="","Not Rated",Raw_Donors!H490)</f>
        <v>Not Rated</v>
      </c>
      <c r="J490" s="9" t="str">
        <f aca="false">IF(TRIM(Raw_Donors!I490)="","Unknown",TRIM(Raw_Donors!I490))</f>
        <v>HOME</v>
      </c>
      <c r="K490" s="9" t="str">
        <f aca="false">Raw_Donors!J490</f>
        <v>N</v>
      </c>
      <c r="L490" s="9" t="n">
        <f aca="false">Raw_Donors!K490</f>
        <v>0</v>
      </c>
      <c r="M490" s="10" t="n">
        <f aca="false">IFERROR(VALUE(SUBSTITUTE(SUBSTITUTE(Raw_Donors!L490,"$",""),",","")),0)</f>
        <v>0</v>
      </c>
      <c r="N490" s="10" t="n">
        <f aca="false">IFERROR(VALUE(SUBSTITUTE(SUBSTITUTE(Raw_Donors!M490,"$",""),",","")),0)</f>
        <v>0</v>
      </c>
      <c r="O490" s="10" t="n">
        <f aca="false">IFERROR(VALUE(SUBSTITUTE(SUBSTITUTE(Raw_Donors!N490,"$",""),",","")),0)</f>
        <v>0</v>
      </c>
      <c r="P490" s="10" t="n">
        <f aca="false">IFERROR(VALUE(SUBSTITUTE(SUBSTITUTE(Raw_Donors!O490,"$",""),",","")),0)</f>
        <v>0</v>
      </c>
      <c r="Q490" s="10" t="n">
        <f aca="false">IFERROR(VALUE(SUBSTITUTE(SUBSTITUTE(Raw_Donors!P490,"$",""),",","")),0)</f>
        <v>0</v>
      </c>
      <c r="R490" s="10" t="n">
        <f aca="false">Raw_Donors!Q490</f>
        <v>120</v>
      </c>
      <c r="S490" s="9" t="str">
        <f aca="false">Raw_Donors!R490</f>
        <v>Y</v>
      </c>
      <c r="T490" s="9" t="str">
        <f aca="false">IF(Raw_Donors!S490="","",Raw_Donors!S490)</f>
        <v>1964-09-10</v>
      </c>
      <c r="U490" s="9" t="str">
        <f aca="false">IF(AND((O490+P490)&gt;0,Q490=0),"Lapsed - Follow Up","")</f>
        <v/>
      </c>
      <c r="V490" s="9" t="n">
        <f aca="false">RANK(R490,$R$2:$R$759)+COUNTIF($R$2:R490,R490)-1</f>
        <v>257</v>
      </c>
      <c r="W490" s="9" t="str">
        <f aca="false">IF(U490="Lapsed - Follow Up",COUNTIF($U$2:U490,"Lapsed - Follow Up"),"")</f>
        <v/>
      </c>
    </row>
    <row r="491" customFormat="false" ht="15" hidden="false" customHeight="true" outlineLevel="0" collapsed="false">
      <c r="A491" s="9" t="str">
        <f aca="false">Raw_Donors!A491</f>
        <v>D1489</v>
      </c>
      <c r="B491" s="9" t="str">
        <f aca="false">IF(ISNUMBER(SEARCH("-DUP",A491)),"Duplicate ID","")</f>
        <v/>
      </c>
      <c r="C491" s="9" t="n">
        <f aca="false">Raw_Donors!B491</f>
        <v>73101</v>
      </c>
      <c r="D491" s="9" t="n">
        <f aca="false">Raw_Donors!C491</f>
        <v>0</v>
      </c>
      <c r="E491" s="9" t="str">
        <f aca="false">IFERROR(IF(Raw_Donors!D491="","Unknown",Raw_Donors!D491),"Unknown")</f>
        <v>Married</v>
      </c>
      <c r="F491" s="9" t="str">
        <f aca="false">IFERROR(IF(Raw_Donors!E491="","Unknown",Raw_Donors!E491),"Unknown")</f>
        <v>Male</v>
      </c>
      <c r="G491" s="9" t="str">
        <f aca="false">PROPER(TRIM(Raw_Donors!F491))</f>
        <v>Family Donor</v>
      </c>
      <c r="H491" s="9" t="str">
        <f aca="false">IFERROR(IF(Raw_Donors!G491="","N",Raw_Donors!G491),"N")</f>
        <v>N</v>
      </c>
      <c r="I491" s="9" t="str">
        <f aca="false">IF(Raw_Donors!H491="","Not Rated",Raw_Donors!H491)</f>
        <v>Not Rated</v>
      </c>
      <c r="J491" s="9" t="str">
        <f aca="false">IF(TRIM(Raw_Donors!I491)="","Unknown",TRIM(Raw_Donors!I491))</f>
        <v>Unknown</v>
      </c>
      <c r="K491" s="9" t="str">
        <f aca="false">Raw_Donors!J491</f>
        <v>Y</v>
      </c>
      <c r="L491" s="9" t="n">
        <f aca="false">Raw_Donors!K491</f>
        <v>0</v>
      </c>
      <c r="M491" s="10" t="n">
        <f aca="false">IFERROR(VALUE(SUBSTITUTE(SUBSTITUTE(Raw_Donors!L491,"$",""),",","")),0)</f>
        <v>0</v>
      </c>
      <c r="N491" s="10" t="n">
        <f aca="false">IFERROR(VALUE(SUBSTITUTE(SUBSTITUTE(Raw_Donors!M491,"$",""),",","")),0)</f>
        <v>0</v>
      </c>
      <c r="O491" s="10" t="n">
        <f aca="false">IFERROR(VALUE(SUBSTITUTE(SUBSTITUTE(Raw_Donors!N491,"$",""),",","")),0)</f>
        <v>0</v>
      </c>
      <c r="P491" s="10" t="n">
        <f aca="false">IFERROR(VALUE(SUBSTITUTE(SUBSTITUTE(Raw_Donors!O491,"$",""),",","")),0)</f>
        <v>0</v>
      </c>
      <c r="Q491" s="10" t="n">
        <f aca="false">IFERROR(VALUE(SUBSTITUTE(SUBSTITUTE(Raw_Donors!P491,"$",""),",","")),0)</f>
        <v>70</v>
      </c>
      <c r="R491" s="10" t="n">
        <f aca="false">Raw_Donors!Q491</f>
        <v>70</v>
      </c>
      <c r="S491" s="9" t="str">
        <f aca="false">Raw_Donors!R491</f>
        <v>Y</v>
      </c>
      <c r="T491" s="9" t="str">
        <f aca="false">IF(Raw_Donors!S491="","",Raw_Donors!S491)</f>
        <v/>
      </c>
      <c r="U491" s="9" t="str">
        <f aca="false">IF(AND((O491+P491)&gt;0,Q491=0),"Lapsed - Follow Up","")</f>
        <v/>
      </c>
      <c r="V491" s="9" t="n">
        <f aca="false">RANK(R491,$R$2:$R$759)+COUNTIF($R$2:R491,R491)-1</f>
        <v>342</v>
      </c>
      <c r="W491" s="9" t="str">
        <f aca="false">IF(U491="Lapsed - Follow Up",COUNTIF($U$2:U491,"Lapsed - Follow Up"),"")</f>
        <v/>
      </c>
    </row>
    <row r="492" customFormat="false" ht="15" hidden="false" customHeight="true" outlineLevel="0" collapsed="false">
      <c r="A492" s="9" t="str">
        <f aca="false">Raw_Donors!A492</f>
        <v>D1490</v>
      </c>
      <c r="B492" s="9" t="str">
        <f aca="false">IF(ISNUMBER(SEARCH("-DUP",A492)),"Duplicate ID","")</f>
        <v/>
      </c>
      <c r="C492" s="9" t="n">
        <f aca="false">Raw_Donors!B492</f>
        <v>30812</v>
      </c>
      <c r="D492" s="9" t="n">
        <f aca="false">Raw_Donors!C492</f>
        <v>0</v>
      </c>
      <c r="E492" s="9" t="str">
        <f aca="false">IFERROR(IF(Raw_Donors!D492="","Unknown",Raw_Donors!D492),"Unknown")</f>
        <v>Married</v>
      </c>
      <c r="F492" s="9" t="str">
        <f aca="false">IFERROR(IF(Raw_Donors!E492="","Unknown",Raw_Donors!E492),"Unknown")</f>
        <v>Female</v>
      </c>
      <c r="G492" s="9" t="str">
        <f aca="false">PROPER(TRIM(Raw_Donors!F492))</f>
        <v>Family Donor</v>
      </c>
      <c r="H492" s="9" t="str">
        <f aca="false">IFERROR(IF(Raw_Donors!G492="","N",Raw_Donors!G492),"N")</f>
        <v>N</v>
      </c>
      <c r="I492" s="9" t="str">
        <f aca="false">IF(Raw_Donors!H492="","Not Rated",Raw_Donors!H492)</f>
        <v>Not Rated</v>
      </c>
      <c r="J492" s="9" t="str">
        <f aca="false">IF(TRIM(Raw_Donors!I492)="","Unknown",TRIM(Raw_Donors!I492))</f>
        <v>BUSN</v>
      </c>
      <c r="K492" s="9" t="str">
        <f aca="false">Raw_Donors!J492</f>
        <v>Y</v>
      </c>
      <c r="L492" s="9" t="n">
        <f aca="false">Raw_Donors!K492</f>
        <v>0</v>
      </c>
      <c r="M492" s="10" t="n">
        <f aca="false">IFERROR(VALUE(SUBSTITUTE(SUBSTITUTE(Raw_Donors!L492,"$",""),",","")),0)</f>
        <v>0</v>
      </c>
      <c r="N492" s="10" t="n">
        <f aca="false">IFERROR(VALUE(SUBSTITUTE(SUBSTITUTE(Raw_Donors!M492,"$",""),",","")),0)</f>
        <v>0</v>
      </c>
      <c r="O492" s="10" t="n">
        <f aca="false">IFERROR(VALUE(SUBSTITUTE(SUBSTITUTE(Raw_Donors!N492,"$",""),",","")),0)</f>
        <v>0</v>
      </c>
      <c r="P492" s="10" t="n">
        <f aca="false">IFERROR(VALUE(SUBSTITUTE(SUBSTITUTE(Raw_Donors!O492,"$",""),",","")),0)</f>
        <v>0</v>
      </c>
      <c r="Q492" s="10" t="n">
        <f aca="false">IFERROR(VALUE(SUBSTITUTE(SUBSTITUTE(Raw_Donors!P492,"$",""),",","")),0)</f>
        <v>0</v>
      </c>
      <c r="R492" s="10" t="n">
        <f aca="false">Raw_Donors!Q492</f>
        <v>0</v>
      </c>
      <c r="S492" s="9" t="str">
        <f aca="false">Raw_Donors!R492</f>
        <v>N</v>
      </c>
      <c r="T492" s="9" t="str">
        <f aca="false">IF(Raw_Donors!S492="","",Raw_Donors!S492)</f>
        <v/>
      </c>
      <c r="U492" s="9" t="str">
        <f aca="false">IF(AND((O492+P492)&gt;0,Q492=0),"Lapsed - Follow Up","")</f>
        <v/>
      </c>
      <c r="V492" s="9" t="n">
        <f aca="false">RANK(R492,$R$2:$R$759)+COUNTIF($R$2:R492,R492)-1</f>
        <v>689</v>
      </c>
      <c r="W492" s="9" t="str">
        <f aca="false">IF(U492="Lapsed - Follow Up",COUNTIF($U$2:U492,"Lapsed - Follow Up"),"")</f>
        <v/>
      </c>
    </row>
    <row r="493" customFormat="false" ht="15" hidden="false" customHeight="true" outlineLevel="0" collapsed="false">
      <c r="A493" s="9" t="str">
        <f aca="false">Raw_Donors!A493</f>
        <v>D1491</v>
      </c>
      <c r="B493" s="9" t="str">
        <f aca="false">IF(ISNUMBER(SEARCH("-DUP",A493)),"Duplicate ID","")</f>
        <v/>
      </c>
      <c r="C493" s="9" t="n">
        <f aca="false">Raw_Donors!B493</f>
        <v>74840</v>
      </c>
      <c r="D493" s="9" t="n">
        <f aca="false">Raw_Donors!C493</f>
        <v>76</v>
      </c>
      <c r="E493" s="9" t="str">
        <f aca="false">IFERROR(IF(Raw_Donors!D493="","Unknown",Raw_Donors!D493),"Unknown")</f>
        <v>Unknown</v>
      </c>
      <c r="F493" s="9" t="str">
        <f aca="false">IFERROR(IF(Raw_Donors!E493="","Unknown",Raw_Donors!E493),"Unknown")</f>
        <v>Female</v>
      </c>
      <c r="G493" s="9" t="str">
        <f aca="false">PROPER(TRIM(Raw_Donors!F493))</f>
        <v>Individual Donor</v>
      </c>
      <c r="H493" s="9" t="str">
        <f aca="false">IFERROR(IF(Raw_Donors!G493="","N",Raw_Donors!G493),"N")</f>
        <v>N</v>
      </c>
      <c r="I493" s="9" t="str">
        <f aca="false">IF(Raw_Donors!H493="","Not Rated",Raw_Donors!H493)</f>
        <v>Not Rated</v>
      </c>
      <c r="J493" s="9" t="str">
        <f aca="false">IF(TRIM(Raw_Donors!I493)="","Unknown",TRIM(Raw_Donors!I493))</f>
        <v>HOME</v>
      </c>
      <c r="K493" s="9" t="str">
        <f aca="false">Raw_Donors!J493</f>
        <v>N</v>
      </c>
      <c r="L493" s="9" t="n">
        <f aca="false">Raw_Donors!K493</f>
        <v>0</v>
      </c>
      <c r="M493" s="10" t="n">
        <f aca="false">IFERROR(VALUE(SUBSTITUTE(SUBSTITUTE(Raw_Donors!L493,"$",""),",","")),0)</f>
        <v>0</v>
      </c>
      <c r="N493" s="10" t="n">
        <f aca="false">IFERROR(VALUE(SUBSTITUTE(SUBSTITUTE(Raw_Donors!M493,"$",""),",","")),0)</f>
        <v>0</v>
      </c>
      <c r="O493" s="10" t="n">
        <f aca="false">IFERROR(VALUE(SUBSTITUTE(SUBSTITUTE(Raw_Donors!N493,"$",""),",","")),0)</f>
        <v>0</v>
      </c>
      <c r="P493" s="10" t="n">
        <f aca="false">IFERROR(VALUE(SUBSTITUTE(SUBSTITUTE(Raw_Donors!O493,"$",""),",","")),0)</f>
        <v>0</v>
      </c>
      <c r="Q493" s="10" t="n">
        <f aca="false">IFERROR(VALUE(SUBSTITUTE(SUBSTITUTE(Raw_Donors!P493,"$",""),",","")),0)</f>
        <v>0</v>
      </c>
      <c r="R493" s="10" t="n">
        <f aca="false">Raw_Donors!Q493</f>
        <v>84</v>
      </c>
      <c r="S493" s="9" t="str">
        <f aca="false">Raw_Donors!R493</f>
        <v>Y</v>
      </c>
      <c r="T493" s="9" t="str">
        <f aca="false">IF(Raw_Donors!S493="","",Raw_Donors!S493)</f>
        <v>1941-09-22</v>
      </c>
      <c r="U493" s="9" t="str">
        <f aca="false">IF(AND((O493+P493)&gt;0,Q493=0),"Lapsed - Follow Up","")</f>
        <v/>
      </c>
      <c r="V493" s="9" t="n">
        <f aca="false">RANK(R493,$R$2:$R$759)+COUNTIF($R$2:R493,R493)-1</f>
        <v>321</v>
      </c>
      <c r="W493" s="9" t="str">
        <f aca="false">IF(U493="Lapsed - Follow Up",COUNTIF($U$2:U493,"Lapsed - Follow Up"),"")</f>
        <v/>
      </c>
    </row>
    <row r="494" customFormat="false" ht="15" hidden="false" customHeight="true" outlineLevel="0" collapsed="false">
      <c r="A494" s="9" t="str">
        <f aca="false">Raw_Donors!A494</f>
        <v>D1492</v>
      </c>
      <c r="B494" s="9" t="str">
        <f aca="false">IF(ISNUMBER(SEARCH("-DUP",A494)),"Duplicate ID","")</f>
        <v/>
      </c>
      <c r="C494" s="9" t="n">
        <f aca="false">Raw_Donors!B494</f>
        <v>16833</v>
      </c>
      <c r="D494" s="9" t="n">
        <f aca="false">Raw_Donors!C494</f>
        <v>27</v>
      </c>
      <c r="E494" s="9" t="str">
        <f aca="false">IFERROR(IF(Raw_Donors!D494="","Unknown",Raw_Donors!D494),"Unknown")</f>
        <v>Unknown</v>
      </c>
      <c r="F494" s="9" t="str">
        <f aca="false">IFERROR(IF(Raw_Donors!E494="","Unknown",Raw_Donors!E494),"Unknown")</f>
        <v>Female</v>
      </c>
      <c r="G494" s="9" t="str">
        <f aca="false">PROPER(TRIM(Raw_Donors!F494))</f>
        <v>Individual Donor</v>
      </c>
      <c r="H494" s="9" t="str">
        <f aca="false">IFERROR(IF(Raw_Donors!G494="","N",Raw_Donors!G494),"N")</f>
        <v>N</v>
      </c>
      <c r="I494" s="9" t="str">
        <f aca="false">IF(Raw_Donors!H494="","Not Rated",Raw_Donors!H494)</f>
        <v>Not Rated</v>
      </c>
      <c r="J494" s="9" t="str">
        <f aca="false">IF(TRIM(Raw_Donors!I494)="","Unknown",TRIM(Raw_Donors!I494))</f>
        <v>HOME</v>
      </c>
      <c r="K494" s="9" t="str">
        <f aca="false">Raw_Donors!J494</f>
        <v>N</v>
      </c>
      <c r="L494" s="9" t="n">
        <f aca="false">Raw_Donors!K494</f>
        <v>0</v>
      </c>
      <c r="M494" s="10" t="n">
        <f aca="false">IFERROR(VALUE(SUBSTITUTE(SUBSTITUTE(Raw_Donors!L494,"$",""),",","")),0)</f>
        <v>0</v>
      </c>
      <c r="N494" s="10" t="n">
        <f aca="false">IFERROR(VALUE(SUBSTITUTE(SUBSTITUTE(Raw_Donors!M494,"$",""),",","")),0)</f>
        <v>0</v>
      </c>
      <c r="O494" s="10" t="n">
        <f aca="false">IFERROR(VALUE(SUBSTITUTE(SUBSTITUTE(Raw_Donors!N494,"$",""),",","")),0)</f>
        <v>0</v>
      </c>
      <c r="P494" s="10" t="n">
        <f aca="false">IFERROR(VALUE(SUBSTITUTE(SUBSTITUTE(Raw_Donors!O494,"$",""),",","")),0)</f>
        <v>0</v>
      </c>
      <c r="Q494" s="10" t="n">
        <f aca="false">IFERROR(VALUE(SUBSTITUTE(SUBSTITUTE(Raw_Donors!P494,"$",""),",","")),0)</f>
        <v>0</v>
      </c>
      <c r="R494" s="10" t="n">
        <f aca="false">Raw_Donors!Q494</f>
        <v>0</v>
      </c>
      <c r="S494" s="9" t="str">
        <f aca="false">Raw_Donors!R494</f>
        <v>N</v>
      </c>
      <c r="T494" s="9" t="str">
        <f aca="false">IF(Raw_Donors!S494="","",Raw_Donors!S494)</f>
        <v>1990-03-23</v>
      </c>
      <c r="U494" s="9" t="str">
        <f aca="false">IF(AND((O494+P494)&gt;0,Q494=0),"Lapsed - Follow Up","")</f>
        <v/>
      </c>
      <c r="V494" s="9" t="n">
        <f aca="false">RANK(R494,$R$2:$R$759)+COUNTIF($R$2:R494,R494)-1</f>
        <v>690</v>
      </c>
      <c r="W494" s="9" t="str">
        <f aca="false">IF(U494="Lapsed - Follow Up",COUNTIF($U$2:U494,"Lapsed - Follow Up"),"")</f>
        <v/>
      </c>
    </row>
    <row r="495" customFormat="false" ht="15" hidden="false" customHeight="true" outlineLevel="0" collapsed="false">
      <c r="A495" s="9" t="str">
        <f aca="false">Raw_Donors!A495</f>
        <v>D1493</v>
      </c>
      <c r="B495" s="9" t="str">
        <f aca="false">IF(ISNUMBER(SEARCH("-DUP",A495)),"Duplicate ID","")</f>
        <v/>
      </c>
      <c r="C495" s="9" t="n">
        <f aca="false">Raw_Donors!B495</f>
        <v>54819</v>
      </c>
      <c r="D495" s="9" t="n">
        <f aca="false">Raw_Donors!C495</f>
        <v>0</v>
      </c>
      <c r="E495" s="9" t="str">
        <f aca="false">IFERROR(IF(Raw_Donors!D495="","Unknown",Raw_Donors!D495),"Unknown")</f>
        <v>Unknown</v>
      </c>
      <c r="F495" s="9" t="str">
        <f aca="false">IFERROR(IF(Raw_Donors!E495="","Unknown",Raw_Donors!E495),"Unknown")</f>
        <v>Male</v>
      </c>
      <c r="G495" s="9" t="str">
        <f aca="false">PROPER(TRIM(Raw_Donors!F495))</f>
        <v>Individual Donor</v>
      </c>
      <c r="H495" s="9" t="str">
        <f aca="false">IFERROR(IF(Raw_Donors!G495="","N",Raw_Donors!G495),"N")</f>
        <v>N</v>
      </c>
      <c r="I495" s="9" t="str">
        <f aca="false">IF(Raw_Donors!H495="","Not Rated",Raw_Donors!H495)</f>
        <v>Not Rated</v>
      </c>
      <c r="J495" s="9" t="str">
        <f aca="false">IF(TRIM(Raw_Donors!I495)="","Unknown",TRIM(Raw_Donors!I495))</f>
        <v>HOME</v>
      </c>
      <c r="K495" s="9" t="str">
        <f aca="false">Raw_Donors!J495</f>
        <v>N</v>
      </c>
      <c r="L495" s="9" t="n">
        <f aca="false">Raw_Donors!K495</f>
        <v>2</v>
      </c>
      <c r="M495" s="10" t="n">
        <f aca="false">IFERROR(VALUE(SUBSTITUTE(SUBSTITUTE(Raw_Donors!L495,"$",""),",","")),0)</f>
        <v>0</v>
      </c>
      <c r="N495" s="10" t="n">
        <f aca="false">IFERROR(VALUE(SUBSTITUTE(SUBSTITUTE(Raw_Donors!M495,"$",""),",","")),0)</f>
        <v>0</v>
      </c>
      <c r="O495" s="10" t="n">
        <f aca="false">IFERROR(VALUE(SUBSTITUTE(SUBSTITUTE(Raw_Donors!N495,"$",""),",","")),0)</f>
        <v>0</v>
      </c>
      <c r="P495" s="10" t="n">
        <f aca="false">IFERROR(VALUE(SUBSTITUTE(SUBSTITUTE(Raw_Donors!O495,"$",""),",","")),0)</f>
        <v>0</v>
      </c>
      <c r="Q495" s="10" t="n">
        <f aca="false">IFERROR(VALUE(SUBSTITUTE(SUBSTITUTE(Raw_Donors!P495,"$",""),",","")),0)</f>
        <v>0</v>
      </c>
      <c r="R495" s="10" t="n">
        <f aca="false">Raw_Donors!Q495</f>
        <v>10</v>
      </c>
      <c r="S495" s="9" t="str">
        <f aca="false">Raw_Donors!R495</f>
        <v>Y</v>
      </c>
      <c r="T495" s="9" t="str">
        <f aca="false">IF(Raw_Donors!S495="","",Raw_Donors!S495)</f>
        <v/>
      </c>
      <c r="U495" s="9" t="str">
        <f aca="false">IF(AND((O495+P495)&gt;0,Q495=0),"Lapsed - Follow Up","")</f>
        <v/>
      </c>
      <c r="V495" s="9" t="n">
        <f aca="false">RANK(R495,$R$2:$R$759)+COUNTIF($R$2:R495,R495)-1</f>
        <v>501</v>
      </c>
      <c r="W495" s="9" t="str">
        <f aca="false">IF(U495="Lapsed - Follow Up",COUNTIF($U$2:U495,"Lapsed - Follow Up"),"")</f>
        <v/>
      </c>
    </row>
    <row r="496" customFormat="false" ht="15" hidden="false" customHeight="true" outlineLevel="0" collapsed="false">
      <c r="A496" s="9" t="str">
        <f aca="false">Raw_Donors!A496</f>
        <v>D1494</v>
      </c>
      <c r="B496" s="9" t="str">
        <f aca="false">IF(ISNUMBER(SEARCH("-DUP",A496)),"Duplicate ID","")</f>
        <v/>
      </c>
      <c r="C496" s="9" t="n">
        <f aca="false">Raw_Donors!B496</f>
        <v>48836</v>
      </c>
      <c r="D496" s="9" t="n">
        <f aca="false">Raw_Donors!C496</f>
        <v>0</v>
      </c>
      <c r="E496" s="9" t="str">
        <f aca="false">IFERROR(IF(Raw_Donors!D496="","Unknown",Raw_Donors!D496),"Unknown")</f>
        <v>Unknown</v>
      </c>
      <c r="F496" s="9" t="str">
        <f aca="false">IFERROR(IF(Raw_Donors!E496="","Unknown",Raw_Donors!E496),"Unknown")</f>
        <v>Male</v>
      </c>
      <c r="G496" s="9" t="str">
        <f aca="false">PROPER(TRIM(Raw_Donors!F496))</f>
        <v>Individual Donor</v>
      </c>
      <c r="H496" s="9" t="str">
        <f aca="false">IFERROR(IF(Raw_Donors!G496="","N",Raw_Donors!G496),"N")</f>
        <v>N</v>
      </c>
      <c r="I496" s="9" t="str">
        <f aca="false">IF(Raw_Donors!H496="","Not Rated",Raw_Donors!H496)</f>
        <v>Not Rated</v>
      </c>
      <c r="J496" s="9" t="str">
        <f aca="false">IF(TRIM(Raw_Donors!I496)="","Unknown",TRIM(Raw_Donors!I496))</f>
        <v>HOME</v>
      </c>
      <c r="K496" s="9" t="str">
        <f aca="false">Raw_Donors!J496</f>
        <v>N</v>
      </c>
      <c r="L496" s="9" t="n">
        <f aca="false">Raw_Donors!K496</f>
        <v>1</v>
      </c>
      <c r="M496" s="10" t="n">
        <f aca="false">IFERROR(VALUE(SUBSTITUTE(SUBSTITUTE(Raw_Donors!L496,"$",""),",","")),0)</f>
        <v>0</v>
      </c>
      <c r="N496" s="10" t="n">
        <f aca="false">IFERROR(VALUE(SUBSTITUTE(SUBSTITUTE(Raw_Donors!M496,"$",""),",","")),0)</f>
        <v>0</v>
      </c>
      <c r="O496" s="10" t="n">
        <f aca="false">IFERROR(VALUE(SUBSTITUTE(SUBSTITUTE(Raw_Donors!N496,"$",""),",","")),0)</f>
        <v>0</v>
      </c>
      <c r="P496" s="10" t="n">
        <f aca="false">IFERROR(VALUE(SUBSTITUTE(SUBSTITUTE(Raw_Donors!O496,"$",""),",","")),0)</f>
        <v>0</v>
      </c>
      <c r="Q496" s="10" t="n">
        <f aca="false">IFERROR(VALUE(SUBSTITUTE(SUBSTITUTE(Raw_Donors!P496,"$",""),",","")),0)</f>
        <v>100</v>
      </c>
      <c r="R496" s="10" t="n">
        <f aca="false">Raw_Donors!Q496</f>
        <v>100</v>
      </c>
      <c r="S496" s="9" t="str">
        <f aca="false">Raw_Donors!R496</f>
        <v>Y</v>
      </c>
      <c r="T496" s="9" t="str">
        <f aca="false">IF(Raw_Donors!S496="","",Raw_Donors!S496)</f>
        <v/>
      </c>
      <c r="U496" s="9" t="str">
        <f aca="false">IF(AND((O496+P496)&gt;0,Q496=0),"Lapsed - Follow Up","")</f>
        <v/>
      </c>
      <c r="V496" s="9" t="n">
        <f aca="false">RANK(R496,$R$2:$R$759)+COUNTIF($R$2:R496,R496)-1</f>
        <v>290</v>
      </c>
      <c r="W496" s="9" t="str">
        <f aca="false">IF(U496="Lapsed - Follow Up",COUNTIF($U$2:U496,"Lapsed - Follow Up"),"")</f>
        <v/>
      </c>
    </row>
    <row r="497" customFormat="false" ht="15" hidden="false" customHeight="true" outlineLevel="0" collapsed="false">
      <c r="A497" s="9" t="str">
        <f aca="false">Raw_Donors!A497</f>
        <v>D1495</v>
      </c>
      <c r="B497" s="9" t="str">
        <f aca="false">IF(ISNUMBER(SEARCH("-DUP",A497)),"Duplicate ID","")</f>
        <v/>
      </c>
      <c r="C497" s="9" t="n">
        <f aca="false">Raw_Donors!B497</f>
        <v>33336</v>
      </c>
      <c r="D497" s="9" t="n">
        <f aca="false">Raw_Donors!C497</f>
        <v>0</v>
      </c>
      <c r="E497" s="9" t="str">
        <f aca="false">IFERROR(IF(Raw_Donors!D497="","Unknown",Raw_Donors!D497),"Unknown")</f>
        <v>Single</v>
      </c>
      <c r="F497" s="9" t="str">
        <f aca="false">IFERROR(IF(Raw_Donors!E497="","Unknown",Raw_Donors!E497),"Unknown")</f>
        <v>Female</v>
      </c>
      <c r="G497" s="9" t="str">
        <f aca="false">PROPER(TRIM(Raw_Donors!F497))</f>
        <v>Individual Donor</v>
      </c>
      <c r="H497" s="9" t="str">
        <f aca="false">IFERROR(IF(Raw_Donors!G497="","N",Raw_Donors!G497),"N")</f>
        <v>N</v>
      </c>
      <c r="I497" s="9" t="str">
        <f aca="false">IF(Raw_Donors!H497="","Not Rated",Raw_Donors!H497)</f>
        <v>Not Rated</v>
      </c>
      <c r="J497" s="9" t="str">
        <f aca="false">IF(TRIM(Raw_Donors!I497)="","Unknown",TRIM(Raw_Donors!I497))</f>
        <v>Unknown</v>
      </c>
      <c r="K497" s="9" t="str">
        <f aca="false">Raw_Donors!J497</f>
        <v>N</v>
      </c>
      <c r="L497" s="9" t="n">
        <f aca="false">Raw_Donors!K497</f>
        <v>0</v>
      </c>
      <c r="M497" s="10" t="n">
        <f aca="false">IFERROR(VALUE(SUBSTITUTE(SUBSTITUTE(Raw_Donors!L497,"$",""),",","")),0)</f>
        <v>0</v>
      </c>
      <c r="N497" s="10" t="n">
        <f aca="false">IFERROR(VALUE(SUBSTITUTE(SUBSTITUTE(Raw_Donors!M497,"$",""),",","")),0)</f>
        <v>1</v>
      </c>
      <c r="O497" s="10" t="n">
        <f aca="false">IFERROR(VALUE(SUBSTITUTE(SUBSTITUTE(Raw_Donors!N497,"$",""),",","")),0)</f>
        <v>0</v>
      </c>
      <c r="P497" s="10" t="n">
        <f aca="false">IFERROR(VALUE(SUBSTITUTE(SUBSTITUTE(Raw_Donors!O497,"$",""),",","")),0)</f>
        <v>0</v>
      </c>
      <c r="Q497" s="10" t="n">
        <f aca="false">IFERROR(VALUE(SUBSTITUTE(SUBSTITUTE(Raw_Donors!P497,"$",""),",","")),0)</f>
        <v>0</v>
      </c>
      <c r="R497" s="10" t="n">
        <f aca="false">Raw_Donors!Q497</f>
        <v>1</v>
      </c>
      <c r="S497" s="9" t="str">
        <f aca="false">Raw_Donors!R497</f>
        <v>Y</v>
      </c>
      <c r="T497" s="9" t="str">
        <f aca="false">IF(Raw_Donors!S497="","",Raw_Donors!S497)</f>
        <v/>
      </c>
      <c r="U497" s="9" t="str">
        <f aca="false">IF(AND((O497+P497)&gt;0,Q497=0),"Lapsed - Follow Up","")</f>
        <v/>
      </c>
      <c r="V497" s="9" t="n">
        <f aca="false">RANK(R497,$R$2:$R$759)+COUNTIF($R$2:R497,R497)-1</f>
        <v>547</v>
      </c>
      <c r="W497" s="9" t="str">
        <f aca="false">IF(U497="Lapsed - Follow Up",COUNTIF($U$2:U497,"Lapsed - Follow Up"),"")</f>
        <v/>
      </c>
    </row>
    <row r="498" customFormat="false" ht="15" hidden="false" customHeight="true" outlineLevel="0" collapsed="false">
      <c r="A498" s="9" t="str">
        <f aca="false">Raw_Donors!A498</f>
        <v>D1496</v>
      </c>
      <c r="B498" s="9" t="str">
        <f aca="false">IF(ISNUMBER(SEARCH("-DUP",A498)),"Duplicate ID","")</f>
        <v/>
      </c>
      <c r="C498" s="9" t="n">
        <f aca="false">Raw_Donors!B498</f>
        <v>9611</v>
      </c>
      <c r="D498" s="9" t="n">
        <f aca="false">Raw_Donors!C498</f>
        <v>0</v>
      </c>
      <c r="E498" s="9" t="str">
        <f aca="false">IFERROR(IF(Raw_Donors!D498="","Unknown",Raw_Donors!D498),"Unknown")</f>
        <v>Married</v>
      </c>
      <c r="F498" s="9" t="str">
        <f aca="false">IFERROR(IF(Raw_Donors!E498="","Unknown",Raw_Donors!E498),"Unknown")</f>
        <v>Female</v>
      </c>
      <c r="G498" s="9" t="str">
        <f aca="false">PROPER(TRIM(Raw_Donors!F498))</f>
        <v>Individual Donor</v>
      </c>
      <c r="H498" s="9" t="str">
        <f aca="false">IFERROR(IF(Raw_Donors!G498="","N",Raw_Donors!G498),"N")</f>
        <v>N</v>
      </c>
      <c r="I498" s="9" t="str">
        <f aca="false">IF(Raw_Donors!H498="","Not Rated",Raw_Donors!H498)</f>
        <v>Not Rated</v>
      </c>
      <c r="J498" s="9" t="str">
        <f aca="false">IF(TRIM(Raw_Donors!I498)="","Unknown",TRIM(Raw_Donors!I498))</f>
        <v>HOME</v>
      </c>
      <c r="K498" s="9" t="str">
        <f aca="false">Raw_Donors!J498</f>
        <v>N</v>
      </c>
      <c r="L498" s="9" t="n">
        <f aca="false">Raw_Donors!K498</f>
        <v>0</v>
      </c>
      <c r="M498" s="10" t="n">
        <f aca="false">IFERROR(VALUE(SUBSTITUTE(SUBSTITUTE(Raw_Donors!L498,"$",""),",","")),0)</f>
        <v>0</v>
      </c>
      <c r="N498" s="10" t="n">
        <f aca="false">IFERROR(VALUE(SUBSTITUTE(SUBSTITUTE(Raw_Donors!M498,"$",""),",","")),0)</f>
        <v>0</v>
      </c>
      <c r="O498" s="10" t="n">
        <f aca="false">IFERROR(VALUE(SUBSTITUTE(SUBSTITUTE(Raw_Donors!N498,"$",""),",","")),0)</f>
        <v>0</v>
      </c>
      <c r="P498" s="10" t="n">
        <f aca="false">IFERROR(VALUE(SUBSTITUTE(SUBSTITUTE(Raw_Donors!O498,"$",""),",","")),0)</f>
        <v>0</v>
      </c>
      <c r="Q498" s="10" t="n">
        <f aca="false">IFERROR(VALUE(SUBSTITUTE(SUBSTITUTE(Raw_Donors!P498,"$",""),",","")),0)</f>
        <v>0</v>
      </c>
      <c r="R498" s="10" t="n">
        <f aca="false">Raw_Donors!Q498</f>
        <v>75</v>
      </c>
      <c r="S498" s="9" t="str">
        <f aca="false">Raw_Donors!R498</f>
        <v>Y</v>
      </c>
      <c r="T498" s="9" t="str">
        <f aca="false">IF(Raw_Donors!S498="","",Raw_Donors!S498)</f>
        <v/>
      </c>
      <c r="U498" s="9" t="str">
        <f aca="false">IF(AND((O498+P498)&gt;0,Q498=0),"Lapsed - Follow Up","")</f>
        <v/>
      </c>
      <c r="V498" s="9" t="n">
        <f aca="false">RANK(R498,$R$2:$R$759)+COUNTIF($R$2:R498,R498)-1</f>
        <v>334</v>
      </c>
      <c r="W498" s="9" t="str">
        <f aca="false">IF(U498="Lapsed - Follow Up",COUNTIF($U$2:U498,"Lapsed - Follow Up"),"")</f>
        <v/>
      </c>
    </row>
    <row r="499" customFormat="false" ht="15" hidden="false" customHeight="true" outlineLevel="0" collapsed="false">
      <c r="A499" s="9" t="str">
        <f aca="false">Raw_Donors!A499</f>
        <v>D1497</v>
      </c>
      <c r="B499" s="9" t="str">
        <f aca="false">IF(ISNUMBER(SEARCH("-DUP",A499)),"Duplicate ID","")</f>
        <v/>
      </c>
      <c r="C499" s="9" t="n">
        <f aca="false">Raw_Donors!B499</f>
        <v>90265</v>
      </c>
      <c r="D499" s="9" t="n">
        <f aca="false">Raw_Donors!C499</f>
        <v>0</v>
      </c>
      <c r="E499" s="9" t="str">
        <f aca="false">IFERROR(IF(Raw_Donors!D499="","Unknown",Raw_Donors!D499),"Unknown")</f>
        <v>Unknown</v>
      </c>
      <c r="F499" s="9" t="str">
        <f aca="false">IFERROR(IF(Raw_Donors!E499="","Unknown",Raw_Donors!E499),"Unknown")</f>
        <v>Male</v>
      </c>
      <c r="G499" s="9" t="str">
        <f aca="false">PROPER(TRIM(Raw_Donors!F499))</f>
        <v>Individual Donor</v>
      </c>
      <c r="H499" s="9" t="str">
        <f aca="false">IFERROR(IF(Raw_Donors!G499="","N",Raw_Donors!G499),"N")</f>
        <v>N</v>
      </c>
      <c r="I499" s="9" t="str">
        <f aca="false">IF(Raw_Donors!H499="","Not Rated",Raw_Donors!H499)</f>
        <v>$25,000-$49,999</v>
      </c>
      <c r="J499" s="9" t="str">
        <f aca="false">IF(TRIM(Raw_Donors!I499)="","Unknown",TRIM(Raw_Donors!I499))</f>
        <v>Unknown</v>
      </c>
      <c r="K499" s="9" t="str">
        <f aca="false">Raw_Donors!J499</f>
        <v>N</v>
      </c>
      <c r="L499" s="9" t="n">
        <f aca="false">Raw_Donors!K499</f>
        <v>0</v>
      </c>
      <c r="M499" s="10" t="n">
        <f aca="false">IFERROR(VALUE(SUBSTITUTE(SUBSTITUTE(Raw_Donors!L499,"$",""),",","")),0)</f>
        <v>0</v>
      </c>
      <c r="N499" s="10" t="n">
        <f aca="false">IFERROR(VALUE(SUBSTITUTE(SUBSTITUTE(Raw_Donors!M499,"$",""),",","")),0)</f>
        <v>0</v>
      </c>
      <c r="O499" s="10" t="n">
        <f aca="false">IFERROR(VALUE(SUBSTITUTE(SUBSTITUTE(Raw_Donors!N499,"$",""),",","")),0)</f>
        <v>0</v>
      </c>
      <c r="P499" s="10" t="n">
        <f aca="false">IFERROR(VALUE(SUBSTITUTE(SUBSTITUTE(Raw_Donors!O499,"$",""),",","")),0)</f>
        <v>1</v>
      </c>
      <c r="Q499" s="10" t="n">
        <f aca="false">IFERROR(VALUE(SUBSTITUTE(SUBSTITUTE(Raw_Donors!P499,"$",""),",","")),0)</f>
        <v>0</v>
      </c>
      <c r="R499" s="10" t="n">
        <f aca="false">Raw_Donors!Q499</f>
        <v>1</v>
      </c>
      <c r="S499" s="9" t="str">
        <f aca="false">Raw_Donors!R499</f>
        <v>Y</v>
      </c>
      <c r="T499" s="9" t="str">
        <f aca="false">IF(Raw_Donors!S499="","",Raw_Donors!S499)</f>
        <v/>
      </c>
      <c r="U499" s="9" t="str">
        <f aca="false">IF(AND((O499+P499)&gt;0,Q499=0),"Lapsed - Follow Up","")</f>
        <v>Lapsed - Follow Up</v>
      </c>
      <c r="V499" s="9" t="n">
        <f aca="false">RANK(R499,$R$2:$R$759)+COUNTIF($R$2:R499,R499)-1</f>
        <v>548</v>
      </c>
      <c r="W499" s="9" t="n">
        <f aca="false">IF(U499="Lapsed - Follow Up",COUNTIF($U$2:U499,"Lapsed - Follow Up"),"")</f>
        <v>67</v>
      </c>
    </row>
    <row r="500" customFormat="false" ht="15" hidden="false" customHeight="true" outlineLevel="0" collapsed="false">
      <c r="A500" s="9" t="str">
        <f aca="false">Raw_Donors!A500</f>
        <v>D1498</v>
      </c>
      <c r="B500" s="9" t="str">
        <f aca="false">IF(ISNUMBER(SEARCH("-DUP",A500)),"Duplicate ID","")</f>
        <v/>
      </c>
      <c r="C500" s="9" t="n">
        <f aca="false">Raw_Donors!B500</f>
        <v>77318</v>
      </c>
      <c r="D500" s="9" t="n">
        <f aca="false">Raw_Donors!C500</f>
        <v>0</v>
      </c>
      <c r="E500" s="9" t="str">
        <f aca="false">IFERROR(IF(Raw_Donors!D500="","Unknown",Raw_Donors!D500),"Unknown")</f>
        <v>Unknown</v>
      </c>
      <c r="F500" s="9" t="str">
        <f aca="false">IFERROR(IF(Raw_Donors!E500="","Unknown",Raw_Donors!E500),"Unknown")</f>
        <v>Male</v>
      </c>
      <c r="G500" s="9" t="str">
        <f aca="false">PROPER(TRIM(Raw_Donors!F500))</f>
        <v>Community Partner</v>
      </c>
      <c r="H500" s="9" t="str">
        <f aca="false">IFERROR(IF(Raw_Donors!G500="","N",Raw_Donors!G500),"N")</f>
        <v>N</v>
      </c>
      <c r="I500" s="9" t="str">
        <f aca="false">IF(Raw_Donors!H500="","Not Rated",Raw_Donors!H500)</f>
        <v>Not Rated</v>
      </c>
      <c r="J500" s="9" t="str">
        <f aca="false">IF(TRIM(Raw_Donors!I500)="","Unknown",TRIM(Raw_Donors!I500))</f>
        <v>Unknown</v>
      </c>
      <c r="K500" s="9" t="str">
        <f aca="false">Raw_Donors!J500</f>
        <v>N</v>
      </c>
      <c r="L500" s="9" t="n">
        <f aca="false">Raw_Donors!K500</f>
        <v>0</v>
      </c>
      <c r="M500" s="10" t="n">
        <f aca="false">IFERROR(VALUE(SUBSTITUTE(SUBSTITUTE(Raw_Donors!L500,"$",""),",","")),0)</f>
        <v>0</v>
      </c>
      <c r="N500" s="10" t="n">
        <f aca="false">IFERROR(VALUE(SUBSTITUTE(SUBSTITUTE(Raw_Donors!M500,"$",""),",","")),0)</f>
        <v>0</v>
      </c>
      <c r="O500" s="10" t="n">
        <f aca="false">IFERROR(VALUE(SUBSTITUTE(SUBSTITUTE(Raw_Donors!N500,"$",""),",","")),0)</f>
        <v>0</v>
      </c>
      <c r="P500" s="10" t="n">
        <f aca="false">IFERROR(VALUE(SUBSTITUTE(SUBSTITUTE(Raw_Donors!O500,"$",""),",","")),0)</f>
        <v>0</v>
      </c>
      <c r="Q500" s="10" t="n">
        <f aca="false">IFERROR(VALUE(SUBSTITUTE(SUBSTITUTE(Raw_Donors!P500,"$",""),",","")),0)</f>
        <v>0</v>
      </c>
      <c r="R500" s="10" t="n">
        <f aca="false">Raw_Donors!Q500</f>
        <v>0</v>
      </c>
      <c r="S500" s="9" t="str">
        <f aca="false">Raw_Donors!R500</f>
        <v>N</v>
      </c>
      <c r="T500" s="9" t="str">
        <f aca="false">IF(Raw_Donors!S500="","",Raw_Donors!S500)</f>
        <v/>
      </c>
      <c r="U500" s="9" t="str">
        <f aca="false">IF(AND((O500+P500)&gt;0,Q500=0),"Lapsed - Follow Up","")</f>
        <v/>
      </c>
      <c r="V500" s="9" t="n">
        <f aca="false">RANK(R500,$R$2:$R$759)+COUNTIF($R$2:R500,R500)-1</f>
        <v>691</v>
      </c>
      <c r="W500" s="9" t="str">
        <f aca="false">IF(U500="Lapsed - Follow Up",COUNTIF($U$2:U500,"Lapsed - Follow Up"),"")</f>
        <v/>
      </c>
    </row>
    <row r="501" customFormat="false" ht="15" hidden="false" customHeight="true" outlineLevel="0" collapsed="false">
      <c r="A501" s="9" t="str">
        <f aca="false">Raw_Donors!A501</f>
        <v>D1499</v>
      </c>
      <c r="B501" s="9" t="str">
        <f aca="false">IF(ISNUMBER(SEARCH("-DUP",A501)),"Duplicate ID","")</f>
        <v/>
      </c>
      <c r="C501" s="9" t="n">
        <f aca="false">Raw_Donors!B501</f>
        <v>98568</v>
      </c>
      <c r="D501" s="9" t="n">
        <f aca="false">Raw_Donors!C501</f>
        <v>76</v>
      </c>
      <c r="E501" s="9" t="str">
        <f aca="false">IFERROR(IF(Raw_Donors!D501="","Unknown",Raw_Donors!D501),"Unknown")</f>
        <v>Unknown</v>
      </c>
      <c r="F501" s="9" t="str">
        <f aca="false">IFERROR(IF(Raw_Donors!E501="","Unknown",Raw_Donors!E501),"Unknown")</f>
        <v>Male</v>
      </c>
      <c r="G501" s="9" t="str">
        <f aca="false">PROPER(TRIM(Raw_Donors!F501))</f>
        <v>Individual Donor</v>
      </c>
      <c r="H501" s="9" t="str">
        <f aca="false">IFERROR(IF(Raw_Donors!G501="","N",Raw_Donors!G501),"N")</f>
        <v>N</v>
      </c>
      <c r="I501" s="9" t="str">
        <f aca="false">IF(Raw_Donors!H501="","Not Rated",Raw_Donors!H501)</f>
        <v>Not Rated</v>
      </c>
      <c r="J501" s="9" t="str">
        <f aca="false">IF(TRIM(Raw_Donors!I501)="","Unknown",TRIM(Raw_Donors!I501))</f>
        <v>HOME</v>
      </c>
      <c r="K501" s="9" t="str">
        <f aca="false">Raw_Donors!J501</f>
        <v>Y</v>
      </c>
      <c r="L501" s="9" t="n">
        <f aca="false">Raw_Donors!K501</f>
        <v>0</v>
      </c>
      <c r="M501" s="10" t="n">
        <f aca="false">IFERROR(VALUE(SUBSTITUTE(SUBSTITUTE(Raw_Donors!L501,"$",""),",","")),0)</f>
        <v>0</v>
      </c>
      <c r="N501" s="10" t="n">
        <f aca="false">IFERROR(VALUE(SUBSTITUTE(SUBSTITUTE(Raw_Donors!M501,"$",""),",","")),0)</f>
        <v>0</v>
      </c>
      <c r="O501" s="10" t="n">
        <f aca="false">IFERROR(VALUE(SUBSTITUTE(SUBSTITUTE(Raw_Donors!N501,"$",""),",","")),0)</f>
        <v>0</v>
      </c>
      <c r="P501" s="10" t="n">
        <f aca="false">IFERROR(VALUE(SUBSTITUTE(SUBSTITUTE(Raw_Donors!O501,"$",""),",","")),0)</f>
        <v>0</v>
      </c>
      <c r="Q501" s="10" t="n">
        <f aca="false">IFERROR(VALUE(SUBSTITUTE(SUBSTITUTE(Raw_Donors!P501,"$",""),",","")),0)</f>
        <v>0</v>
      </c>
      <c r="R501" s="10" t="n">
        <f aca="false">Raw_Donors!Q501</f>
        <v>40</v>
      </c>
      <c r="S501" s="9" t="str">
        <f aca="false">Raw_Donors!R501</f>
        <v>Y</v>
      </c>
      <c r="T501" s="9" t="str">
        <f aca="false">IF(Raw_Donors!S501="","",Raw_Donors!S501)</f>
        <v>1941-05-01</v>
      </c>
      <c r="U501" s="9" t="str">
        <f aca="false">IF(AND((O501+P501)&gt;0,Q501=0),"Lapsed - Follow Up","")</f>
        <v/>
      </c>
      <c r="V501" s="9" t="n">
        <f aca="false">RANK(R501,$R$2:$R$759)+COUNTIF($R$2:R501,R501)-1</f>
        <v>402</v>
      </c>
      <c r="W501" s="9" t="str">
        <f aca="false">IF(U501="Lapsed - Follow Up",COUNTIF($U$2:U501,"Lapsed - Follow Up"),"")</f>
        <v/>
      </c>
    </row>
    <row r="502" customFormat="false" ht="15" hidden="false" customHeight="true" outlineLevel="0" collapsed="false">
      <c r="A502" s="9" t="str">
        <f aca="false">Raw_Donors!A502</f>
        <v>D1500</v>
      </c>
      <c r="B502" s="9" t="str">
        <f aca="false">IF(ISNUMBER(SEARCH("-DUP",A502)),"Duplicate ID","")</f>
        <v/>
      </c>
      <c r="C502" s="9" t="n">
        <f aca="false">Raw_Donors!B502</f>
        <v>61427</v>
      </c>
      <c r="D502" s="9" t="n">
        <f aca="false">Raw_Donors!C502</f>
        <v>50</v>
      </c>
      <c r="E502" s="9" t="str">
        <f aca="false">IFERROR(IF(Raw_Donors!D502="","Unknown",Raw_Donors!D502),"Unknown")</f>
        <v>Married</v>
      </c>
      <c r="F502" s="9" t="str">
        <f aca="false">IFERROR(IF(Raw_Donors!E502="","Unknown",Raw_Donors!E502),"Unknown")</f>
        <v>Female</v>
      </c>
      <c r="G502" s="9" t="str">
        <f aca="false">PROPER(TRIM(Raw_Donors!F502))</f>
        <v>Community Partner</v>
      </c>
      <c r="H502" s="9" t="str">
        <f aca="false">IFERROR(IF(Raw_Donors!G502="","N",Raw_Donors!G502),"N")</f>
        <v>N</v>
      </c>
      <c r="I502" s="9" t="str">
        <f aca="false">IF(Raw_Donors!H502="","Not Rated",Raw_Donors!H502)</f>
        <v>Not Rated</v>
      </c>
      <c r="J502" s="9" t="str">
        <f aca="false">IF(TRIM(Raw_Donors!I502)="","Unknown",TRIM(Raw_Donors!I502))</f>
        <v>HOME</v>
      </c>
      <c r="K502" s="9" t="str">
        <f aca="false">Raw_Donors!J502</f>
        <v>Y</v>
      </c>
      <c r="L502" s="9" t="n">
        <f aca="false">Raw_Donors!K502</f>
        <v>0</v>
      </c>
      <c r="M502" s="10" t="n">
        <f aca="false">IFERROR(VALUE(SUBSTITUTE(SUBSTITUTE(Raw_Donors!L502,"$",""),",","")),0)</f>
        <v>1</v>
      </c>
      <c r="N502" s="10" t="n">
        <f aca="false">IFERROR(VALUE(SUBSTITUTE(SUBSTITUTE(Raw_Donors!M502,"$",""),",","")),0)</f>
        <v>1</v>
      </c>
      <c r="O502" s="10" t="n">
        <f aca="false">IFERROR(VALUE(SUBSTITUTE(SUBSTITUTE(Raw_Donors!N502,"$",""),",","")),0)</f>
        <v>0</v>
      </c>
      <c r="P502" s="10" t="n">
        <f aca="false">IFERROR(VALUE(SUBSTITUTE(SUBSTITUTE(Raw_Donors!O502,"$",""),",","")),0)</f>
        <v>0</v>
      </c>
      <c r="Q502" s="10" t="n">
        <f aca="false">IFERROR(VALUE(SUBSTITUTE(SUBSTITUTE(Raw_Donors!P502,"$",""),",","")),0)</f>
        <v>0</v>
      </c>
      <c r="R502" s="10" t="n">
        <f aca="false">Raw_Donors!Q502</f>
        <v>20</v>
      </c>
      <c r="S502" s="9" t="str">
        <f aca="false">Raw_Donors!R502</f>
        <v>Y</v>
      </c>
      <c r="T502" s="9" t="str">
        <f aca="false">IF(Raw_Donors!S502="","",Raw_Donors!S502)</f>
        <v>1967-05-10</v>
      </c>
      <c r="U502" s="9" t="str">
        <f aca="false">IF(AND((O502+P502)&gt;0,Q502=0),"Lapsed - Follow Up","")</f>
        <v/>
      </c>
      <c r="V502" s="9" t="n">
        <f aca="false">RANK(R502,$R$2:$R$759)+COUNTIF($R$2:R502,R502)-1</f>
        <v>472</v>
      </c>
      <c r="W502" s="9" t="str">
        <f aca="false">IF(U502="Lapsed - Follow Up",COUNTIF($U$2:U502,"Lapsed - Follow Up"),"")</f>
        <v/>
      </c>
    </row>
    <row r="503" customFormat="false" ht="15" hidden="false" customHeight="true" outlineLevel="0" collapsed="false">
      <c r="A503" s="9" t="str">
        <f aca="false">Raw_Donors!A503</f>
        <v>D1501</v>
      </c>
      <c r="B503" s="9" t="str">
        <f aca="false">IF(ISNUMBER(SEARCH("-DUP",A503)),"Duplicate ID","")</f>
        <v/>
      </c>
      <c r="C503" s="9" t="n">
        <f aca="false">Raw_Donors!B503</f>
        <v>90265</v>
      </c>
      <c r="D503" s="9" t="n">
        <f aca="false">Raw_Donors!C503</f>
        <v>0</v>
      </c>
      <c r="E503" s="9" t="str">
        <f aca="false">IFERROR(IF(Raw_Donors!D503="","Unknown",Raw_Donors!D503),"Unknown")</f>
        <v>Married</v>
      </c>
      <c r="F503" s="9" t="str">
        <f aca="false">IFERROR(IF(Raw_Donors!E503="","Unknown",Raw_Donors!E503),"Unknown")</f>
        <v>Male</v>
      </c>
      <c r="G503" s="9" t="str">
        <f aca="false">PROPER(TRIM(Raw_Donors!F503))</f>
        <v>Individual Donor</v>
      </c>
      <c r="H503" s="9" t="str">
        <f aca="false">IFERROR(IF(Raw_Donors!G503="","N",Raw_Donors!G503),"N")</f>
        <v>N</v>
      </c>
      <c r="I503" s="9" t="str">
        <f aca="false">IF(Raw_Donors!H503="","Not Rated",Raw_Donors!H503)</f>
        <v>Not Rated</v>
      </c>
      <c r="J503" s="9" t="str">
        <f aca="false">IF(TRIM(Raw_Donors!I503)="","Unknown",TRIM(Raw_Donors!I503))</f>
        <v>HOME</v>
      </c>
      <c r="K503" s="9" t="str">
        <f aca="false">Raw_Donors!J503</f>
        <v>N</v>
      </c>
      <c r="L503" s="9" t="n">
        <f aca="false">Raw_Donors!K503</f>
        <v>0</v>
      </c>
      <c r="M503" s="10" t="n">
        <f aca="false">IFERROR(VALUE(SUBSTITUTE(SUBSTITUTE(Raw_Donors!L503,"$",""),",","")),0)</f>
        <v>0</v>
      </c>
      <c r="N503" s="10" t="n">
        <f aca="false">IFERROR(VALUE(SUBSTITUTE(SUBSTITUTE(Raw_Donors!M503,"$",""),",","")),0)</f>
        <v>0</v>
      </c>
      <c r="O503" s="10" t="n">
        <f aca="false">IFERROR(VALUE(SUBSTITUTE(SUBSTITUTE(Raw_Donors!N503,"$",""),",","")),0)</f>
        <v>0</v>
      </c>
      <c r="P503" s="10" t="n">
        <f aca="false">IFERROR(VALUE(SUBSTITUTE(SUBSTITUTE(Raw_Donors!O503,"$",""),",","")),0)</f>
        <v>0</v>
      </c>
      <c r="Q503" s="10" t="n">
        <f aca="false">IFERROR(VALUE(SUBSTITUTE(SUBSTITUTE(Raw_Donors!P503,"$",""),",","")),0)</f>
        <v>0</v>
      </c>
      <c r="R503" s="10" t="n">
        <f aca="false">Raw_Donors!Q503</f>
        <v>50</v>
      </c>
      <c r="S503" s="9" t="str">
        <f aca="false">Raw_Donors!R503</f>
        <v>Y</v>
      </c>
      <c r="T503" s="9" t="str">
        <f aca="false">IF(Raw_Donors!S503="","",Raw_Donors!S503)</f>
        <v/>
      </c>
      <c r="U503" s="9" t="str">
        <f aca="false">IF(AND((O503+P503)&gt;0,Q503=0),"Lapsed - Follow Up","")</f>
        <v/>
      </c>
      <c r="V503" s="9" t="n">
        <f aca="false">RANK(R503,$R$2:$R$759)+COUNTIF($R$2:R503,R503)-1</f>
        <v>381</v>
      </c>
      <c r="W503" s="9" t="str">
        <f aca="false">IF(U503="Lapsed - Follow Up",COUNTIF($U$2:U503,"Lapsed - Follow Up"),"")</f>
        <v/>
      </c>
    </row>
    <row r="504" customFormat="false" ht="15" hidden="false" customHeight="true" outlineLevel="0" collapsed="false">
      <c r="A504" s="9" t="str">
        <f aca="false">Raw_Donors!A504</f>
        <v>D1502</v>
      </c>
      <c r="B504" s="9" t="str">
        <f aca="false">IF(ISNUMBER(SEARCH("-DUP",A504)),"Duplicate ID","")</f>
        <v/>
      </c>
      <c r="C504" s="9" t="n">
        <f aca="false">Raw_Donors!B504</f>
        <v>31811</v>
      </c>
      <c r="D504" s="9" t="n">
        <f aca="false">Raw_Donors!C504</f>
        <v>0</v>
      </c>
      <c r="E504" s="9" t="str">
        <f aca="false">IFERROR(IF(Raw_Donors!D504="","Unknown",Raw_Donors!D504),"Unknown")</f>
        <v>Unknown</v>
      </c>
      <c r="F504" s="9" t="str">
        <f aca="false">IFERROR(IF(Raw_Donors!E504="","Unknown",Raw_Donors!E504),"Unknown")</f>
        <v>Male</v>
      </c>
      <c r="G504" s="9" t="str">
        <f aca="false">PROPER(TRIM(Raw_Donors!F504))</f>
        <v>Individual Donor</v>
      </c>
      <c r="H504" s="9" t="str">
        <f aca="false">IFERROR(IF(Raw_Donors!G504="","N",Raw_Donors!G504),"N")</f>
        <v>N</v>
      </c>
      <c r="I504" s="9" t="str">
        <f aca="false">IF(Raw_Donors!H504="","Not Rated",Raw_Donors!H504)</f>
        <v>Not Rated</v>
      </c>
      <c r="J504" s="9" t="str">
        <f aca="false">IF(TRIM(Raw_Donors!I504)="","Unknown",TRIM(Raw_Donors!I504))</f>
        <v>Unknown</v>
      </c>
      <c r="K504" s="9" t="str">
        <f aca="false">Raw_Donors!J504</f>
        <v>N</v>
      </c>
      <c r="L504" s="9" t="n">
        <f aca="false">Raw_Donors!K504</f>
        <v>1</v>
      </c>
      <c r="M504" s="10" t="n">
        <f aca="false">IFERROR(VALUE(SUBSTITUTE(SUBSTITUTE(Raw_Donors!L504,"$",""),",","")),0)</f>
        <v>0</v>
      </c>
      <c r="N504" s="10" t="n">
        <f aca="false">IFERROR(VALUE(SUBSTITUTE(SUBSTITUTE(Raw_Donors!M504,"$",""),",","")),0)</f>
        <v>0</v>
      </c>
      <c r="O504" s="10" t="n">
        <f aca="false">IFERROR(VALUE(SUBSTITUTE(SUBSTITUTE(Raw_Donors!N504,"$",""),",","")),0)</f>
        <v>0</v>
      </c>
      <c r="P504" s="10" t="n">
        <f aca="false">IFERROR(VALUE(SUBSTITUTE(SUBSTITUTE(Raw_Donors!O504,"$",""),",","")),0)</f>
        <v>0</v>
      </c>
      <c r="Q504" s="10" t="n">
        <f aca="false">IFERROR(VALUE(SUBSTITUTE(SUBSTITUTE(Raw_Donors!P504,"$",""),",","")),0)</f>
        <v>0</v>
      </c>
      <c r="R504" s="10" t="n">
        <f aca="false">Raw_Donors!Q504</f>
        <v>135</v>
      </c>
      <c r="S504" s="9" t="str">
        <f aca="false">Raw_Donors!R504</f>
        <v>Y</v>
      </c>
      <c r="T504" s="9" t="str">
        <f aca="false">IF(Raw_Donors!S504="","",Raw_Donors!S504)</f>
        <v/>
      </c>
      <c r="U504" s="9" t="str">
        <f aca="false">IF(AND((O504+P504)&gt;0,Q504=0),"Lapsed - Follow Up","")</f>
        <v/>
      </c>
      <c r="V504" s="9" t="n">
        <f aca="false">RANK(R504,$R$2:$R$759)+COUNTIF($R$2:R504,R504)-1</f>
        <v>239</v>
      </c>
      <c r="W504" s="9" t="str">
        <f aca="false">IF(U504="Lapsed - Follow Up",COUNTIF($U$2:U504,"Lapsed - Follow Up"),"")</f>
        <v/>
      </c>
    </row>
    <row r="505" customFormat="false" ht="15" hidden="false" customHeight="true" outlineLevel="0" collapsed="false">
      <c r="A505" s="9" t="str">
        <f aca="false">Raw_Donors!A505</f>
        <v>D1503</v>
      </c>
      <c r="B505" s="9" t="str">
        <f aca="false">IF(ISNUMBER(SEARCH("-DUP",A505)),"Duplicate ID","")</f>
        <v/>
      </c>
      <c r="C505" s="9" t="n">
        <f aca="false">Raw_Donors!B505</f>
        <v>30660</v>
      </c>
      <c r="D505" s="9" t="n">
        <f aca="false">Raw_Donors!C505</f>
        <v>0</v>
      </c>
      <c r="E505" s="9" t="str">
        <f aca="false">IFERROR(IF(Raw_Donors!D505="","Unknown",Raw_Donors!D505),"Unknown")</f>
        <v>Married</v>
      </c>
      <c r="F505" s="9" t="str">
        <f aca="false">IFERROR(IF(Raw_Donors!E505="","Unknown",Raw_Donors!E505),"Unknown")</f>
        <v>Male</v>
      </c>
      <c r="G505" s="9" t="str">
        <f aca="false">PROPER(TRIM(Raw_Donors!F505))</f>
        <v>Individual Donor</v>
      </c>
      <c r="H505" s="9" t="str">
        <f aca="false">IFERROR(IF(Raw_Donors!G505="","N",Raw_Donors!G505),"N")</f>
        <v>Y</v>
      </c>
      <c r="I505" s="9" t="str">
        <f aca="false">IF(Raw_Donors!H505="","Not Rated",Raw_Donors!H505)</f>
        <v>Not Rated</v>
      </c>
      <c r="J505" s="9" t="str">
        <f aca="false">IF(TRIM(Raw_Donors!I505)="","Unknown",TRIM(Raw_Donors!I505))</f>
        <v>HOME</v>
      </c>
      <c r="K505" s="9" t="str">
        <f aca="false">Raw_Donors!J505</f>
        <v>N</v>
      </c>
      <c r="L505" s="9" t="n">
        <f aca="false">Raw_Donors!K505</f>
        <v>4</v>
      </c>
      <c r="M505" s="10" t="n">
        <f aca="false">IFERROR(VALUE(SUBSTITUTE(SUBSTITUTE(Raw_Donors!L505,"$",""),",","")),0)</f>
        <v>500</v>
      </c>
      <c r="N505" s="10" t="n">
        <f aca="false">IFERROR(VALUE(SUBSTITUTE(SUBSTITUTE(Raw_Donors!M505,"$",""),",","")),0)</f>
        <v>0</v>
      </c>
      <c r="O505" s="10" t="n">
        <f aca="false">IFERROR(VALUE(SUBSTITUTE(SUBSTITUTE(Raw_Donors!N505,"$",""),",","")),0)</f>
        <v>0</v>
      </c>
      <c r="P505" s="10" t="n">
        <f aca="false">IFERROR(VALUE(SUBSTITUTE(SUBSTITUTE(Raw_Donors!O505,"$",""),",","")),0)</f>
        <v>0</v>
      </c>
      <c r="Q505" s="10" t="n">
        <f aca="false">IFERROR(VALUE(SUBSTITUTE(SUBSTITUTE(Raw_Donors!P505,"$",""),",","")),0)</f>
        <v>0</v>
      </c>
      <c r="R505" s="10" t="n">
        <f aca="false">Raw_Donors!Q505</f>
        <v>500</v>
      </c>
      <c r="S505" s="9" t="str">
        <f aca="false">Raw_Donors!R505</f>
        <v>Y</v>
      </c>
      <c r="T505" s="9" t="str">
        <f aca="false">IF(Raw_Donors!S505="","",Raw_Donors!S505)</f>
        <v/>
      </c>
      <c r="U505" s="9" t="str">
        <f aca="false">IF(AND((O505+P505)&gt;0,Q505=0),"Lapsed - Follow Up","")</f>
        <v/>
      </c>
      <c r="V505" s="9" t="n">
        <f aca="false">RANK(R505,$R$2:$R$759)+COUNTIF($R$2:R505,R505)-1</f>
        <v>93</v>
      </c>
      <c r="W505" s="9" t="str">
        <f aca="false">IF(U505="Lapsed - Follow Up",COUNTIF($U$2:U505,"Lapsed - Follow Up"),"")</f>
        <v/>
      </c>
    </row>
    <row r="506" customFormat="false" ht="15" hidden="false" customHeight="true" outlineLevel="0" collapsed="false">
      <c r="A506" s="9" t="str">
        <f aca="false">Raw_Donors!A506</f>
        <v>D1504</v>
      </c>
      <c r="B506" s="9" t="str">
        <f aca="false">IF(ISNUMBER(SEARCH("-DUP",A506)),"Duplicate ID","")</f>
        <v/>
      </c>
      <c r="C506" s="9" t="n">
        <f aca="false">Raw_Donors!B506</f>
        <v>33443</v>
      </c>
      <c r="D506" s="9" t="n">
        <f aca="false">Raw_Donors!C506</f>
        <v>23</v>
      </c>
      <c r="E506" s="9" t="str">
        <f aca="false">IFERROR(IF(Raw_Donors!D506="","Unknown",Raw_Donors!D506),"Unknown")</f>
        <v>Unknown</v>
      </c>
      <c r="F506" s="9" t="str">
        <f aca="false">IFERROR(IF(Raw_Donors!E506="","Unknown",Raw_Donors!E506),"Unknown")</f>
        <v>Male</v>
      </c>
      <c r="G506" s="9" t="str">
        <f aca="false">PROPER(TRIM(Raw_Donors!F506))</f>
        <v>Community Partner</v>
      </c>
      <c r="H506" s="9" t="str">
        <f aca="false">IFERROR(IF(Raw_Donors!G506="","N",Raw_Donors!G506),"N")</f>
        <v>Y</v>
      </c>
      <c r="I506" s="9" t="str">
        <f aca="false">IF(Raw_Donors!H506="","Not Rated",Raw_Donors!H506)</f>
        <v>$25,000-$49,999</v>
      </c>
      <c r="J506" s="9" t="str">
        <f aca="false">IF(TRIM(Raw_Donors!I506)="","Unknown",TRIM(Raw_Donors!I506))</f>
        <v>HOME</v>
      </c>
      <c r="K506" s="9" t="str">
        <f aca="false">Raw_Donors!J506</f>
        <v>Y</v>
      </c>
      <c r="L506" s="9" t="n">
        <f aca="false">Raw_Donors!K506</f>
        <v>3</v>
      </c>
      <c r="M506" s="10" t="n">
        <f aca="false">IFERROR(VALUE(SUBSTITUTE(SUBSTITUTE(Raw_Donors!L506,"$",""),",","")),0)</f>
        <v>100</v>
      </c>
      <c r="N506" s="10" t="n">
        <f aca="false">IFERROR(VALUE(SUBSTITUTE(SUBSTITUTE(Raw_Donors!M506,"$",""),",","")),0)</f>
        <v>0</v>
      </c>
      <c r="O506" s="10" t="n">
        <f aca="false">IFERROR(VALUE(SUBSTITUTE(SUBSTITUTE(Raw_Donors!N506,"$",""),",","")),0)</f>
        <v>0</v>
      </c>
      <c r="P506" s="10" t="n">
        <f aca="false">IFERROR(VALUE(SUBSTITUTE(SUBSTITUTE(Raw_Donors!O506,"$",""),",","")),0)</f>
        <v>0</v>
      </c>
      <c r="Q506" s="10" t="n">
        <f aca="false">IFERROR(VALUE(SUBSTITUTE(SUBSTITUTE(Raw_Donors!P506,"$",""),",","")),0)</f>
        <v>0</v>
      </c>
      <c r="R506" s="10" t="n">
        <f aca="false">Raw_Donors!Q506</f>
        <v>180</v>
      </c>
      <c r="S506" s="9" t="str">
        <f aca="false">Raw_Donors!R506</f>
        <v>Y</v>
      </c>
      <c r="T506" s="9" t="str">
        <f aca="false">IF(Raw_Donors!S506="","",Raw_Donors!S506)</f>
        <v>1994-03-08</v>
      </c>
      <c r="U506" s="9" t="str">
        <f aca="false">IF(AND((O506+P506)&gt;0,Q506=0),"Lapsed - Follow Up","")</f>
        <v/>
      </c>
      <c r="V506" s="9" t="n">
        <f aca="false">RANK(R506,$R$2:$R$759)+COUNTIF($R$2:R506,R506)-1</f>
        <v>217</v>
      </c>
      <c r="W506" s="9" t="str">
        <f aca="false">IF(U506="Lapsed - Follow Up",COUNTIF($U$2:U506,"Lapsed - Follow Up"),"")</f>
        <v/>
      </c>
    </row>
    <row r="507" customFormat="false" ht="15" hidden="false" customHeight="true" outlineLevel="0" collapsed="false">
      <c r="A507" s="9" t="str">
        <f aca="false">Raw_Donors!A507</f>
        <v>D1505</v>
      </c>
      <c r="B507" s="9" t="str">
        <f aca="false">IF(ISNUMBER(SEARCH("-DUP",A507)),"Duplicate ID","")</f>
        <v/>
      </c>
      <c r="C507" s="9" t="n">
        <f aca="false">Raw_Donors!B507</f>
        <v>70661</v>
      </c>
      <c r="D507" s="9" t="n">
        <f aca="false">Raw_Donors!C507</f>
        <v>77</v>
      </c>
      <c r="E507" s="9" t="str">
        <f aca="false">IFERROR(IF(Raw_Donors!D507="","Unknown",Raw_Donors!D507),"Unknown")</f>
        <v>Unknown</v>
      </c>
      <c r="F507" s="9" t="str">
        <f aca="false">IFERROR(IF(Raw_Donors!E507="","Unknown",Raw_Donors!E507),"Unknown")</f>
        <v>Male</v>
      </c>
      <c r="G507" s="9" t="str">
        <f aca="false">PROPER(TRIM(Raw_Donors!F507))</f>
        <v>Individual Donor</v>
      </c>
      <c r="H507" s="9" t="str">
        <f aca="false">IFERROR(IF(Raw_Donors!G507="","N",Raw_Donors!G507),"N")</f>
        <v>N</v>
      </c>
      <c r="I507" s="9" t="str">
        <f aca="false">IF(Raw_Donors!H507="","Not Rated",Raw_Donors!H507)</f>
        <v>$25,000-$49,999</v>
      </c>
      <c r="J507" s="9" t="str">
        <f aca="false">IF(TRIM(Raw_Donors!I507)="","Unknown",TRIM(Raw_Donors!I507))</f>
        <v>HOME</v>
      </c>
      <c r="K507" s="9" t="str">
        <f aca="false">Raw_Donors!J507</f>
        <v>Y</v>
      </c>
      <c r="L507" s="9" t="n">
        <f aca="false">Raw_Donors!K507</f>
        <v>0</v>
      </c>
      <c r="M507" s="10" t="n">
        <f aca="false">IFERROR(VALUE(SUBSTITUTE(SUBSTITUTE(Raw_Donors!L507,"$",""),",","")),0)</f>
        <v>0</v>
      </c>
      <c r="N507" s="10" t="n">
        <f aca="false">IFERROR(VALUE(SUBSTITUTE(SUBSTITUTE(Raw_Donors!M507,"$",""),",","")),0)</f>
        <v>0</v>
      </c>
      <c r="O507" s="10" t="n">
        <f aca="false">IFERROR(VALUE(SUBSTITUTE(SUBSTITUTE(Raw_Donors!N507,"$",""),",","")),0)</f>
        <v>0</v>
      </c>
      <c r="P507" s="10" t="n">
        <f aca="false">IFERROR(VALUE(SUBSTITUTE(SUBSTITUTE(Raw_Donors!O507,"$",""),",","")),0)</f>
        <v>0</v>
      </c>
      <c r="Q507" s="10" t="n">
        <f aca="false">IFERROR(VALUE(SUBSTITUTE(SUBSTITUTE(Raw_Donors!P507,"$",""),",","")),0)</f>
        <v>0</v>
      </c>
      <c r="R507" s="10" t="n">
        <f aca="false">Raw_Donors!Q507</f>
        <v>100</v>
      </c>
      <c r="S507" s="9" t="str">
        <f aca="false">Raw_Donors!R507</f>
        <v>Y</v>
      </c>
      <c r="T507" s="9" t="str">
        <f aca="false">IF(Raw_Donors!S507="","",Raw_Donors!S507)</f>
        <v>1940-05-11</v>
      </c>
      <c r="U507" s="9" t="str">
        <f aca="false">IF(AND((O507+P507)&gt;0,Q507=0),"Lapsed - Follow Up","")</f>
        <v/>
      </c>
      <c r="V507" s="9" t="n">
        <f aca="false">RANK(R507,$R$2:$R$759)+COUNTIF($R$2:R507,R507)-1</f>
        <v>291</v>
      </c>
      <c r="W507" s="9" t="str">
        <f aca="false">IF(U507="Lapsed - Follow Up",COUNTIF($U$2:U507,"Lapsed - Follow Up"),"")</f>
        <v/>
      </c>
    </row>
    <row r="508" customFormat="false" ht="15" hidden="false" customHeight="true" outlineLevel="0" collapsed="false">
      <c r="A508" s="9" t="str">
        <f aca="false">Raw_Donors!A508</f>
        <v>D1506</v>
      </c>
      <c r="B508" s="9" t="str">
        <f aca="false">IF(ISNUMBER(SEARCH("-DUP",A508)),"Duplicate ID","")</f>
        <v/>
      </c>
      <c r="C508" s="9" t="n">
        <f aca="false">Raw_Donors!B508</f>
        <v>30536</v>
      </c>
      <c r="D508" s="9" t="n">
        <f aca="false">Raw_Donors!C508</f>
        <v>0</v>
      </c>
      <c r="E508" s="9" t="str">
        <f aca="false">IFERROR(IF(Raw_Donors!D508="","Unknown",Raw_Donors!D508),"Unknown")</f>
        <v>Unknown</v>
      </c>
      <c r="F508" s="9" t="str">
        <f aca="false">IFERROR(IF(Raw_Donors!E508="","Unknown",Raw_Donors!E508),"Unknown")</f>
        <v>Male</v>
      </c>
      <c r="G508" s="9" t="str">
        <f aca="false">PROPER(TRIM(Raw_Donors!F508))</f>
        <v>Individual Donor</v>
      </c>
      <c r="H508" s="9" t="str">
        <f aca="false">IFERROR(IF(Raw_Donors!G508="","N",Raw_Donors!G508),"N")</f>
        <v>N</v>
      </c>
      <c r="I508" s="9" t="str">
        <f aca="false">IF(Raw_Donors!H508="","Not Rated",Raw_Donors!H508)</f>
        <v>$25,000-$49,999</v>
      </c>
      <c r="J508" s="9" t="str">
        <f aca="false">IF(TRIM(Raw_Donors!I508)="","Unknown",TRIM(Raw_Donors!I508))</f>
        <v>HOME</v>
      </c>
      <c r="K508" s="9" t="str">
        <f aca="false">Raw_Donors!J508</f>
        <v>N</v>
      </c>
      <c r="L508" s="9" t="n">
        <f aca="false">Raw_Donors!K508</f>
        <v>3</v>
      </c>
      <c r="M508" s="10" t="n">
        <f aca="false">IFERROR(VALUE(SUBSTITUTE(SUBSTITUTE(Raw_Donors!L508,"$",""),",","")),0)</f>
        <v>0</v>
      </c>
      <c r="N508" s="10" t="n">
        <f aca="false">IFERROR(VALUE(SUBSTITUTE(SUBSTITUTE(Raw_Donors!M508,"$",""),",","")),0)</f>
        <v>0</v>
      </c>
      <c r="O508" s="10" t="n">
        <f aca="false">IFERROR(VALUE(SUBSTITUTE(SUBSTITUTE(Raw_Donors!N508,"$",""),",","")),0)</f>
        <v>10</v>
      </c>
      <c r="P508" s="10" t="n">
        <f aca="false">IFERROR(VALUE(SUBSTITUTE(SUBSTITUTE(Raw_Donors!O508,"$",""),",","")),0)</f>
        <v>0</v>
      </c>
      <c r="Q508" s="10" t="n">
        <f aca="false">IFERROR(VALUE(SUBSTITUTE(SUBSTITUTE(Raw_Donors!P508,"$",""),",","")),0)</f>
        <v>0</v>
      </c>
      <c r="R508" s="10" t="n">
        <f aca="false">Raw_Donors!Q508</f>
        <v>10</v>
      </c>
      <c r="S508" s="9" t="str">
        <f aca="false">Raw_Donors!R508</f>
        <v>Y</v>
      </c>
      <c r="T508" s="9" t="str">
        <f aca="false">IF(Raw_Donors!S508="","",Raw_Donors!S508)</f>
        <v/>
      </c>
      <c r="U508" s="9" t="str">
        <f aca="false">IF(AND((O508+P508)&gt;0,Q508=0),"Lapsed - Follow Up","")</f>
        <v>Lapsed - Follow Up</v>
      </c>
      <c r="V508" s="9" t="n">
        <f aca="false">RANK(R508,$R$2:$R$759)+COUNTIF($R$2:R508,R508)-1</f>
        <v>502</v>
      </c>
      <c r="W508" s="9" t="n">
        <f aca="false">IF(U508="Lapsed - Follow Up",COUNTIF($U$2:U508,"Lapsed - Follow Up"),"")</f>
        <v>68</v>
      </c>
    </row>
    <row r="509" customFormat="false" ht="15" hidden="false" customHeight="true" outlineLevel="0" collapsed="false">
      <c r="A509" s="9" t="str">
        <f aca="false">Raw_Donors!A509</f>
        <v>D1507</v>
      </c>
      <c r="B509" s="9" t="str">
        <f aca="false">IF(ISNUMBER(SEARCH("-DUP",A509)),"Duplicate ID","")</f>
        <v/>
      </c>
      <c r="C509" s="9" t="n">
        <f aca="false">Raw_Donors!B509</f>
        <v>90265</v>
      </c>
      <c r="D509" s="9" t="n">
        <f aca="false">Raw_Donors!C509</f>
        <v>53</v>
      </c>
      <c r="E509" s="9" t="str">
        <f aca="false">IFERROR(IF(Raw_Donors!D509="","Unknown",Raw_Donors!D509),"Unknown")</f>
        <v>Unknown</v>
      </c>
      <c r="F509" s="9" t="str">
        <f aca="false">IFERROR(IF(Raw_Donors!E509="","Unknown",Raw_Donors!E509),"Unknown")</f>
        <v>Female</v>
      </c>
      <c r="G509" s="9" t="str">
        <f aca="false">PROPER(TRIM(Raw_Donors!F509))</f>
        <v>Individual Donor</v>
      </c>
      <c r="H509" s="9" t="str">
        <f aca="false">IFERROR(IF(Raw_Donors!G509="","N",Raw_Donors!G509),"N")</f>
        <v>N</v>
      </c>
      <c r="I509" s="9" t="str">
        <f aca="false">IF(Raw_Donors!H509="","Not Rated",Raw_Donors!H509)</f>
        <v>Not Rated</v>
      </c>
      <c r="J509" s="9" t="str">
        <f aca="false">IF(TRIM(Raw_Donors!I509)="","Unknown",TRIM(Raw_Donors!I509))</f>
        <v>HOME</v>
      </c>
      <c r="K509" s="9" t="str">
        <f aca="false">Raw_Donors!J509</f>
        <v>Y</v>
      </c>
      <c r="L509" s="9" t="n">
        <f aca="false">Raw_Donors!K509</f>
        <v>0</v>
      </c>
      <c r="M509" s="10" t="n">
        <f aca="false">IFERROR(VALUE(SUBSTITUTE(SUBSTITUTE(Raw_Donors!L509,"$",""),",","")),0)</f>
        <v>0</v>
      </c>
      <c r="N509" s="10" t="n">
        <f aca="false">IFERROR(VALUE(SUBSTITUTE(SUBSTITUTE(Raw_Donors!M509,"$",""),",","")),0)</f>
        <v>0</v>
      </c>
      <c r="O509" s="10" t="n">
        <f aca="false">IFERROR(VALUE(SUBSTITUTE(SUBSTITUTE(Raw_Donors!N509,"$",""),",","")),0)</f>
        <v>0</v>
      </c>
      <c r="P509" s="10" t="n">
        <f aca="false">IFERROR(VALUE(SUBSTITUTE(SUBSTITUTE(Raw_Donors!O509,"$",""),",","")),0)</f>
        <v>240</v>
      </c>
      <c r="Q509" s="10" t="n">
        <f aca="false">IFERROR(VALUE(SUBSTITUTE(SUBSTITUTE(Raw_Donors!P509,"$",""),",","")),0)</f>
        <v>0</v>
      </c>
      <c r="R509" s="10" t="n">
        <f aca="false">Raw_Donors!Q509</f>
        <v>240</v>
      </c>
      <c r="S509" s="9" t="str">
        <f aca="false">Raw_Donors!R509</f>
        <v>Y</v>
      </c>
      <c r="T509" s="9" t="str">
        <f aca="false">IF(Raw_Donors!S509="","",Raw_Donors!S509)</f>
        <v>1964-06-19</v>
      </c>
      <c r="U509" s="9" t="str">
        <f aca="false">IF(AND((O509+P509)&gt;0,Q509=0),"Lapsed - Follow Up","")</f>
        <v>Lapsed - Follow Up</v>
      </c>
      <c r="V509" s="9" t="n">
        <f aca="false">RANK(R509,$R$2:$R$759)+COUNTIF($R$2:R509,R509)-1</f>
        <v>177</v>
      </c>
      <c r="W509" s="9" t="n">
        <f aca="false">IF(U509="Lapsed - Follow Up",COUNTIF($U$2:U509,"Lapsed - Follow Up"),"")</f>
        <v>69</v>
      </c>
    </row>
    <row r="510" customFormat="false" ht="15" hidden="false" customHeight="true" outlineLevel="0" collapsed="false">
      <c r="A510" s="9" t="str">
        <f aca="false">Raw_Donors!A510</f>
        <v>D1508</v>
      </c>
      <c r="B510" s="9" t="str">
        <f aca="false">IF(ISNUMBER(SEARCH("-DUP",A510)),"Duplicate ID","")</f>
        <v/>
      </c>
      <c r="C510" s="9" t="n">
        <f aca="false">Raw_Donors!B510</f>
        <v>13761</v>
      </c>
      <c r="D510" s="9" t="n">
        <f aca="false">Raw_Donors!C510</f>
        <v>53</v>
      </c>
      <c r="E510" s="9" t="str">
        <f aca="false">IFERROR(IF(Raw_Donors!D510="","Unknown",Raw_Donors!D510),"Unknown")</f>
        <v>Unknown</v>
      </c>
      <c r="F510" s="9" t="str">
        <f aca="false">IFERROR(IF(Raw_Donors!E510="","Unknown",Raw_Donors!E510),"Unknown")</f>
        <v>Female</v>
      </c>
      <c r="G510" s="9" t="str">
        <f aca="false">PROPER(TRIM(Raw_Donors!F510))</f>
        <v>Community Partner</v>
      </c>
      <c r="H510" s="9" t="str">
        <f aca="false">IFERROR(IF(Raw_Donors!G510="","N",Raw_Donors!G510),"N")</f>
        <v>N</v>
      </c>
      <c r="I510" s="9" t="str">
        <f aca="false">IF(Raw_Donors!H510="","Not Rated",Raw_Donors!H510)</f>
        <v>Not Rated</v>
      </c>
      <c r="J510" s="9" t="str">
        <f aca="false">IF(TRIM(Raw_Donors!I510)="","Unknown",TRIM(Raw_Donors!I510))</f>
        <v>HOME</v>
      </c>
      <c r="K510" s="9" t="str">
        <f aca="false">Raw_Donors!J510</f>
        <v>N</v>
      </c>
      <c r="L510" s="9" t="n">
        <f aca="false">Raw_Donors!K510</f>
        <v>0</v>
      </c>
      <c r="M510" s="10" t="n">
        <f aca="false">IFERROR(VALUE(SUBSTITUTE(SUBSTITUTE(Raw_Donors!L510,"$",""),",","")),0)</f>
        <v>0</v>
      </c>
      <c r="N510" s="10" t="n">
        <f aca="false">IFERROR(VALUE(SUBSTITUTE(SUBSTITUTE(Raw_Donors!M510,"$",""),",","")),0)</f>
        <v>0</v>
      </c>
      <c r="O510" s="10" t="n">
        <f aca="false">IFERROR(VALUE(SUBSTITUTE(SUBSTITUTE(Raw_Donors!N510,"$",""),",","")),0)</f>
        <v>0</v>
      </c>
      <c r="P510" s="10" t="n">
        <f aca="false">IFERROR(VALUE(SUBSTITUTE(SUBSTITUTE(Raw_Donors!O510,"$",""),",","")),0)</f>
        <v>0</v>
      </c>
      <c r="Q510" s="10" t="n">
        <f aca="false">IFERROR(VALUE(SUBSTITUTE(SUBSTITUTE(Raw_Donors!P510,"$",""),",","")),0)</f>
        <v>0</v>
      </c>
      <c r="R510" s="10" t="n">
        <f aca="false">Raw_Donors!Q510</f>
        <v>0</v>
      </c>
      <c r="S510" s="9" t="str">
        <f aca="false">Raw_Donors!R510</f>
        <v>N</v>
      </c>
      <c r="T510" s="9" t="str">
        <f aca="false">IF(Raw_Donors!S510="","",Raw_Donors!S510)</f>
        <v>1964-09-08</v>
      </c>
      <c r="U510" s="9" t="str">
        <f aca="false">IF(AND((O510+P510)&gt;0,Q510=0),"Lapsed - Follow Up","")</f>
        <v/>
      </c>
      <c r="V510" s="9" t="n">
        <f aca="false">RANK(R510,$R$2:$R$759)+COUNTIF($R$2:R510,R510)-1</f>
        <v>692</v>
      </c>
      <c r="W510" s="9" t="str">
        <f aca="false">IF(U510="Lapsed - Follow Up",COUNTIF($U$2:U510,"Lapsed - Follow Up"),"")</f>
        <v/>
      </c>
    </row>
    <row r="511" customFormat="false" ht="15" hidden="false" customHeight="true" outlineLevel="0" collapsed="false">
      <c r="A511" s="9" t="str">
        <f aca="false">Raw_Donors!A511</f>
        <v>D1509</v>
      </c>
      <c r="B511" s="9" t="str">
        <f aca="false">IF(ISNUMBER(SEARCH("-DUP",A511)),"Duplicate ID","")</f>
        <v/>
      </c>
      <c r="C511" s="9" t="n">
        <f aca="false">Raw_Donors!B511</f>
        <v>15663</v>
      </c>
      <c r="D511" s="9" t="n">
        <f aca="false">Raw_Donors!C511</f>
        <v>0</v>
      </c>
      <c r="E511" s="9" t="str">
        <f aca="false">IFERROR(IF(Raw_Donors!D511="","Unknown",Raw_Donors!D511),"Unknown")</f>
        <v>Unknown</v>
      </c>
      <c r="F511" s="9" t="str">
        <f aca="false">IFERROR(IF(Raw_Donors!E511="","Unknown",Raw_Donors!E511),"Unknown")</f>
        <v>Female</v>
      </c>
      <c r="G511" s="9" t="str">
        <f aca="false">PROPER(TRIM(Raw_Donors!F511))</f>
        <v>Individual Donor</v>
      </c>
      <c r="H511" s="9" t="str">
        <f aca="false">IFERROR(IF(Raw_Donors!G511="","N",Raw_Donors!G511),"N")</f>
        <v>N</v>
      </c>
      <c r="I511" s="9" t="str">
        <f aca="false">IF(Raw_Donors!H511="","Not Rated",Raw_Donors!H511)</f>
        <v>Not Rated</v>
      </c>
      <c r="J511" s="9" t="str">
        <f aca="false">IF(TRIM(Raw_Donors!I511)="","Unknown",TRIM(Raw_Donors!I511))</f>
        <v>HOME</v>
      </c>
      <c r="K511" s="9" t="str">
        <f aca="false">Raw_Donors!J511</f>
        <v>N</v>
      </c>
      <c r="L511" s="9" t="n">
        <f aca="false">Raw_Donors!K511</f>
        <v>1</v>
      </c>
      <c r="M511" s="10" t="n">
        <f aca="false">IFERROR(VALUE(SUBSTITUTE(SUBSTITUTE(Raw_Donors!L511,"$",""),",","")),0)</f>
        <v>0</v>
      </c>
      <c r="N511" s="10" t="n">
        <f aca="false">IFERROR(VALUE(SUBSTITUTE(SUBSTITUTE(Raw_Donors!M511,"$",""),",","")),0)</f>
        <v>0</v>
      </c>
      <c r="O511" s="10" t="n">
        <f aca="false">IFERROR(VALUE(SUBSTITUTE(SUBSTITUTE(Raw_Donors!N511,"$",""),",","")),0)</f>
        <v>0</v>
      </c>
      <c r="P511" s="10" t="n">
        <f aca="false">IFERROR(VALUE(SUBSTITUTE(SUBSTITUTE(Raw_Donors!O511,"$",""),",","")),0)</f>
        <v>0</v>
      </c>
      <c r="Q511" s="10" t="n">
        <f aca="false">IFERROR(VALUE(SUBSTITUTE(SUBSTITUTE(Raw_Donors!P511,"$",""),",","")),0)</f>
        <v>0</v>
      </c>
      <c r="R511" s="10" t="n">
        <f aca="false">Raw_Donors!Q511</f>
        <v>1515</v>
      </c>
      <c r="S511" s="9" t="str">
        <f aca="false">Raw_Donors!R511</f>
        <v>Y</v>
      </c>
      <c r="T511" s="9" t="str">
        <f aca="false">IF(Raw_Donors!S511="","",Raw_Donors!S511)</f>
        <v/>
      </c>
      <c r="U511" s="9" t="str">
        <f aca="false">IF(AND((O511+P511)&gt;0,Q511=0),"Lapsed - Follow Up","")</f>
        <v/>
      </c>
      <c r="V511" s="9" t="n">
        <f aca="false">RANK(R511,$R$2:$R$759)+COUNTIF($R$2:R511,R511)-1</f>
        <v>40</v>
      </c>
      <c r="W511" s="9" t="str">
        <f aca="false">IF(U511="Lapsed - Follow Up",COUNTIF($U$2:U511,"Lapsed - Follow Up"),"")</f>
        <v/>
      </c>
    </row>
    <row r="512" customFormat="false" ht="15" hidden="false" customHeight="true" outlineLevel="0" collapsed="false">
      <c r="A512" s="9" t="str">
        <f aca="false">Raw_Donors!A512</f>
        <v>D1510</v>
      </c>
      <c r="B512" s="9" t="str">
        <f aca="false">IF(ISNUMBER(SEARCH("-DUP",A512)),"Duplicate ID","")</f>
        <v/>
      </c>
      <c r="C512" s="9" t="n">
        <f aca="false">Raw_Donors!B512</f>
        <v>99620</v>
      </c>
      <c r="D512" s="9" t="n">
        <f aca="false">Raw_Donors!C512</f>
        <v>0</v>
      </c>
      <c r="E512" s="9" t="str">
        <f aca="false">IFERROR(IF(Raw_Donors!D512="","Unknown",Raw_Donors!D512),"Unknown")</f>
        <v>Unknown</v>
      </c>
      <c r="F512" s="9" t="str">
        <f aca="false">IFERROR(IF(Raw_Donors!E512="","Unknown",Raw_Donors!E512),"Unknown")</f>
        <v>Male</v>
      </c>
      <c r="G512" s="9" t="str">
        <f aca="false">PROPER(TRIM(Raw_Donors!F512))</f>
        <v>Individual Donor</v>
      </c>
      <c r="H512" s="9" t="str">
        <f aca="false">IFERROR(IF(Raw_Donors!G512="","N",Raw_Donors!G512),"N")</f>
        <v>N</v>
      </c>
      <c r="I512" s="9" t="str">
        <f aca="false">IF(Raw_Donors!H512="","Not Rated",Raw_Donors!H512)</f>
        <v>Not Rated</v>
      </c>
      <c r="J512" s="9" t="str">
        <f aca="false">IF(TRIM(Raw_Donors!I512)="","Unknown",TRIM(Raw_Donors!I512))</f>
        <v>HOME</v>
      </c>
      <c r="K512" s="9" t="str">
        <f aca="false">Raw_Donors!J512</f>
        <v>N</v>
      </c>
      <c r="L512" s="9" t="n">
        <f aca="false">Raw_Donors!K512</f>
        <v>1</v>
      </c>
      <c r="M512" s="10" t="n">
        <f aca="false">IFERROR(VALUE(SUBSTITUTE(SUBSTITUTE(Raw_Donors!L512,"$",""),",","")),0)</f>
        <v>0</v>
      </c>
      <c r="N512" s="10" t="n">
        <f aca="false">IFERROR(VALUE(SUBSTITUTE(SUBSTITUTE(Raw_Donors!M512,"$",""),",","")),0)</f>
        <v>0</v>
      </c>
      <c r="O512" s="10" t="n">
        <f aca="false">IFERROR(VALUE(SUBSTITUTE(SUBSTITUTE(Raw_Donors!N512,"$",""),",","")),0)</f>
        <v>0</v>
      </c>
      <c r="P512" s="10" t="n">
        <f aca="false">IFERROR(VALUE(SUBSTITUTE(SUBSTITUTE(Raw_Donors!O512,"$",""),",","")),0)</f>
        <v>18</v>
      </c>
      <c r="Q512" s="10" t="n">
        <f aca="false">IFERROR(VALUE(SUBSTITUTE(SUBSTITUTE(Raw_Donors!P512,"$",""),",","")),0)</f>
        <v>0</v>
      </c>
      <c r="R512" s="10" t="n">
        <f aca="false">Raw_Donors!Q512</f>
        <v>18</v>
      </c>
      <c r="S512" s="9" t="str">
        <f aca="false">Raw_Donors!R512</f>
        <v>Y</v>
      </c>
      <c r="T512" s="9" t="str">
        <f aca="false">IF(Raw_Donors!S512="","",Raw_Donors!S512)</f>
        <v/>
      </c>
      <c r="U512" s="9" t="str">
        <f aca="false">IF(AND((O512+P512)&gt;0,Q512=0),"Lapsed - Follow Up","")</f>
        <v>Lapsed - Follow Up</v>
      </c>
      <c r="V512" s="9" t="n">
        <f aca="false">RANK(R512,$R$2:$R$759)+COUNTIF($R$2:R512,R512)-1</f>
        <v>477</v>
      </c>
      <c r="W512" s="9" t="n">
        <f aca="false">IF(U512="Lapsed - Follow Up",COUNTIF($U$2:U512,"Lapsed - Follow Up"),"")</f>
        <v>70</v>
      </c>
    </row>
    <row r="513" customFormat="false" ht="15" hidden="false" customHeight="true" outlineLevel="0" collapsed="false">
      <c r="A513" s="9" t="str">
        <f aca="false">Raw_Donors!A513</f>
        <v>D1511</v>
      </c>
      <c r="B513" s="9" t="str">
        <f aca="false">IF(ISNUMBER(SEARCH("-DUP",A513)),"Duplicate ID","")</f>
        <v/>
      </c>
      <c r="C513" s="9" t="n">
        <f aca="false">Raw_Donors!B513</f>
        <v>95857</v>
      </c>
      <c r="D513" s="9" t="n">
        <f aca="false">Raw_Donors!C513</f>
        <v>28</v>
      </c>
      <c r="E513" s="9" t="str">
        <f aca="false">IFERROR(IF(Raw_Donors!D513="","Unknown",Raw_Donors!D513),"Unknown")</f>
        <v>Unknown</v>
      </c>
      <c r="F513" s="9" t="str">
        <f aca="false">IFERROR(IF(Raw_Donors!E513="","Unknown",Raw_Donors!E513),"Unknown")</f>
        <v>Female</v>
      </c>
      <c r="G513" s="9" t="str">
        <f aca="false">PROPER(TRIM(Raw_Donors!F513))</f>
        <v>Individual Donor</v>
      </c>
      <c r="H513" s="9" t="str">
        <f aca="false">IFERROR(IF(Raw_Donors!G513="","N",Raw_Donors!G513),"N")</f>
        <v>N</v>
      </c>
      <c r="I513" s="9" t="str">
        <f aca="false">IF(Raw_Donors!H513="","Not Rated",Raw_Donors!H513)</f>
        <v>Not Rated</v>
      </c>
      <c r="J513" s="9" t="str">
        <f aca="false">IF(TRIM(Raw_Donors!I513)="","Unknown",TRIM(Raw_Donors!I513))</f>
        <v>HOME</v>
      </c>
      <c r="K513" s="9" t="str">
        <f aca="false">Raw_Donors!J513</f>
        <v>N</v>
      </c>
      <c r="L513" s="9" t="n">
        <f aca="false">Raw_Donors!K513</f>
        <v>0</v>
      </c>
      <c r="M513" s="10" t="n">
        <f aca="false">IFERROR(VALUE(SUBSTITUTE(SUBSTITUTE(Raw_Donors!L513,"$",""),",","")),0)</f>
        <v>0</v>
      </c>
      <c r="N513" s="10" t="n">
        <f aca="false">IFERROR(VALUE(SUBSTITUTE(SUBSTITUTE(Raw_Donors!M513,"$",""),",","")),0)</f>
        <v>0</v>
      </c>
      <c r="O513" s="10" t="n">
        <f aca="false">IFERROR(VALUE(SUBSTITUTE(SUBSTITUTE(Raw_Donors!N513,"$",""),",","")),0)</f>
        <v>0</v>
      </c>
      <c r="P513" s="10" t="n">
        <f aca="false">IFERROR(VALUE(SUBSTITUTE(SUBSTITUTE(Raw_Donors!O513,"$",""),",","")),0)</f>
        <v>0</v>
      </c>
      <c r="Q513" s="10" t="n">
        <f aca="false">IFERROR(VALUE(SUBSTITUTE(SUBSTITUTE(Raw_Donors!P513,"$",""),",","")),0)</f>
        <v>0</v>
      </c>
      <c r="R513" s="10" t="n">
        <f aca="false">Raw_Donors!Q513</f>
        <v>15</v>
      </c>
      <c r="S513" s="9" t="str">
        <f aca="false">Raw_Donors!R513</f>
        <v>Y</v>
      </c>
      <c r="T513" s="9" t="str">
        <f aca="false">IF(Raw_Donors!S513="","",Raw_Donors!S513)</f>
        <v>1989-09-20</v>
      </c>
      <c r="U513" s="9" t="str">
        <f aca="false">IF(AND((O513+P513)&gt;0,Q513=0),"Lapsed - Follow Up","")</f>
        <v/>
      </c>
      <c r="V513" s="9" t="n">
        <f aca="false">RANK(R513,$R$2:$R$759)+COUNTIF($R$2:R513,R513)-1</f>
        <v>487</v>
      </c>
      <c r="W513" s="9" t="str">
        <f aca="false">IF(U513="Lapsed - Follow Up",COUNTIF($U$2:U513,"Lapsed - Follow Up"),"")</f>
        <v/>
      </c>
    </row>
    <row r="514" customFormat="false" ht="15" hidden="false" customHeight="true" outlineLevel="0" collapsed="false">
      <c r="A514" s="9" t="str">
        <f aca="false">Raw_Donors!A514</f>
        <v>D1512</v>
      </c>
      <c r="B514" s="9" t="str">
        <f aca="false">IF(ISNUMBER(SEARCH("-DUP",A514)),"Duplicate ID","")</f>
        <v/>
      </c>
      <c r="C514" s="9" t="n">
        <f aca="false">Raw_Donors!B514</f>
        <v>47263</v>
      </c>
      <c r="D514" s="9" t="n">
        <f aca="false">Raw_Donors!C514</f>
        <v>0</v>
      </c>
      <c r="E514" s="9" t="str">
        <f aca="false">IFERROR(IF(Raw_Donors!D514="","Unknown",Raw_Donors!D514),"Unknown")</f>
        <v>Unknown</v>
      </c>
      <c r="F514" s="9" t="str">
        <f aca="false">IFERROR(IF(Raw_Donors!E514="","Unknown",Raw_Donors!E514),"Unknown")</f>
        <v>Female</v>
      </c>
      <c r="G514" s="9" t="str">
        <f aca="false">PROPER(TRIM(Raw_Donors!F514))</f>
        <v>Individual Donor</v>
      </c>
      <c r="H514" s="9" t="str">
        <f aca="false">IFERROR(IF(Raw_Donors!G514="","N",Raw_Donors!G514),"N")</f>
        <v>N</v>
      </c>
      <c r="I514" s="9" t="str">
        <f aca="false">IF(Raw_Donors!H514="","Not Rated",Raw_Donors!H514)</f>
        <v>Not Rated</v>
      </c>
      <c r="J514" s="9" t="str">
        <f aca="false">IF(TRIM(Raw_Donors!I514)="","Unknown",TRIM(Raw_Donors!I514))</f>
        <v>HOME</v>
      </c>
      <c r="K514" s="9" t="str">
        <f aca="false">Raw_Donors!J514</f>
        <v>N</v>
      </c>
      <c r="L514" s="9" t="n">
        <f aca="false">Raw_Donors!K514</f>
        <v>1</v>
      </c>
      <c r="M514" s="10" t="n">
        <f aca="false">IFERROR(VALUE(SUBSTITUTE(SUBSTITUTE(Raw_Donors!L514,"$",""),",","")),0)</f>
        <v>0</v>
      </c>
      <c r="N514" s="10" t="n">
        <f aca="false">IFERROR(VALUE(SUBSTITUTE(SUBSTITUTE(Raw_Donors!M514,"$",""),",","")),0)</f>
        <v>0</v>
      </c>
      <c r="O514" s="10" t="n">
        <f aca="false">IFERROR(VALUE(SUBSTITUTE(SUBSTITUTE(Raw_Donors!N514,"$",""),",","")),0)</f>
        <v>0</v>
      </c>
      <c r="P514" s="10" t="n">
        <f aca="false">IFERROR(VALUE(SUBSTITUTE(SUBSTITUTE(Raw_Donors!O514,"$",""),",","")),0)</f>
        <v>0</v>
      </c>
      <c r="Q514" s="10" t="n">
        <f aca="false">IFERROR(VALUE(SUBSTITUTE(SUBSTITUTE(Raw_Donors!P514,"$",""),",","")),0)</f>
        <v>0</v>
      </c>
      <c r="R514" s="10" t="n">
        <f aca="false">Raw_Donors!Q514</f>
        <v>0</v>
      </c>
      <c r="S514" s="9" t="str">
        <f aca="false">Raw_Donors!R514</f>
        <v>N</v>
      </c>
      <c r="T514" s="9" t="str">
        <f aca="false">IF(Raw_Donors!S514="","",Raw_Donors!S514)</f>
        <v/>
      </c>
      <c r="U514" s="9" t="str">
        <f aca="false">IF(AND((O514+P514)&gt;0,Q514=0),"Lapsed - Follow Up","")</f>
        <v/>
      </c>
      <c r="V514" s="9" t="n">
        <f aca="false">RANK(R514,$R$2:$R$759)+COUNTIF($R$2:R514,R514)-1</f>
        <v>693</v>
      </c>
      <c r="W514" s="9" t="str">
        <f aca="false">IF(U514="Lapsed - Follow Up",COUNTIF($U$2:U514,"Lapsed - Follow Up"),"")</f>
        <v/>
      </c>
    </row>
    <row r="515" customFormat="false" ht="15" hidden="false" customHeight="true" outlineLevel="0" collapsed="false">
      <c r="A515" s="9" t="str">
        <f aca="false">Raw_Donors!A515</f>
        <v>D1513</v>
      </c>
      <c r="B515" s="9" t="str">
        <f aca="false">IF(ISNUMBER(SEARCH("-DUP",A515)),"Duplicate ID","")</f>
        <v/>
      </c>
      <c r="C515" s="9" t="n">
        <f aca="false">Raw_Donors!B515</f>
        <v>3064</v>
      </c>
      <c r="D515" s="9" t="n">
        <f aca="false">Raw_Donors!C515</f>
        <v>0</v>
      </c>
      <c r="E515" s="9" t="str">
        <f aca="false">IFERROR(IF(Raw_Donors!D515="","Unknown",Raw_Donors!D515),"Unknown")</f>
        <v>Unknown</v>
      </c>
      <c r="F515" s="9" t="str">
        <f aca="false">IFERROR(IF(Raw_Donors!E515="","Unknown",Raw_Donors!E515),"Unknown")</f>
        <v>Male</v>
      </c>
      <c r="G515" s="9" t="str">
        <f aca="false">PROPER(TRIM(Raw_Donors!F515))</f>
        <v>Individual Donor</v>
      </c>
      <c r="H515" s="9" t="str">
        <f aca="false">IFERROR(IF(Raw_Donors!G515="","N",Raw_Donors!G515),"N")</f>
        <v>N</v>
      </c>
      <c r="I515" s="9" t="str">
        <f aca="false">IF(Raw_Donors!H515="","Not Rated",Raw_Donors!H515)</f>
        <v>Not Rated</v>
      </c>
      <c r="J515" s="9" t="str">
        <f aca="false">IF(TRIM(Raw_Donors!I515)="","Unknown",TRIM(Raw_Donors!I515))</f>
        <v>HOME</v>
      </c>
      <c r="K515" s="9" t="str">
        <f aca="false">Raw_Donors!J515</f>
        <v>Y</v>
      </c>
      <c r="L515" s="9" t="n">
        <f aca="false">Raw_Donors!K515</f>
        <v>1</v>
      </c>
      <c r="M515" s="10" t="n">
        <f aca="false">IFERROR(VALUE(SUBSTITUTE(SUBSTITUTE(Raw_Donors!L515,"$",""),",","")),0)</f>
        <v>0</v>
      </c>
      <c r="N515" s="10" t="n">
        <f aca="false">IFERROR(VALUE(SUBSTITUTE(SUBSTITUTE(Raw_Donors!M515,"$",""),",","")),0)</f>
        <v>0</v>
      </c>
      <c r="O515" s="10" t="n">
        <f aca="false">IFERROR(VALUE(SUBSTITUTE(SUBSTITUTE(Raw_Donors!N515,"$",""),",","")),0)</f>
        <v>25</v>
      </c>
      <c r="P515" s="10" t="n">
        <f aca="false">IFERROR(VALUE(SUBSTITUTE(SUBSTITUTE(Raw_Donors!O515,"$",""),",","")),0)</f>
        <v>0</v>
      </c>
      <c r="Q515" s="10" t="n">
        <f aca="false">IFERROR(VALUE(SUBSTITUTE(SUBSTITUTE(Raw_Donors!P515,"$",""),",","")),0)</f>
        <v>0</v>
      </c>
      <c r="R515" s="10" t="n">
        <f aca="false">Raw_Donors!Q515</f>
        <v>25</v>
      </c>
      <c r="S515" s="9" t="str">
        <f aca="false">Raw_Donors!R515</f>
        <v>Y</v>
      </c>
      <c r="T515" s="9" t="str">
        <f aca="false">IF(Raw_Donors!S515="","",Raw_Donors!S515)</f>
        <v/>
      </c>
      <c r="U515" s="9" t="str">
        <f aca="false">IF(AND((O515+P515)&gt;0,Q515=0),"Lapsed - Follow Up","")</f>
        <v>Lapsed - Follow Up</v>
      </c>
      <c r="V515" s="9" t="n">
        <f aca="false">RANK(R515,$R$2:$R$759)+COUNTIF($R$2:R515,R515)-1</f>
        <v>452</v>
      </c>
      <c r="W515" s="9" t="n">
        <f aca="false">IF(U515="Lapsed - Follow Up",COUNTIF($U$2:U515,"Lapsed - Follow Up"),"")</f>
        <v>71</v>
      </c>
    </row>
    <row r="516" customFormat="false" ht="15" hidden="false" customHeight="true" outlineLevel="0" collapsed="false">
      <c r="A516" s="9" t="str">
        <f aca="false">Raw_Donors!A516</f>
        <v>D1514</v>
      </c>
      <c r="B516" s="9" t="str">
        <f aca="false">IF(ISNUMBER(SEARCH("-DUP",A516)),"Duplicate ID","")</f>
        <v/>
      </c>
      <c r="C516" s="9" t="n">
        <f aca="false">Raw_Donors!B516</f>
        <v>33730</v>
      </c>
      <c r="D516" s="9" t="n">
        <f aca="false">Raw_Donors!C516</f>
        <v>44</v>
      </c>
      <c r="E516" s="9" t="str">
        <f aca="false">IFERROR(IF(Raw_Donors!D516="","Unknown",Raw_Donors!D516),"Unknown")</f>
        <v>Unknown</v>
      </c>
      <c r="F516" s="9" t="str">
        <f aca="false">IFERROR(IF(Raw_Donors!E516="","Unknown",Raw_Donors!E516),"Unknown")</f>
        <v>Female</v>
      </c>
      <c r="G516" s="9" t="str">
        <f aca="false">PROPER(TRIM(Raw_Donors!F516))</f>
        <v>Individual Donor</v>
      </c>
      <c r="H516" s="9" t="str">
        <f aca="false">IFERROR(IF(Raw_Donors!G516="","N",Raw_Donors!G516),"N")</f>
        <v>N</v>
      </c>
      <c r="I516" s="9" t="str">
        <f aca="false">IF(Raw_Donors!H516="","Not Rated",Raw_Donors!H516)</f>
        <v>Not Rated</v>
      </c>
      <c r="J516" s="9" t="str">
        <f aca="false">IF(TRIM(Raw_Donors!I516)="","Unknown",TRIM(Raw_Donors!I516))</f>
        <v>HOME</v>
      </c>
      <c r="K516" s="9" t="str">
        <f aca="false">Raw_Donors!J516</f>
        <v>N</v>
      </c>
      <c r="L516" s="9" t="n">
        <f aca="false">Raw_Donors!K516</f>
        <v>0</v>
      </c>
      <c r="M516" s="10" t="n">
        <f aca="false">IFERROR(VALUE(SUBSTITUTE(SUBSTITUTE(Raw_Donors!L516,"$",""),",","")),0)</f>
        <v>0</v>
      </c>
      <c r="N516" s="10" t="n">
        <f aca="false">IFERROR(VALUE(SUBSTITUTE(SUBSTITUTE(Raw_Donors!M516,"$",""),",","")),0)</f>
        <v>0</v>
      </c>
      <c r="O516" s="10" t="n">
        <f aca="false">IFERROR(VALUE(SUBSTITUTE(SUBSTITUTE(Raw_Donors!N516,"$",""),",","")),0)</f>
        <v>0</v>
      </c>
      <c r="P516" s="10" t="n">
        <f aca="false">IFERROR(VALUE(SUBSTITUTE(SUBSTITUTE(Raw_Donors!O516,"$",""),",","")),0)</f>
        <v>0</v>
      </c>
      <c r="Q516" s="10" t="n">
        <f aca="false">IFERROR(VALUE(SUBSTITUTE(SUBSTITUTE(Raw_Donors!P516,"$",""),",","")),0)</f>
        <v>0</v>
      </c>
      <c r="R516" s="10" t="n">
        <f aca="false">Raw_Donors!Q516</f>
        <v>25</v>
      </c>
      <c r="S516" s="9" t="str">
        <f aca="false">Raw_Donors!R516</f>
        <v>Y</v>
      </c>
      <c r="T516" s="9" t="str">
        <f aca="false">IF(Raw_Donors!S516="","",Raw_Donors!S516)</f>
        <v>1973-05-22</v>
      </c>
      <c r="U516" s="9" t="str">
        <f aca="false">IF(AND((O516+P516)&gt;0,Q516=0),"Lapsed - Follow Up","")</f>
        <v/>
      </c>
      <c r="V516" s="9" t="n">
        <f aca="false">RANK(R516,$R$2:$R$759)+COUNTIF($R$2:R516,R516)-1</f>
        <v>453</v>
      </c>
      <c r="W516" s="9" t="str">
        <f aca="false">IF(U516="Lapsed - Follow Up",COUNTIF($U$2:U516,"Lapsed - Follow Up"),"")</f>
        <v/>
      </c>
    </row>
    <row r="517" customFormat="false" ht="15" hidden="false" customHeight="true" outlineLevel="0" collapsed="false">
      <c r="A517" s="9" t="str">
        <f aca="false">Raw_Donors!A517</f>
        <v>D1515</v>
      </c>
      <c r="B517" s="9" t="str">
        <f aca="false">IF(ISNUMBER(SEARCH("-DUP",A517)),"Duplicate ID","")</f>
        <v/>
      </c>
      <c r="C517" s="9" t="n">
        <f aca="false">Raw_Donors!B517</f>
        <v>90265</v>
      </c>
      <c r="D517" s="9" t="n">
        <f aca="false">Raw_Donors!C517</f>
        <v>0</v>
      </c>
      <c r="E517" s="9" t="str">
        <f aca="false">IFERROR(IF(Raw_Donors!D517="","Unknown",Raw_Donors!D517),"Unknown")</f>
        <v>Married</v>
      </c>
      <c r="F517" s="9" t="str">
        <f aca="false">IFERROR(IF(Raw_Donors!E517="","Unknown",Raw_Donors!E517),"Unknown")</f>
        <v>Male</v>
      </c>
      <c r="G517" s="9" t="str">
        <f aca="false">PROPER(TRIM(Raw_Donors!F517))</f>
        <v>Individual Donor</v>
      </c>
      <c r="H517" s="9" t="str">
        <f aca="false">IFERROR(IF(Raw_Donors!G517="","N",Raw_Donors!G517),"N")</f>
        <v>N</v>
      </c>
      <c r="I517" s="9" t="str">
        <f aca="false">IF(Raw_Donors!H517="","Not Rated",Raw_Donors!H517)</f>
        <v>Not Rated</v>
      </c>
      <c r="J517" s="9" t="str">
        <f aca="false">IF(TRIM(Raw_Donors!I517)="","Unknown",TRIM(Raw_Donors!I517))</f>
        <v>BUSN</v>
      </c>
      <c r="K517" s="9" t="str">
        <f aca="false">Raw_Donors!J517</f>
        <v>N</v>
      </c>
      <c r="L517" s="9" t="n">
        <f aca="false">Raw_Donors!K517</f>
        <v>1</v>
      </c>
      <c r="M517" s="10" t="n">
        <f aca="false">IFERROR(VALUE(SUBSTITUTE(SUBSTITUTE(Raw_Donors!L517,"$",""),",","")),0)</f>
        <v>0</v>
      </c>
      <c r="N517" s="10" t="n">
        <f aca="false">IFERROR(VALUE(SUBSTITUTE(SUBSTITUTE(Raw_Donors!M517,"$",""),",","")),0)</f>
        <v>40</v>
      </c>
      <c r="O517" s="10" t="n">
        <f aca="false">IFERROR(VALUE(SUBSTITUTE(SUBSTITUTE(Raw_Donors!N517,"$",""),",","")),0)</f>
        <v>0</v>
      </c>
      <c r="P517" s="10" t="n">
        <f aca="false">IFERROR(VALUE(SUBSTITUTE(SUBSTITUTE(Raw_Donors!O517,"$",""),",","")),0)</f>
        <v>0</v>
      </c>
      <c r="Q517" s="10" t="n">
        <f aca="false">IFERROR(VALUE(SUBSTITUTE(SUBSTITUTE(Raw_Donors!P517,"$",""),",","")),0)</f>
        <v>0</v>
      </c>
      <c r="R517" s="10" t="n">
        <f aca="false">Raw_Donors!Q517</f>
        <v>40</v>
      </c>
      <c r="S517" s="9" t="str">
        <f aca="false">Raw_Donors!R517</f>
        <v>Y</v>
      </c>
      <c r="T517" s="9" t="str">
        <f aca="false">IF(Raw_Donors!S517="","",Raw_Donors!S517)</f>
        <v/>
      </c>
      <c r="U517" s="9" t="str">
        <f aca="false">IF(AND((O517+P517)&gt;0,Q517=0),"Lapsed - Follow Up","")</f>
        <v/>
      </c>
      <c r="V517" s="9" t="n">
        <f aca="false">RANK(R517,$R$2:$R$759)+COUNTIF($R$2:R517,R517)-1</f>
        <v>403</v>
      </c>
      <c r="W517" s="9" t="str">
        <f aca="false">IF(U517="Lapsed - Follow Up",COUNTIF($U$2:U517,"Lapsed - Follow Up"),"")</f>
        <v/>
      </c>
    </row>
    <row r="518" customFormat="false" ht="15" hidden="false" customHeight="true" outlineLevel="0" collapsed="false">
      <c r="A518" s="9" t="str">
        <f aca="false">Raw_Donors!A518</f>
        <v>D1516</v>
      </c>
      <c r="B518" s="9" t="str">
        <f aca="false">IF(ISNUMBER(SEARCH("-DUP",A518)),"Duplicate ID","")</f>
        <v/>
      </c>
      <c r="C518" s="9" t="n">
        <f aca="false">Raw_Donors!B518</f>
        <v>20880</v>
      </c>
      <c r="D518" s="9" t="n">
        <f aca="false">Raw_Donors!C518</f>
        <v>32</v>
      </c>
      <c r="E518" s="9" t="str">
        <f aca="false">IFERROR(IF(Raw_Donors!D518="","Unknown",Raw_Donors!D518),"Unknown")</f>
        <v>Unknown</v>
      </c>
      <c r="F518" s="9" t="str">
        <f aca="false">IFERROR(IF(Raw_Donors!E518="","Unknown",Raw_Donors!E518),"Unknown")</f>
        <v>Male</v>
      </c>
      <c r="G518" s="9" t="str">
        <f aca="false">PROPER(TRIM(Raw_Donors!F518))</f>
        <v>Community Partner</v>
      </c>
      <c r="H518" s="9" t="str">
        <f aca="false">IFERROR(IF(Raw_Donors!G518="","N",Raw_Donors!G518),"N")</f>
        <v>Y</v>
      </c>
      <c r="I518" s="9" t="str">
        <f aca="false">IF(Raw_Donors!H518="","Not Rated",Raw_Donors!H518)</f>
        <v>Not Rated</v>
      </c>
      <c r="J518" s="9" t="str">
        <f aca="false">IF(TRIM(Raw_Donors!I518)="","Unknown",TRIM(Raw_Donors!I518))</f>
        <v>HOME</v>
      </c>
      <c r="K518" s="9" t="str">
        <f aca="false">Raw_Donors!J518</f>
        <v>Y</v>
      </c>
      <c r="L518" s="9" t="n">
        <f aca="false">Raw_Donors!K518</f>
        <v>1</v>
      </c>
      <c r="M518" s="10" t="n">
        <f aca="false">IFERROR(VALUE(SUBSTITUTE(SUBSTITUTE(Raw_Donors!L518,"$",""),",","")),0)</f>
        <v>0</v>
      </c>
      <c r="N518" s="10" t="n">
        <f aca="false">IFERROR(VALUE(SUBSTITUTE(SUBSTITUTE(Raw_Donors!M518,"$",""),",","")),0)</f>
        <v>0</v>
      </c>
      <c r="O518" s="10" t="n">
        <f aca="false">IFERROR(VALUE(SUBSTITUTE(SUBSTITUTE(Raw_Donors!N518,"$",""),",","")),0)</f>
        <v>1</v>
      </c>
      <c r="P518" s="10" t="n">
        <f aca="false">IFERROR(VALUE(SUBSTITUTE(SUBSTITUTE(Raw_Donors!O518,"$",""),",","")),0)</f>
        <v>0</v>
      </c>
      <c r="Q518" s="10" t="n">
        <f aca="false">IFERROR(VALUE(SUBSTITUTE(SUBSTITUTE(Raw_Donors!P518,"$",""),",","")),0)</f>
        <v>0</v>
      </c>
      <c r="R518" s="10" t="n">
        <f aca="false">Raw_Donors!Q518</f>
        <v>1</v>
      </c>
      <c r="S518" s="9" t="str">
        <f aca="false">Raw_Donors!R518</f>
        <v>Y</v>
      </c>
      <c r="T518" s="9" t="str">
        <f aca="false">IF(Raw_Donors!S518="","",Raw_Donors!S518)</f>
        <v>1985-09-26</v>
      </c>
      <c r="U518" s="9" t="str">
        <f aca="false">IF(AND((O518+P518)&gt;0,Q518=0),"Lapsed - Follow Up","")</f>
        <v>Lapsed - Follow Up</v>
      </c>
      <c r="V518" s="9" t="n">
        <f aca="false">RANK(R518,$R$2:$R$759)+COUNTIF($R$2:R518,R518)-1</f>
        <v>549</v>
      </c>
      <c r="W518" s="9" t="n">
        <f aca="false">IF(U518="Lapsed - Follow Up",COUNTIF($U$2:U518,"Lapsed - Follow Up"),"")</f>
        <v>72</v>
      </c>
    </row>
    <row r="519" customFormat="false" ht="15" hidden="false" customHeight="true" outlineLevel="0" collapsed="false">
      <c r="A519" s="9" t="str">
        <f aca="false">Raw_Donors!A519</f>
        <v>D1517</v>
      </c>
      <c r="B519" s="9" t="str">
        <f aca="false">IF(ISNUMBER(SEARCH("-DUP",A519)),"Duplicate ID","")</f>
        <v/>
      </c>
      <c r="C519" s="9" t="n">
        <f aca="false">Raw_Donors!B519</f>
        <v>31738</v>
      </c>
      <c r="D519" s="9" t="n">
        <f aca="false">Raw_Donors!C519</f>
        <v>0</v>
      </c>
      <c r="E519" s="9" t="str">
        <f aca="false">IFERROR(IF(Raw_Donors!D519="","Unknown",Raw_Donors!D519),"Unknown")</f>
        <v>Single</v>
      </c>
      <c r="F519" s="9" t="str">
        <f aca="false">IFERROR(IF(Raw_Donors!E519="","Unknown",Raw_Donors!E519),"Unknown")</f>
        <v>Female</v>
      </c>
      <c r="G519" s="9" t="str">
        <f aca="false">PROPER(TRIM(Raw_Donors!F519))</f>
        <v>Individual Donor</v>
      </c>
      <c r="H519" s="9" t="str">
        <f aca="false">IFERROR(IF(Raw_Donors!G519="","N",Raw_Donors!G519),"N")</f>
        <v>Y</v>
      </c>
      <c r="I519" s="9" t="str">
        <f aca="false">IF(Raw_Donors!H519="","Not Rated",Raw_Donors!H519)</f>
        <v>Not Rated</v>
      </c>
      <c r="J519" s="9" t="str">
        <f aca="false">IF(TRIM(Raw_Donors!I519)="","Unknown",TRIM(Raw_Donors!I519))</f>
        <v>HOME</v>
      </c>
      <c r="K519" s="9" t="str">
        <f aca="false">Raw_Donors!J519</f>
        <v>N</v>
      </c>
      <c r="L519" s="9" t="n">
        <f aca="false">Raw_Donors!K519</f>
        <v>0</v>
      </c>
      <c r="M519" s="10" t="n">
        <f aca="false">IFERROR(VALUE(SUBSTITUTE(SUBSTITUTE(Raw_Donors!L519,"$",""),",","")),0)</f>
        <v>0</v>
      </c>
      <c r="N519" s="10" t="n">
        <f aca="false">IFERROR(VALUE(SUBSTITUTE(SUBSTITUTE(Raw_Donors!M519,"$",""),",","")),0)</f>
        <v>0</v>
      </c>
      <c r="O519" s="10" t="n">
        <f aca="false">IFERROR(VALUE(SUBSTITUTE(SUBSTITUTE(Raw_Donors!N519,"$",""),",","")),0)</f>
        <v>0</v>
      </c>
      <c r="P519" s="10" t="n">
        <f aca="false">IFERROR(VALUE(SUBSTITUTE(SUBSTITUTE(Raw_Donors!O519,"$",""),",","")),0)</f>
        <v>0</v>
      </c>
      <c r="Q519" s="10" t="n">
        <f aca="false">IFERROR(VALUE(SUBSTITUTE(SUBSTITUTE(Raw_Donors!P519,"$",""),",","")),0)</f>
        <v>0</v>
      </c>
      <c r="R519" s="10" t="n">
        <f aca="false">Raw_Donors!Q519</f>
        <v>0</v>
      </c>
      <c r="S519" s="9" t="str">
        <f aca="false">Raw_Donors!R519</f>
        <v>N</v>
      </c>
      <c r="T519" s="9" t="str">
        <f aca="false">IF(Raw_Donors!S519="","",Raw_Donors!S519)</f>
        <v/>
      </c>
      <c r="U519" s="9" t="str">
        <f aca="false">IF(AND((O519+P519)&gt;0,Q519=0),"Lapsed - Follow Up","")</f>
        <v/>
      </c>
      <c r="V519" s="9" t="n">
        <f aca="false">RANK(R519,$R$2:$R$759)+COUNTIF($R$2:R519,R519)-1</f>
        <v>694</v>
      </c>
      <c r="W519" s="9" t="str">
        <f aca="false">IF(U519="Lapsed - Follow Up",COUNTIF($U$2:U519,"Lapsed - Follow Up"),"")</f>
        <v/>
      </c>
    </row>
    <row r="520" customFormat="false" ht="15" hidden="false" customHeight="true" outlineLevel="0" collapsed="false">
      <c r="A520" s="9" t="str">
        <f aca="false">Raw_Donors!A520</f>
        <v>D1518</v>
      </c>
      <c r="B520" s="9" t="str">
        <f aca="false">IF(ISNUMBER(SEARCH("-DUP",A520)),"Duplicate ID","")</f>
        <v/>
      </c>
      <c r="C520" s="9" t="n">
        <f aca="false">Raw_Donors!B520</f>
        <v>77354</v>
      </c>
      <c r="D520" s="9" t="n">
        <f aca="false">Raw_Donors!C520</f>
        <v>0</v>
      </c>
      <c r="E520" s="9" t="str">
        <f aca="false">IFERROR(IF(Raw_Donors!D520="","Unknown",Raw_Donors!D520),"Unknown")</f>
        <v>Unknown</v>
      </c>
      <c r="F520" s="9" t="str">
        <f aca="false">IFERROR(IF(Raw_Donors!E520="","Unknown",Raw_Donors!E520),"Unknown")</f>
        <v>Female</v>
      </c>
      <c r="G520" s="9" t="str">
        <f aca="false">PROPER(TRIM(Raw_Donors!F520))</f>
        <v>Individual Donor</v>
      </c>
      <c r="H520" s="9" t="str">
        <f aca="false">IFERROR(IF(Raw_Donors!G520="","N",Raw_Donors!G520),"N")</f>
        <v>N</v>
      </c>
      <c r="I520" s="9" t="str">
        <f aca="false">IF(Raw_Donors!H520="","Not Rated",Raw_Donors!H520)</f>
        <v>Not Rated</v>
      </c>
      <c r="J520" s="9" t="str">
        <f aca="false">IF(TRIM(Raw_Donors!I520)="","Unknown",TRIM(Raw_Donors!I520))</f>
        <v>HOME</v>
      </c>
      <c r="K520" s="9" t="str">
        <f aca="false">Raw_Donors!J520</f>
        <v>N</v>
      </c>
      <c r="L520" s="9" t="n">
        <f aca="false">Raw_Donors!K520</f>
        <v>1</v>
      </c>
      <c r="M520" s="10" t="n">
        <f aca="false">IFERROR(VALUE(SUBSTITUTE(SUBSTITUTE(Raw_Donors!L520,"$",""),",","")),0)</f>
        <v>0</v>
      </c>
      <c r="N520" s="10" t="n">
        <f aca="false">IFERROR(VALUE(SUBSTITUTE(SUBSTITUTE(Raw_Donors!M520,"$",""),",","")),0)</f>
        <v>0</v>
      </c>
      <c r="O520" s="10" t="n">
        <f aca="false">IFERROR(VALUE(SUBSTITUTE(SUBSTITUTE(Raw_Donors!N520,"$",""),",","")),0)</f>
        <v>0</v>
      </c>
      <c r="P520" s="10" t="n">
        <f aca="false">IFERROR(VALUE(SUBSTITUTE(SUBSTITUTE(Raw_Donors!O520,"$",""),",","")),0)</f>
        <v>0</v>
      </c>
      <c r="Q520" s="10" t="n">
        <f aca="false">IFERROR(VALUE(SUBSTITUTE(SUBSTITUTE(Raw_Donors!P520,"$",""),",","")),0)</f>
        <v>0</v>
      </c>
      <c r="R520" s="10" t="n">
        <f aca="false">Raw_Donors!Q520</f>
        <v>40</v>
      </c>
      <c r="S520" s="9" t="str">
        <f aca="false">Raw_Donors!R520</f>
        <v>Y</v>
      </c>
      <c r="T520" s="9" t="str">
        <f aca="false">IF(Raw_Donors!S520="","",Raw_Donors!S520)</f>
        <v/>
      </c>
      <c r="U520" s="9" t="str">
        <f aca="false">IF(AND((O520+P520)&gt;0,Q520=0),"Lapsed - Follow Up","")</f>
        <v/>
      </c>
      <c r="V520" s="9" t="n">
        <f aca="false">RANK(R520,$R$2:$R$759)+COUNTIF($R$2:R520,R520)-1</f>
        <v>404</v>
      </c>
      <c r="W520" s="9" t="str">
        <f aca="false">IF(U520="Lapsed - Follow Up",COUNTIF($U$2:U520,"Lapsed - Follow Up"),"")</f>
        <v/>
      </c>
    </row>
    <row r="521" customFormat="false" ht="15" hidden="false" customHeight="true" outlineLevel="0" collapsed="false">
      <c r="A521" s="9" t="str">
        <f aca="false">Raw_Donors!A521</f>
        <v>D1519</v>
      </c>
      <c r="B521" s="9" t="str">
        <f aca="false">IF(ISNUMBER(SEARCH("-DUP",A521)),"Duplicate ID","")</f>
        <v/>
      </c>
      <c r="C521" s="9" t="n">
        <f aca="false">Raw_Donors!B521</f>
        <v>44413</v>
      </c>
      <c r="D521" s="9" t="n">
        <f aca="false">Raw_Donors!C521</f>
        <v>0</v>
      </c>
      <c r="E521" s="9" t="str">
        <f aca="false">IFERROR(IF(Raw_Donors!D521="","Unknown",Raw_Donors!D521),"Unknown")</f>
        <v>Single</v>
      </c>
      <c r="F521" s="9" t="str">
        <f aca="false">IFERROR(IF(Raw_Donors!E521="","Unknown",Raw_Donors!E521),"Unknown")</f>
        <v>Uknown</v>
      </c>
      <c r="G521" s="9" t="str">
        <f aca="false">PROPER(TRIM(Raw_Donors!F521))</f>
        <v>Individual Donor</v>
      </c>
      <c r="H521" s="9" t="str">
        <f aca="false">IFERROR(IF(Raw_Donors!G521="","N",Raw_Donors!G521),"N")</f>
        <v>Y</v>
      </c>
      <c r="I521" s="9" t="str">
        <f aca="false">IF(Raw_Donors!H521="","Not Rated",Raw_Donors!H521)</f>
        <v>Not Rated</v>
      </c>
      <c r="J521" s="9" t="str">
        <f aca="false">IF(TRIM(Raw_Donors!I521)="","Unknown",TRIM(Raw_Donors!I521))</f>
        <v>HOME</v>
      </c>
      <c r="K521" s="9" t="str">
        <f aca="false">Raw_Donors!J521</f>
        <v>N</v>
      </c>
      <c r="L521" s="9" t="n">
        <f aca="false">Raw_Donors!K521</f>
        <v>0</v>
      </c>
      <c r="M521" s="10" t="n">
        <f aca="false">IFERROR(VALUE(SUBSTITUTE(SUBSTITUTE(Raw_Donors!L521,"$",""),",","")),0)</f>
        <v>0</v>
      </c>
      <c r="N521" s="10" t="n">
        <f aca="false">IFERROR(VALUE(SUBSTITUTE(SUBSTITUTE(Raw_Donors!M521,"$",""),",","")),0)</f>
        <v>0</v>
      </c>
      <c r="O521" s="10" t="n">
        <f aca="false">IFERROR(VALUE(SUBSTITUTE(SUBSTITUTE(Raw_Donors!N521,"$",""),",","")),0)</f>
        <v>0</v>
      </c>
      <c r="P521" s="10" t="n">
        <f aca="false">IFERROR(VALUE(SUBSTITUTE(SUBSTITUTE(Raw_Donors!O521,"$",""),",","")),0)</f>
        <v>0</v>
      </c>
      <c r="Q521" s="10" t="n">
        <f aca="false">IFERROR(VALUE(SUBSTITUTE(SUBSTITUTE(Raw_Donors!P521,"$",""),",","")),0)</f>
        <v>0</v>
      </c>
      <c r="R521" s="10" t="n">
        <f aca="false">Raw_Donors!Q521</f>
        <v>25</v>
      </c>
      <c r="S521" s="9" t="str">
        <f aca="false">Raw_Donors!R521</f>
        <v>Y</v>
      </c>
      <c r="T521" s="9" t="str">
        <f aca="false">IF(Raw_Donors!S521="","",Raw_Donors!S521)</f>
        <v/>
      </c>
      <c r="U521" s="9" t="str">
        <f aca="false">IF(AND((O521+P521)&gt;0,Q521=0),"Lapsed - Follow Up","")</f>
        <v/>
      </c>
      <c r="V521" s="9" t="n">
        <f aca="false">RANK(R521,$R$2:$R$759)+COUNTIF($R$2:R521,R521)-1</f>
        <v>454</v>
      </c>
      <c r="W521" s="9" t="str">
        <f aca="false">IF(U521="Lapsed - Follow Up",COUNTIF($U$2:U521,"Lapsed - Follow Up"),"")</f>
        <v/>
      </c>
    </row>
    <row r="522" customFormat="false" ht="15" hidden="false" customHeight="true" outlineLevel="0" collapsed="false">
      <c r="A522" s="9" t="str">
        <f aca="false">Raw_Donors!A522</f>
        <v>D1520</v>
      </c>
      <c r="B522" s="9" t="str">
        <f aca="false">IF(ISNUMBER(SEARCH("-DUP",A522)),"Duplicate ID","")</f>
        <v/>
      </c>
      <c r="C522" s="9" t="n">
        <f aca="false">Raw_Donors!B522</f>
        <v>1784</v>
      </c>
      <c r="D522" s="9" t="n">
        <f aca="false">Raw_Donors!C522</f>
        <v>20</v>
      </c>
      <c r="E522" s="9" t="str">
        <f aca="false">IFERROR(IF(Raw_Donors!D522="","Unknown",Raw_Donors!D522),"Unknown")</f>
        <v>Unknown</v>
      </c>
      <c r="F522" s="9" t="str">
        <f aca="false">IFERROR(IF(Raw_Donors!E522="","Unknown",Raw_Donors!E522),"Unknown")</f>
        <v>Female</v>
      </c>
      <c r="G522" s="9" t="str">
        <f aca="false">PROPER(TRIM(Raw_Donors!F522))</f>
        <v>Individual Donor</v>
      </c>
      <c r="H522" s="9" t="str">
        <f aca="false">IFERROR(IF(Raw_Donors!G522="","N",Raw_Donors!G522),"N")</f>
        <v>N</v>
      </c>
      <c r="I522" s="9" t="str">
        <f aca="false">IF(Raw_Donors!H522="","Not Rated",Raw_Donors!H522)</f>
        <v>Not Rated</v>
      </c>
      <c r="J522" s="9" t="str">
        <f aca="false">IF(TRIM(Raw_Donors!I522)="","Unknown",TRIM(Raw_Donors!I522))</f>
        <v>HOME</v>
      </c>
      <c r="K522" s="9" t="str">
        <f aca="false">Raw_Donors!J522</f>
        <v>N</v>
      </c>
      <c r="L522" s="9" t="n">
        <f aca="false">Raw_Donors!K522</f>
        <v>0</v>
      </c>
      <c r="M522" s="10" t="n">
        <f aca="false">IFERROR(VALUE(SUBSTITUTE(SUBSTITUTE(Raw_Donors!L522,"$",""),",","")),0)</f>
        <v>0</v>
      </c>
      <c r="N522" s="10" t="n">
        <f aca="false">IFERROR(VALUE(SUBSTITUTE(SUBSTITUTE(Raw_Donors!M522,"$",""),",","")),0)</f>
        <v>0</v>
      </c>
      <c r="O522" s="10" t="n">
        <f aca="false">IFERROR(VALUE(SUBSTITUTE(SUBSTITUTE(Raw_Donors!N522,"$",""),",","")),0)</f>
        <v>0</v>
      </c>
      <c r="P522" s="10" t="n">
        <f aca="false">IFERROR(VALUE(SUBSTITUTE(SUBSTITUTE(Raw_Donors!O522,"$",""),",","")),0)</f>
        <v>0</v>
      </c>
      <c r="Q522" s="10" t="n">
        <f aca="false">IFERROR(VALUE(SUBSTITUTE(SUBSTITUTE(Raw_Donors!P522,"$",""),",","")),0)</f>
        <v>0</v>
      </c>
      <c r="R522" s="10" t="n">
        <f aca="false">Raw_Donors!Q522</f>
        <v>15</v>
      </c>
      <c r="S522" s="9" t="str">
        <f aca="false">Raw_Donors!R522</f>
        <v>Y</v>
      </c>
      <c r="T522" s="9" t="str">
        <f aca="false">IF(Raw_Donors!S522="","",Raw_Donors!S522)</f>
        <v>1997-09-20</v>
      </c>
      <c r="U522" s="9" t="str">
        <f aca="false">IF(AND((O522+P522)&gt;0,Q522=0),"Lapsed - Follow Up","")</f>
        <v/>
      </c>
      <c r="V522" s="9" t="n">
        <f aca="false">RANK(R522,$R$2:$R$759)+COUNTIF($R$2:R522,R522)-1</f>
        <v>488</v>
      </c>
      <c r="W522" s="9" t="str">
        <f aca="false">IF(U522="Lapsed - Follow Up",COUNTIF($U$2:U522,"Lapsed - Follow Up"),"")</f>
        <v/>
      </c>
    </row>
    <row r="523" customFormat="false" ht="15" hidden="false" customHeight="true" outlineLevel="0" collapsed="false">
      <c r="A523" s="9" t="str">
        <f aca="false">Raw_Donors!A523</f>
        <v>D1521</v>
      </c>
      <c r="B523" s="9" t="str">
        <f aca="false">IF(ISNUMBER(SEARCH("-DUP",A523)),"Duplicate ID","")</f>
        <v/>
      </c>
      <c r="C523" s="9" t="n">
        <f aca="false">Raw_Donors!B523</f>
        <v>77080</v>
      </c>
      <c r="D523" s="9" t="n">
        <f aca="false">Raw_Donors!C523</f>
        <v>0</v>
      </c>
      <c r="E523" s="9" t="str">
        <f aca="false">IFERROR(IF(Raw_Donors!D523="","Unknown",Raw_Donors!D523),"Unknown")</f>
        <v>Married</v>
      </c>
      <c r="F523" s="9" t="str">
        <f aca="false">IFERROR(IF(Raw_Donors!E523="","Unknown",Raw_Donors!E523),"Unknown")</f>
        <v>Male</v>
      </c>
      <c r="G523" s="9" t="str">
        <f aca="false">PROPER(TRIM(Raw_Donors!F523))</f>
        <v>Individual Donor</v>
      </c>
      <c r="H523" s="9" t="str">
        <f aca="false">IFERROR(IF(Raw_Donors!G523="","N",Raw_Donors!G523),"N")</f>
        <v>N</v>
      </c>
      <c r="I523" s="9" t="str">
        <f aca="false">IF(Raw_Donors!H523="","Not Rated",Raw_Donors!H523)</f>
        <v>Not Rated</v>
      </c>
      <c r="J523" s="9" t="str">
        <f aca="false">IF(TRIM(Raw_Donors!I523)="","Unknown",TRIM(Raw_Donors!I523))</f>
        <v>HOME</v>
      </c>
      <c r="K523" s="9" t="str">
        <f aca="false">Raw_Donors!J523</f>
        <v>N</v>
      </c>
      <c r="L523" s="9" t="n">
        <f aca="false">Raw_Donors!K523</f>
        <v>1</v>
      </c>
      <c r="M523" s="10" t="n">
        <f aca="false">IFERROR(VALUE(SUBSTITUTE(SUBSTITUTE(Raw_Donors!L523,"$",""),",","")),0)</f>
        <v>0</v>
      </c>
      <c r="N523" s="10" t="n">
        <f aca="false">IFERROR(VALUE(SUBSTITUTE(SUBSTITUTE(Raw_Donors!M523,"$",""),",","")),0)</f>
        <v>0</v>
      </c>
      <c r="O523" s="10" t="n">
        <f aca="false">IFERROR(VALUE(SUBSTITUTE(SUBSTITUTE(Raw_Donors!N523,"$",""),",","")),0)</f>
        <v>180</v>
      </c>
      <c r="P523" s="10" t="n">
        <f aca="false">IFERROR(VALUE(SUBSTITUTE(SUBSTITUTE(Raw_Donors!O523,"$",""),",","")),0)</f>
        <v>0</v>
      </c>
      <c r="Q523" s="10" t="n">
        <f aca="false">IFERROR(VALUE(SUBSTITUTE(SUBSTITUTE(Raw_Donors!P523,"$",""),",","")),0)</f>
        <v>0</v>
      </c>
      <c r="R523" s="10" t="n">
        <f aca="false">Raw_Donors!Q523</f>
        <v>265</v>
      </c>
      <c r="S523" s="9" t="str">
        <f aca="false">Raw_Donors!R523</f>
        <v>Y</v>
      </c>
      <c r="T523" s="9" t="str">
        <f aca="false">IF(Raw_Donors!S523="","",Raw_Donors!S523)</f>
        <v/>
      </c>
      <c r="U523" s="9" t="str">
        <f aca="false">IF(AND((O523+P523)&gt;0,Q523=0),"Lapsed - Follow Up","")</f>
        <v>Lapsed - Follow Up</v>
      </c>
      <c r="V523" s="9" t="n">
        <f aca="false">RANK(R523,$R$2:$R$759)+COUNTIF($R$2:R523,R523)-1</f>
        <v>157</v>
      </c>
      <c r="W523" s="9" t="n">
        <f aca="false">IF(U523="Lapsed - Follow Up",COUNTIF($U$2:U523,"Lapsed - Follow Up"),"")</f>
        <v>73</v>
      </c>
    </row>
    <row r="524" customFormat="false" ht="15" hidden="false" customHeight="true" outlineLevel="0" collapsed="false">
      <c r="A524" s="9" t="str">
        <f aca="false">Raw_Donors!A524</f>
        <v>D1522</v>
      </c>
      <c r="B524" s="9" t="str">
        <f aca="false">IF(ISNUMBER(SEARCH("-DUP",A524)),"Duplicate ID","")</f>
        <v/>
      </c>
      <c r="C524" s="9" t="n">
        <f aca="false">Raw_Donors!B524</f>
        <v>61414</v>
      </c>
      <c r="D524" s="9" t="n">
        <f aca="false">Raw_Donors!C524</f>
        <v>32</v>
      </c>
      <c r="E524" s="9" t="str">
        <f aca="false">IFERROR(IF(Raw_Donors!D524="","Unknown",Raw_Donors!D524),"Unknown")</f>
        <v>Unknown</v>
      </c>
      <c r="F524" s="9" t="str">
        <f aca="false">IFERROR(IF(Raw_Donors!E524="","Unknown",Raw_Donors!E524),"Unknown")</f>
        <v>Male</v>
      </c>
      <c r="G524" s="9" t="str">
        <f aca="false">PROPER(TRIM(Raw_Donors!F524))</f>
        <v>Community Partner</v>
      </c>
      <c r="H524" s="9" t="str">
        <f aca="false">IFERROR(IF(Raw_Donors!G524="","N",Raw_Donors!G524),"N")</f>
        <v>Y</v>
      </c>
      <c r="I524" s="9" t="str">
        <f aca="false">IF(Raw_Donors!H524="","Not Rated",Raw_Donors!H524)</f>
        <v>Not Rated</v>
      </c>
      <c r="J524" s="9" t="str">
        <f aca="false">IF(TRIM(Raw_Donors!I524)="","Unknown",TRIM(Raw_Donors!I524))</f>
        <v>HOME</v>
      </c>
      <c r="K524" s="9" t="str">
        <f aca="false">Raw_Donors!J524</f>
        <v>Y</v>
      </c>
      <c r="L524" s="9" t="n">
        <f aca="false">Raw_Donors!K524</f>
        <v>0</v>
      </c>
      <c r="M524" s="10" t="n">
        <f aca="false">IFERROR(VALUE(SUBSTITUTE(SUBSTITUTE(Raw_Donors!L524,"$",""),",","")),0)</f>
        <v>0</v>
      </c>
      <c r="N524" s="10" t="n">
        <f aca="false">IFERROR(VALUE(SUBSTITUTE(SUBSTITUTE(Raw_Donors!M524,"$",""),",","")),0)</f>
        <v>0</v>
      </c>
      <c r="O524" s="10" t="n">
        <f aca="false">IFERROR(VALUE(SUBSTITUTE(SUBSTITUTE(Raw_Donors!N524,"$",""),",","")),0)</f>
        <v>0</v>
      </c>
      <c r="P524" s="10" t="n">
        <f aca="false">IFERROR(VALUE(SUBSTITUTE(SUBSTITUTE(Raw_Donors!O524,"$",""),",","")),0)</f>
        <v>0</v>
      </c>
      <c r="Q524" s="10" t="n">
        <f aca="false">IFERROR(VALUE(SUBSTITUTE(SUBSTITUTE(Raw_Donors!P524,"$",""),",","")),0)</f>
        <v>0</v>
      </c>
      <c r="R524" s="10" t="n">
        <f aca="false">Raw_Donors!Q524</f>
        <v>0</v>
      </c>
      <c r="S524" s="9" t="str">
        <f aca="false">Raw_Donors!R524</f>
        <v>N</v>
      </c>
      <c r="T524" s="9" t="str">
        <f aca="false">IF(Raw_Donors!S524="","",Raw_Donors!S524)</f>
        <v>1985-09-26</v>
      </c>
      <c r="U524" s="9" t="str">
        <f aca="false">IF(AND((O524+P524)&gt;0,Q524=0),"Lapsed - Follow Up","")</f>
        <v/>
      </c>
      <c r="V524" s="9" t="n">
        <f aca="false">RANK(R524,$R$2:$R$759)+COUNTIF($R$2:R524,R524)-1</f>
        <v>695</v>
      </c>
      <c r="W524" s="9" t="str">
        <f aca="false">IF(U524="Lapsed - Follow Up",COUNTIF($U$2:U524,"Lapsed - Follow Up"),"")</f>
        <v/>
      </c>
    </row>
    <row r="525" customFormat="false" ht="15" hidden="false" customHeight="true" outlineLevel="0" collapsed="false">
      <c r="A525" s="9" t="str">
        <f aca="false">Raw_Donors!A525</f>
        <v>D1523</v>
      </c>
      <c r="B525" s="9" t="str">
        <f aca="false">IF(ISNUMBER(SEARCH("-DUP",A525)),"Duplicate ID","")</f>
        <v/>
      </c>
      <c r="C525" s="9" t="n">
        <f aca="false">Raw_Donors!B525</f>
        <v>92842</v>
      </c>
      <c r="D525" s="9" t="n">
        <f aca="false">Raw_Donors!C525</f>
        <v>0</v>
      </c>
      <c r="E525" s="9" t="str">
        <f aca="false">IFERROR(IF(Raw_Donors!D525="","Unknown",Raw_Donors!D525),"Unknown")</f>
        <v>Single</v>
      </c>
      <c r="F525" s="9" t="str">
        <f aca="false">IFERROR(IF(Raw_Donors!E525="","Unknown",Raw_Donors!E525),"Unknown")</f>
        <v>Uknown</v>
      </c>
      <c r="G525" s="9" t="str">
        <f aca="false">PROPER(TRIM(Raw_Donors!F525))</f>
        <v>Individual Donor</v>
      </c>
      <c r="H525" s="9" t="str">
        <f aca="false">IFERROR(IF(Raw_Donors!G525="","N",Raw_Donors!G525),"N")</f>
        <v>Y</v>
      </c>
      <c r="I525" s="9" t="str">
        <f aca="false">IF(Raw_Donors!H525="","Not Rated",Raw_Donors!H525)</f>
        <v>Not Rated</v>
      </c>
      <c r="J525" s="9" t="str">
        <f aca="false">IF(TRIM(Raw_Donors!I525)="","Unknown",TRIM(Raw_Donors!I525))</f>
        <v>HOME</v>
      </c>
      <c r="K525" s="9" t="str">
        <f aca="false">Raw_Donors!J525</f>
        <v>N</v>
      </c>
      <c r="L525" s="9" t="n">
        <f aca="false">Raw_Donors!K525</f>
        <v>0</v>
      </c>
      <c r="M525" s="10" t="n">
        <f aca="false">IFERROR(VALUE(SUBSTITUTE(SUBSTITUTE(Raw_Donors!L525,"$",""),",","")),0)</f>
        <v>0</v>
      </c>
      <c r="N525" s="10" t="n">
        <f aca="false">IFERROR(VALUE(SUBSTITUTE(SUBSTITUTE(Raw_Donors!M525,"$",""),",","")),0)</f>
        <v>0</v>
      </c>
      <c r="O525" s="10" t="n">
        <f aca="false">IFERROR(VALUE(SUBSTITUTE(SUBSTITUTE(Raw_Donors!N525,"$",""),",","")),0)</f>
        <v>0</v>
      </c>
      <c r="P525" s="10" t="n">
        <f aca="false">IFERROR(VALUE(SUBSTITUTE(SUBSTITUTE(Raw_Donors!O525,"$",""),",","")),0)</f>
        <v>0</v>
      </c>
      <c r="Q525" s="10" t="n">
        <f aca="false">IFERROR(VALUE(SUBSTITUTE(SUBSTITUTE(Raw_Donors!P525,"$",""),",","")),0)</f>
        <v>0</v>
      </c>
      <c r="R525" s="10" t="n">
        <f aca="false">Raw_Donors!Q525</f>
        <v>25</v>
      </c>
      <c r="S525" s="9" t="str">
        <f aca="false">Raw_Donors!R525</f>
        <v>Y</v>
      </c>
      <c r="T525" s="9" t="str">
        <f aca="false">IF(Raw_Donors!S525="","",Raw_Donors!S525)</f>
        <v/>
      </c>
      <c r="U525" s="9" t="str">
        <f aca="false">IF(AND((O525+P525)&gt;0,Q525=0),"Lapsed - Follow Up","")</f>
        <v/>
      </c>
      <c r="V525" s="9" t="n">
        <f aca="false">RANK(R525,$R$2:$R$759)+COUNTIF($R$2:R525,R525)-1</f>
        <v>455</v>
      </c>
      <c r="W525" s="9" t="str">
        <f aca="false">IF(U525="Lapsed - Follow Up",COUNTIF($U$2:U525,"Lapsed - Follow Up"),"")</f>
        <v/>
      </c>
    </row>
    <row r="526" customFormat="false" ht="15" hidden="false" customHeight="true" outlineLevel="0" collapsed="false">
      <c r="A526" s="9" t="str">
        <f aca="false">Raw_Donors!A526</f>
        <v>D1524</v>
      </c>
      <c r="B526" s="9" t="str">
        <f aca="false">IF(ISNUMBER(SEARCH("-DUP",A526)),"Duplicate ID","")</f>
        <v/>
      </c>
      <c r="C526" s="9" t="n">
        <f aca="false">Raw_Donors!B526</f>
        <v>51017</v>
      </c>
      <c r="D526" s="9" t="n">
        <f aca="false">Raw_Donors!C526</f>
        <v>0</v>
      </c>
      <c r="E526" s="9" t="str">
        <f aca="false">IFERROR(IF(Raw_Donors!D526="","Unknown",Raw_Donors!D526),"Unknown")</f>
        <v>Unknown</v>
      </c>
      <c r="F526" s="9" t="str">
        <f aca="false">IFERROR(IF(Raw_Donors!E526="","Unknown",Raw_Donors!E526),"Unknown")</f>
        <v>Female</v>
      </c>
      <c r="G526" s="9" t="str">
        <f aca="false">PROPER(TRIM(Raw_Donors!F526))</f>
        <v>Individual Donor</v>
      </c>
      <c r="H526" s="9" t="str">
        <f aca="false">IFERROR(IF(Raw_Donors!G526="","N",Raw_Donors!G526),"N")</f>
        <v>N</v>
      </c>
      <c r="I526" s="9" t="str">
        <f aca="false">IF(Raw_Donors!H526="","Not Rated",Raw_Donors!H526)</f>
        <v>Not Rated</v>
      </c>
      <c r="J526" s="9" t="str">
        <f aca="false">IF(TRIM(Raw_Donors!I526)="","Unknown",TRIM(Raw_Donors!I526))</f>
        <v>HOME</v>
      </c>
      <c r="K526" s="9" t="str">
        <f aca="false">Raw_Donors!J526</f>
        <v>N</v>
      </c>
      <c r="L526" s="9" t="n">
        <f aca="false">Raw_Donors!K526</f>
        <v>1</v>
      </c>
      <c r="M526" s="10" t="n">
        <f aca="false">IFERROR(VALUE(SUBSTITUTE(SUBSTITUTE(Raw_Donors!L526,"$",""),",","")),0)</f>
        <v>0</v>
      </c>
      <c r="N526" s="10" t="n">
        <f aca="false">IFERROR(VALUE(SUBSTITUTE(SUBSTITUTE(Raw_Donors!M526,"$",""),",","")),0)</f>
        <v>0</v>
      </c>
      <c r="O526" s="10" t="n">
        <f aca="false">IFERROR(VALUE(SUBSTITUTE(SUBSTITUTE(Raw_Donors!N526,"$",""),",","")),0)</f>
        <v>150</v>
      </c>
      <c r="P526" s="10" t="n">
        <f aca="false">IFERROR(VALUE(SUBSTITUTE(SUBSTITUTE(Raw_Donors!O526,"$",""),",","")),0)</f>
        <v>0</v>
      </c>
      <c r="Q526" s="10" t="n">
        <f aca="false">IFERROR(VALUE(SUBSTITUTE(SUBSTITUTE(Raw_Donors!P526,"$",""),",","")),0)</f>
        <v>0</v>
      </c>
      <c r="R526" s="10" t="n">
        <f aca="false">Raw_Donors!Q526</f>
        <v>150</v>
      </c>
      <c r="S526" s="9" t="str">
        <f aca="false">Raw_Donors!R526</f>
        <v>Y</v>
      </c>
      <c r="T526" s="9" t="str">
        <f aca="false">IF(Raw_Donors!S526="","",Raw_Donors!S526)</f>
        <v/>
      </c>
      <c r="U526" s="9" t="str">
        <f aca="false">IF(AND((O526+P526)&gt;0,Q526=0),"Lapsed - Follow Up","")</f>
        <v>Lapsed - Follow Up</v>
      </c>
      <c r="V526" s="9" t="n">
        <f aca="false">RANK(R526,$R$2:$R$759)+COUNTIF($R$2:R526,R526)-1</f>
        <v>232</v>
      </c>
      <c r="W526" s="9" t="n">
        <f aca="false">IF(U526="Lapsed - Follow Up",COUNTIF($U$2:U526,"Lapsed - Follow Up"),"")</f>
        <v>74</v>
      </c>
    </row>
    <row r="527" customFormat="false" ht="15" hidden="false" customHeight="true" outlineLevel="0" collapsed="false">
      <c r="A527" s="9" t="str">
        <f aca="false">Raw_Donors!A527</f>
        <v>D1525</v>
      </c>
      <c r="B527" s="9" t="str">
        <f aca="false">IF(ISNUMBER(SEARCH("-DUP",A527)),"Duplicate ID","")</f>
        <v/>
      </c>
      <c r="C527" s="9" t="n">
        <f aca="false">Raw_Donors!B527</f>
        <v>90265</v>
      </c>
      <c r="D527" s="9" t="n">
        <f aca="false">Raw_Donors!C527</f>
        <v>0</v>
      </c>
      <c r="E527" s="9" t="str">
        <f aca="false">IFERROR(IF(Raw_Donors!D527="","Unknown",Raw_Donors!D527),"Unknown")</f>
        <v>Married</v>
      </c>
      <c r="F527" s="9" t="str">
        <f aca="false">IFERROR(IF(Raw_Donors!E527="","Unknown",Raw_Donors!E527),"Unknown")</f>
        <v>Male</v>
      </c>
      <c r="G527" s="9" t="str">
        <f aca="false">PROPER(TRIM(Raw_Donors!F527))</f>
        <v>Individual Donor</v>
      </c>
      <c r="H527" s="9" t="str">
        <f aca="false">IFERROR(IF(Raw_Donors!G527="","N",Raw_Donors!G527),"N")</f>
        <v>Y</v>
      </c>
      <c r="I527" s="9" t="str">
        <f aca="false">IF(Raw_Donors!H527="","Not Rated",Raw_Donors!H527)</f>
        <v>Not Rated</v>
      </c>
      <c r="J527" s="9" t="str">
        <f aca="false">IF(TRIM(Raw_Donors!I527)="","Unknown",TRIM(Raw_Donors!I527))</f>
        <v>HOME</v>
      </c>
      <c r="K527" s="9" t="str">
        <f aca="false">Raw_Donors!J527</f>
        <v>N</v>
      </c>
      <c r="L527" s="9" t="n">
        <f aca="false">Raw_Donors!K527</f>
        <v>8</v>
      </c>
      <c r="M527" s="10" t="n">
        <f aca="false">IFERROR(VALUE(SUBSTITUTE(SUBSTITUTE(Raw_Donors!L527,"$",""),",","")),0)</f>
        <v>0</v>
      </c>
      <c r="N527" s="10" t="n">
        <f aca="false">IFERROR(VALUE(SUBSTITUTE(SUBSTITUTE(Raw_Donors!M527,"$",""),",","")),0)</f>
        <v>0</v>
      </c>
      <c r="O527" s="10" t="n">
        <f aca="false">IFERROR(VALUE(SUBSTITUTE(SUBSTITUTE(Raw_Donors!N527,"$",""),",","")),0)</f>
        <v>0</v>
      </c>
      <c r="P527" s="10" t="n">
        <f aca="false">IFERROR(VALUE(SUBSTITUTE(SUBSTITUTE(Raw_Donors!O527,"$",""),",","")),0)</f>
        <v>0</v>
      </c>
      <c r="Q527" s="10" t="n">
        <f aca="false">IFERROR(VALUE(SUBSTITUTE(SUBSTITUTE(Raw_Donors!P527,"$",""),",","")),0)</f>
        <v>0</v>
      </c>
      <c r="R527" s="10" t="n">
        <f aca="false">Raw_Donors!Q527</f>
        <v>1690</v>
      </c>
      <c r="S527" s="9" t="str">
        <f aca="false">Raw_Donors!R527</f>
        <v>Y</v>
      </c>
      <c r="T527" s="9" t="str">
        <f aca="false">IF(Raw_Donors!S527="","",Raw_Donors!S527)</f>
        <v/>
      </c>
      <c r="U527" s="9" t="str">
        <f aca="false">IF(AND((O527+P527)&gt;0,Q527=0),"Lapsed - Follow Up","")</f>
        <v/>
      </c>
      <c r="V527" s="9" t="n">
        <f aca="false">RANK(R527,$R$2:$R$759)+COUNTIF($R$2:R527,R527)-1</f>
        <v>35</v>
      </c>
      <c r="W527" s="9" t="str">
        <f aca="false">IF(U527="Lapsed - Follow Up",COUNTIF($U$2:U527,"Lapsed - Follow Up"),"")</f>
        <v/>
      </c>
    </row>
    <row r="528" customFormat="false" ht="15" hidden="false" customHeight="true" outlineLevel="0" collapsed="false">
      <c r="A528" s="9" t="str">
        <f aca="false">Raw_Donors!A528</f>
        <v>D1526</v>
      </c>
      <c r="B528" s="9" t="str">
        <f aca="false">IF(ISNUMBER(SEARCH("-DUP",A528)),"Duplicate ID","")</f>
        <v/>
      </c>
      <c r="C528" s="9" t="n">
        <f aca="false">Raw_Donors!B528</f>
        <v>18216</v>
      </c>
      <c r="D528" s="9" t="n">
        <f aca="false">Raw_Donors!C528</f>
        <v>0</v>
      </c>
      <c r="E528" s="9" t="str">
        <f aca="false">IFERROR(IF(Raw_Donors!D528="","Unknown",Raw_Donors!D528),"Unknown")</f>
        <v>Married</v>
      </c>
      <c r="F528" s="9" t="str">
        <f aca="false">IFERROR(IF(Raw_Donors!E528="","Unknown",Raw_Donors!E528),"Unknown")</f>
        <v>Female</v>
      </c>
      <c r="G528" s="9" t="str">
        <f aca="false">PROPER(TRIM(Raw_Donors!F528))</f>
        <v>Individual Donor</v>
      </c>
      <c r="H528" s="9" t="str">
        <f aca="false">IFERROR(IF(Raw_Donors!G528="","N",Raw_Donors!G528),"N")</f>
        <v>Y</v>
      </c>
      <c r="I528" s="9" t="str">
        <f aca="false">IF(Raw_Donors!H528="","Not Rated",Raw_Donors!H528)</f>
        <v>Not Rated</v>
      </c>
      <c r="J528" s="9" t="str">
        <f aca="false">IF(TRIM(Raw_Donors!I528)="","Unknown",TRIM(Raw_Donors!I528))</f>
        <v>HOME</v>
      </c>
      <c r="K528" s="9" t="str">
        <f aca="false">Raw_Donors!J528</f>
        <v>N</v>
      </c>
      <c r="L528" s="9" t="n">
        <f aca="false">Raw_Donors!K528</f>
        <v>1</v>
      </c>
      <c r="M528" s="10" t="n">
        <f aca="false">IFERROR(VALUE(SUBSTITUTE(SUBSTITUTE(Raw_Donors!L528,"$",""),",","")),0)</f>
        <v>0</v>
      </c>
      <c r="N528" s="10" t="n">
        <f aca="false">IFERROR(VALUE(SUBSTITUTE(SUBSTITUTE(Raw_Donors!M528,"$",""),",","")),0)</f>
        <v>0</v>
      </c>
      <c r="O528" s="10" t="n">
        <f aca="false">IFERROR(VALUE(SUBSTITUTE(SUBSTITUTE(Raw_Donors!N528,"$",""),",","")),0)</f>
        <v>0</v>
      </c>
      <c r="P528" s="10" t="n">
        <f aca="false">IFERROR(VALUE(SUBSTITUTE(SUBSTITUTE(Raw_Donors!O528,"$",""),",","")),0)</f>
        <v>0</v>
      </c>
      <c r="Q528" s="10" t="n">
        <f aca="false">IFERROR(VALUE(SUBSTITUTE(SUBSTITUTE(Raw_Donors!P528,"$",""),",","")),0)</f>
        <v>0</v>
      </c>
      <c r="R528" s="10" t="n">
        <f aca="false">Raw_Donors!Q528</f>
        <v>270</v>
      </c>
      <c r="S528" s="9" t="str">
        <f aca="false">Raw_Donors!R528</f>
        <v>Y</v>
      </c>
      <c r="T528" s="9" t="str">
        <f aca="false">IF(Raw_Donors!S528="","",Raw_Donors!S528)</f>
        <v/>
      </c>
      <c r="U528" s="9" t="str">
        <f aca="false">IF(AND((O528+P528)&gt;0,Q528=0),"Lapsed - Follow Up","")</f>
        <v/>
      </c>
      <c r="V528" s="9" t="n">
        <f aca="false">RANK(R528,$R$2:$R$759)+COUNTIF($R$2:R528,R528)-1</f>
        <v>152</v>
      </c>
      <c r="W528" s="9" t="str">
        <f aca="false">IF(U528="Lapsed - Follow Up",COUNTIF($U$2:U528,"Lapsed - Follow Up"),"")</f>
        <v/>
      </c>
    </row>
    <row r="529" customFormat="false" ht="15" hidden="false" customHeight="true" outlineLevel="0" collapsed="false">
      <c r="A529" s="9" t="str">
        <f aca="false">Raw_Donors!A529</f>
        <v>D1527</v>
      </c>
      <c r="B529" s="9" t="str">
        <f aca="false">IF(ISNUMBER(SEARCH("-DUP",A529)),"Duplicate ID","")</f>
        <v/>
      </c>
      <c r="C529" s="9" t="n">
        <f aca="false">Raw_Donors!B529</f>
        <v>90265</v>
      </c>
      <c r="D529" s="9" t="n">
        <f aca="false">Raw_Donors!C529</f>
        <v>0</v>
      </c>
      <c r="E529" s="9" t="str">
        <f aca="false">IFERROR(IF(Raw_Donors!D529="","Unknown",Raw_Donors!D529),"Unknown")</f>
        <v>Single</v>
      </c>
      <c r="F529" s="9" t="str">
        <f aca="false">IFERROR(IF(Raw_Donors!E529="","Unknown",Raw_Donors!E529),"Unknown")</f>
        <v>Female</v>
      </c>
      <c r="G529" s="9" t="str">
        <f aca="false">PROPER(TRIM(Raw_Donors!F529))</f>
        <v>Individual Donor</v>
      </c>
      <c r="H529" s="9" t="str">
        <f aca="false">IFERROR(IF(Raw_Donors!G529="","N",Raw_Donors!G529),"N")</f>
        <v>N</v>
      </c>
      <c r="I529" s="9" t="str">
        <f aca="false">IF(Raw_Donors!H529="","Not Rated",Raw_Donors!H529)</f>
        <v>Not Rated</v>
      </c>
      <c r="J529" s="9" t="str">
        <f aca="false">IF(TRIM(Raw_Donors!I529)="","Unknown",TRIM(Raw_Donors!I529))</f>
        <v>Unknown</v>
      </c>
      <c r="K529" s="9" t="str">
        <f aca="false">Raw_Donors!J529</f>
        <v>N</v>
      </c>
      <c r="L529" s="9" t="n">
        <f aca="false">Raw_Donors!K529</f>
        <v>0</v>
      </c>
      <c r="M529" s="10" t="n">
        <f aca="false">IFERROR(VALUE(SUBSTITUTE(SUBSTITUTE(Raw_Donors!L529,"$",""),",","")),0)</f>
        <v>0</v>
      </c>
      <c r="N529" s="10" t="n">
        <f aca="false">IFERROR(VALUE(SUBSTITUTE(SUBSTITUTE(Raw_Donors!M529,"$",""),",","")),0)</f>
        <v>25</v>
      </c>
      <c r="O529" s="10" t="n">
        <f aca="false">IFERROR(VALUE(SUBSTITUTE(SUBSTITUTE(Raw_Donors!N529,"$",""),",","")),0)</f>
        <v>0</v>
      </c>
      <c r="P529" s="10" t="n">
        <f aca="false">IFERROR(VALUE(SUBSTITUTE(SUBSTITUTE(Raw_Donors!O529,"$",""),",","")),0)</f>
        <v>0</v>
      </c>
      <c r="Q529" s="10" t="n">
        <f aca="false">IFERROR(VALUE(SUBSTITUTE(SUBSTITUTE(Raw_Donors!P529,"$",""),",","")),0)</f>
        <v>0</v>
      </c>
      <c r="R529" s="10" t="n">
        <f aca="false">Raw_Donors!Q529</f>
        <v>25</v>
      </c>
      <c r="S529" s="9" t="str">
        <f aca="false">Raw_Donors!R529</f>
        <v>Y</v>
      </c>
      <c r="T529" s="9" t="str">
        <f aca="false">IF(Raw_Donors!S529="","",Raw_Donors!S529)</f>
        <v/>
      </c>
      <c r="U529" s="9" t="str">
        <f aca="false">IF(AND((O529+P529)&gt;0,Q529=0),"Lapsed - Follow Up","")</f>
        <v/>
      </c>
      <c r="V529" s="9" t="n">
        <f aca="false">RANK(R529,$R$2:$R$759)+COUNTIF($R$2:R529,R529)-1</f>
        <v>456</v>
      </c>
      <c r="W529" s="9" t="str">
        <f aca="false">IF(U529="Lapsed - Follow Up",COUNTIF($U$2:U529,"Lapsed - Follow Up"),"")</f>
        <v/>
      </c>
    </row>
    <row r="530" customFormat="false" ht="15" hidden="false" customHeight="true" outlineLevel="0" collapsed="false">
      <c r="A530" s="9" t="str">
        <f aca="false">Raw_Donors!A530</f>
        <v>D1528</v>
      </c>
      <c r="B530" s="9" t="str">
        <f aca="false">IF(ISNUMBER(SEARCH("-DUP",A530)),"Duplicate ID","")</f>
        <v/>
      </c>
      <c r="C530" s="9" t="n">
        <f aca="false">Raw_Donors!B530</f>
        <v>3570</v>
      </c>
      <c r="D530" s="9" t="n">
        <f aca="false">Raw_Donors!C530</f>
        <v>0</v>
      </c>
      <c r="E530" s="9" t="str">
        <f aca="false">IFERROR(IF(Raw_Donors!D530="","Unknown",Raw_Donors!D530),"Unknown")</f>
        <v>Married</v>
      </c>
      <c r="F530" s="9" t="str">
        <f aca="false">IFERROR(IF(Raw_Donors!E530="","Unknown",Raw_Donors!E530),"Unknown")</f>
        <v>Female</v>
      </c>
      <c r="G530" s="9" t="str">
        <f aca="false">PROPER(TRIM(Raw_Donors!F530))</f>
        <v>Family Donor</v>
      </c>
      <c r="H530" s="9" t="str">
        <f aca="false">IFERROR(IF(Raw_Donors!G530="","N",Raw_Donors!G530),"N")</f>
        <v>N</v>
      </c>
      <c r="I530" s="9" t="str">
        <f aca="false">IF(Raw_Donors!H530="","Not Rated",Raw_Donors!H530)</f>
        <v>Not Rated</v>
      </c>
      <c r="J530" s="9" t="str">
        <f aca="false">IF(TRIM(Raw_Donors!I530)="","Unknown",TRIM(Raw_Donors!I530))</f>
        <v>HOME</v>
      </c>
      <c r="K530" s="9" t="str">
        <f aca="false">Raw_Donors!J530</f>
        <v>Y</v>
      </c>
      <c r="L530" s="9" t="n">
        <f aca="false">Raw_Donors!K530</f>
        <v>0</v>
      </c>
      <c r="M530" s="10" t="n">
        <f aca="false">IFERROR(VALUE(SUBSTITUTE(SUBSTITUTE(Raw_Donors!L530,"$",""),",","")),0)</f>
        <v>0</v>
      </c>
      <c r="N530" s="10" t="n">
        <f aca="false">IFERROR(VALUE(SUBSTITUTE(SUBSTITUTE(Raw_Donors!M530,"$",""),",","")),0)</f>
        <v>0</v>
      </c>
      <c r="O530" s="10" t="n">
        <f aca="false">IFERROR(VALUE(SUBSTITUTE(SUBSTITUTE(Raw_Donors!N530,"$",""),",","")),0)</f>
        <v>0</v>
      </c>
      <c r="P530" s="10" t="n">
        <f aca="false">IFERROR(VALUE(SUBSTITUTE(SUBSTITUTE(Raw_Donors!O530,"$",""),",","")),0)</f>
        <v>0</v>
      </c>
      <c r="Q530" s="10" t="n">
        <f aca="false">IFERROR(VALUE(SUBSTITUTE(SUBSTITUTE(Raw_Donors!P530,"$",""),",","")),0)</f>
        <v>0</v>
      </c>
      <c r="R530" s="10" t="n">
        <f aca="false">Raw_Donors!Q530</f>
        <v>25</v>
      </c>
      <c r="S530" s="9" t="str">
        <f aca="false">Raw_Donors!R530</f>
        <v>Y</v>
      </c>
      <c r="T530" s="9" t="str">
        <f aca="false">IF(Raw_Donors!S530="","",Raw_Donors!S530)</f>
        <v/>
      </c>
      <c r="U530" s="9" t="str">
        <f aca="false">IF(AND((O530+P530)&gt;0,Q530=0),"Lapsed - Follow Up","")</f>
        <v/>
      </c>
      <c r="V530" s="9" t="n">
        <f aca="false">RANK(R530,$R$2:$R$759)+COUNTIF($R$2:R530,R530)-1</f>
        <v>457</v>
      </c>
      <c r="W530" s="9" t="str">
        <f aca="false">IF(U530="Lapsed - Follow Up",COUNTIF($U$2:U530,"Lapsed - Follow Up"),"")</f>
        <v/>
      </c>
    </row>
    <row r="531" customFormat="false" ht="15" hidden="false" customHeight="true" outlineLevel="0" collapsed="false">
      <c r="A531" s="9" t="str">
        <f aca="false">Raw_Donors!A531</f>
        <v>D1529</v>
      </c>
      <c r="B531" s="9" t="str">
        <f aca="false">IF(ISNUMBER(SEARCH("-DUP",A531)),"Duplicate ID","")</f>
        <v/>
      </c>
      <c r="C531" s="9" t="n">
        <f aca="false">Raw_Donors!B531</f>
        <v>55339</v>
      </c>
      <c r="D531" s="9" t="n">
        <f aca="false">Raw_Donors!C531</f>
        <v>35</v>
      </c>
      <c r="E531" s="9" t="str">
        <f aca="false">IFERROR(IF(Raw_Donors!D531="","Unknown",Raw_Donors!D531),"Unknown")</f>
        <v>Unknown</v>
      </c>
      <c r="F531" s="9" t="str">
        <f aca="false">IFERROR(IF(Raw_Donors!E531="","Unknown",Raw_Donors!E531),"Unknown")</f>
        <v>Female</v>
      </c>
      <c r="G531" s="9" t="str">
        <f aca="false">PROPER(TRIM(Raw_Donors!F531))</f>
        <v>Family Donor</v>
      </c>
      <c r="H531" s="9" t="str">
        <f aca="false">IFERROR(IF(Raw_Donors!G531="","N",Raw_Donors!G531),"N")</f>
        <v>N</v>
      </c>
      <c r="I531" s="9" t="str">
        <f aca="false">IF(Raw_Donors!H531="","Not Rated",Raw_Donors!H531)</f>
        <v>Not Rated</v>
      </c>
      <c r="J531" s="9" t="str">
        <f aca="false">IF(TRIM(Raw_Donors!I531)="","Unknown",TRIM(Raw_Donors!I531))</f>
        <v>HOME</v>
      </c>
      <c r="K531" s="9" t="str">
        <f aca="false">Raw_Donors!J531</f>
        <v>N</v>
      </c>
      <c r="L531" s="9" t="n">
        <f aca="false">Raw_Donors!K531</f>
        <v>0</v>
      </c>
      <c r="M531" s="10" t="n">
        <f aca="false">IFERROR(VALUE(SUBSTITUTE(SUBSTITUTE(Raw_Donors!L531,"$",""),",","")),0)</f>
        <v>0</v>
      </c>
      <c r="N531" s="10" t="n">
        <f aca="false">IFERROR(VALUE(SUBSTITUTE(SUBSTITUTE(Raw_Donors!M531,"$",""),",","")),0)</f>
        <v>0</v>
      </c>
      <c r="O531" s="10" t="n">
        <f aca="false">IFERROR(VALUE(SUBSTITUTE(SUBSTITUTE(Raw_Donors!N531,"$",""),",","")),0)</f>
        <v>0</v>
      </c>
      <c r="P531" s="10" t="n">
        <f aca="false">IFERROR(VALUE(SUBSTITUTE(SUBSTITUTE(Raw_Donors!O531,"$",""),",","")),0)</f>
        <v>0</v>
      </c>
      <c r="Q531" s="10" t="n">
        <f aca="false">IFERROR(VALUE(SUBSTITUTE(SUBSTITUTE(Raw_Donors!P531,"$",""),",","")),0)</f>
        <v>0</v>
      </c>
      <c r="R531" s="10" t="n">
        <f aca="false">Raw_Donors!Q531</f>
        <v>48</v>
      </c>
      <c r="S531" s="9" t="str">
        <f aca="false">Raw_Donors!R531</f>
        <v>Y</v>
      </c>
      <c r="T531" s="9" t="str">
        <f aca="false">IF(Raw_Donors!S531="","",Raw_Donors!S531)</f>
        <v>1982-03-23</v>
      </c>
      <c r="U531" s="9" t="str">
        <f aca="false">IF(AND((O531+P531)&gt;0,Q531=0),"Lapsed - Follow Up","")</f>
        <v/>
      </c>
      <c r="V531" s="9" t="n">
        <f aca="false">RANK(R531,$R$2:$R$759)+COUNTIF($R$2:R531,R531)-1</f>
        <v>387</v>
      </c>
      <c r="W531" s="9" t="str">
        <f aca="false">IF(U531="Lapsed - Follow Up",COUNTIF($U$2:U531,"Lapsed - Follow Up"),"")</f>
        <v/>
      </c>
    </row>
    <row r="532" customFormat="false" ht="15" hidden="false" customHeight="true" outlineLevel="0" collapsed="false">
      <c r="A532" s="9" t="str">
        <f aca="false">Raw_Donors!A532</f>
        <v>D1530</v>
      </c>
      <c r="B532" s="9" t="str">
        <f aca="false">IF(ISNUMBER(SEARCH("-DUP",A532)),"Duplicate ID","")</f>
        <v/>
      </c>
      <c r="C532" s="9" t="n">
        <f aca="false">Raw_Donors!B532</f>
        <v>83230</v>
      </c>
      <c r="D532" s="9" t="n">
        <f aca="false">Raw_Donors!C532</f>
        <v>30</v>
      </c>
      <c r="E532" s="9" t="str">
        <f aca="false">IFERROR(IF(Raw_Donors!D532="","Unknown",Raw_Donors!D532),"Unknown")</f>
        <v>Unknown</v>
      </c>
      <c r="F532" s="9" t="str">
        <f aca="false">IFERROR(IF(Raw_Donors!E532="","Unknown",Raw_Donors!E532),"Unknown")</f>
        <v>Female</v>
      </c>
      <c r="G532" s="9" t="str">
        <f aca="false">PROPER(TRIM(Raw_Donors!F532))</f>
        <v>Community Partner</v>
      </c>
      <c r="H532" s="9" t="str">
        <f aca="false">IFERROR(IF(Raw_Donors!G532="","N",Raw_Donors!G532),"N")</f>
        <v>Y</v>
      </c>
      <c r="I532" s="9" t="str">
        <f aca="false">IF(Raw_Donors!H532="","Not Rated",Raw_Donors!H532)</f>
        <v>$500,000-$999,999</v>
      </c>
      <c r="J532" s="9" t="str">
        <f aca="false">IF(TRIM(Raw_Donors!I532)="","Unknown",TRIM(Raw_Donors!I532))</f>
        <v>Unknown</v>
      </c>
      <c r="K532" s="9" t="str">
        <f aca="false">Raw_Donors!J532</f>
        <v>Y</v>
      </c>
      <c r="L532" s="9" t="n">
        <f aca="false">Raw_Donors!K532</f>
        <v>1</v>
      </c>
      <c r="M532" s="10" t="n">
        <f aca="false">IFERROR(VALUE(SUBSTITUTE(SUBSTITUTE(Raw_Donors!L532,"$",""),",","")),0)</f>
        <v>0</v>
      </c>
      <c r="N532" s="10" t="n">
        <f aca="false">IFERROR(VALUE(SUBSTITUTE(SUBSTITUTE(Raw_Donors!M532,"$",""),",","")),0)</f>
        <v>0</v>
      </c>
      <c r="O532" s="10" t="n">
        <f aca="false">IFERROR(VALUE(SUBSTITUTE(SUBSTITUTE(Raw_Donors!N532,"$",""),",","")),0)</f>
        <v>0</v>
      </c>
      <c r="P532" s="10" t="n">
        <f aca="false">IFERROR(VALUE(SUBSTITUTE(SUBSTITUTE(Raw_Donors!O532,"$",""),",","")),0)</f>
        <v>0</v>
      </c>
      <c r="Q532" s="10" t="n">
        <f aca="false">IFERROR(VALUE(SUBSTITUTE(SUBSTITUTE(Raw_Donors!P532,"$",""),",","")),0)</f>
        <v>0</v>
      </c>
      <c r="R532" s="10" t="n">
        <f aca="false">Raw_Donors!Q532</f>
        <v>1415</v>
      </c>
      <c r="S532" s="9" t="str">
        <f aca="false">Raw_Donors!R532</f>
        <v>Y</v>
      </c>
      <c r="T532" s="9" t="str">
        <f aca="false">IF(Raw_Donors!S532="","",Raw_Donors!S532)</f>
        <v>1987-08-23</v>
      </c>
      <c r="U532" s="9" t="str">
        <f aca="false">IF(AND((O532+P532)&gt;0,Q532=0),"Lapsed - Follow Up","")</f>
        <v/>
      </c>
      <c r="V532" s="9" t="n">
        <f aca="false">RANK(R532,$R$2:$R$759)+COUNTIF($R$2:R532,R532)-1</f>
        <v>43</v>
      </c>
      <c r="W532" s="9" t="str">
        <f aca="false">IF(U532="Lapsed - Follow Up",COUNTIF($U$2:U532,"Lapsed - Follow Up"),"")</f>
        <v/>
      </c>
    </row>
    <row r="533" customFormat="false" ht="15" hidden="false" customHeight="true" outlineLevel="0" collapsed="false">
      <c r="A533" s="9" t="str">
        <f aca="false">Raw_Donors!A533</f>
        <v>D1531</v>
      </c>
      <c r="B533" s="9" t="str">
        <f aca="false">IF(ISNUMBER(SEARCH("-DUP",A533)),"Duplicate ID","")</f>
        <v/>
      </c>
      <c r="C533" s="9" t="n">
        <f aca="false">Raw_Donors!B533</f>
        <v>29672</v>
      </c>
      <c r="D533" s="9" t="n">
        <f aca="false">Raw_Donors!C533</f>
        <v>40</v>
      </c>
      <c r="E533" s="9" t="str">
        <f aca="false">IFERROR(IF(Raw_Donors!D533="","Unknown",Raw_Donors!D533),"Unknown")</f>
        <v>Unknown</v>
      </c>
      <c r="F533" s="9" t="str">
        <f aca="false">IFERROR(IF(Raw_Donors!E533="","Unknown",Raw_Donors!E533),"Unknown")</f>
        <v>Female</v>
      </c>
      <c r="G533" s="9" t="str">
        <f aca="false">PROPER(TRIM(Raw_Donors!F533))</f>
        <v>Community Partner</v>
      </c>
      <c r="H533" s="9" t="str">
        <f aca="false">IFERROR(IF(Raw_Donors!G533="","N",Raw_Donors!G533),"N")</f>
        <v>Y</v>
      </c>
      <c r="I533" s="9" t="str">
        <f aca="false">IF(Raw_Donors!H533="","Not Rated",Raw_Donors!H533)</f>
        <v>Not Rated</v>
      </c>
      <c r="J533" s="9" t="str">
        <f aca="false">IF(TRIM(Raw_Donors!I533)="","Unknown",TRIM(Raw_Donors!I533))</f>
        <v>HOME</v>
      </c>
      <c r="K533" s="9" t="str">
        <f aca="false">Raw_Donors!J533</f>
        <v>Y</v>
      </c>
      <c r="L533" s="9" t="n">
        <f aca="false">Raw_Donors!K533</f>
        <v>2</v>
      </c>
      <c r="M533" s="10" t="n">
        <f aca="false">IFERROR(VALUE(SUBSTITUTE(SUBSTITUTE(Raw_Donors!L533,"$",""),",","")),0)</f>
        <v>0</v>
      </c>
      <c r="N533" s="10" t="n">
        <f aca="false">IFERROR(VALUE(SUBSTITUTE(SUBSTITUTE(Raw_Donors!M533,"$",""),",","")),0)</f>
        <v>0</v>
      </c>
      <c r="O533" s="10" t="n">
        <f aca="false">IFERROR(VALUE(SUBSTITUTE(SUBSTITUTE(Raw_Donors!N533,"$",""),",","")),0)</f>
        <v>0</v>
      </c>
      <c r="P533" s="10" t="n">
        <f aca="false">IFERROR(VALUE(SUBSTITUTE(SUBSTITUTE(Raw_Donors!O533,"$",""),",","")),0)</f>
        <v>0</v>
      </c>
      <c r="Q533" s="10" t="n">
        <f aca="false">IFERROR(VALUE(SUBSTITUTE(SUBSTITUTE(Raw_Donors!P533,"$",""),",","")),0)</f>
        <v>0</v>
      </c>
      <c r="R533" s="10" t="n">
        <f aca="false">Raw_Donors!Q533</f>
        <v>135</v>
      </c>
      <c r="S533" s="9" t="str">
        <f aca="false">Raw_Donors!R533</f>
        <v>Y</v>
      </c>
      <c r="T533" s="9" t="str">
        <f aca="false">IF(Raw_Donors!S533="","",Raw_Donors!S533)</f>
        <v>1977-12-05</v>
      </c>
      <c r="U533" s="9" t="str">
        <f aca="false">IF(AND((O533+P533)&gt;0,Q533=0),"Lapsed - Follow Up","")</f>
        <v/>
      </c>
      <c r="V533" s="9" t="n">
        <f aca="false">RANK(R533,$R$2:$R$759)+COUNTIF($R$2:R533,R533)-1</f>
        <v>240</v>
      </c>
      <c r="W533" s="9" t="str">
        <f aca="false">IF(U533="Lapsed - Follow Up",COUNTIF($U$2:U533,"Lapsed - Follow Up"),"")</f>
        <v/>
      </c>
    </row>
    <row r="534" customFormat="false" ht="15" hidden="false" customHeight="true" outlineLevel="0" collapsed="false">
      <c r="A534" s="9" t="str">
        <f aca="false">Raw_Donors!A534</f>
        <v>D1532</v>
      </c>
      <c r="B534" s="9" t="str">
        <f aca="false">IF(ISNUMBER(SEARCH("-DUP",A534)),"Duplicate ID","")</f>
        <v/>
      </c>
      <c r="C534" s="9" t="n">
        <f aca="false">Raw_Donors!B534</f>
        <v>90265</v>
      </c>
      <c r="D534" s="9" t="n">
        <f aca="false">Raw_Donors!C534</f>
        <v>38</v>
      </c>
      <c r="E534" s="9" t="str">
        <f aca="false">IFERROR(IF(Raw_Donors!D534="","Unknown",Raw_Donors!D534),"Unknown")</f>
        <v>Unknown</v>
      </c>
      <c r="F534" s="9" t="str">
        <f aca="false">IFERROR(IF(Raw_Donors!E534="","Unknown",Raw_Donors!E534),"Unknown")</f>
        <v>Female</v>
      </c>
      <c r="G534" s="9" t="str">
        <f aca="false">PROPER(TRIM(Raw_Donors!F534))</f>
        <v>Individual Donor</v>
      </c>
      <c r="H534" s="9" t="str">
        <f aca="false">IFERROR(IF(Raw_Donors!G534="","N",Raw_Donors!G534),"N")</f>
        <v>N</v>
      </c>
      <c r="I534" s="9" t="str">
        <f aca="false">IF(Raw_Donors!H534="","Not Rated",Raw_Donors!H534)</f>
        <v>Not Rated</v>
      </c>
      <c r="J534" s="9" t="str">
        <f aca="false">IF(TRIM(Raw_Donors!I534)="","Unknown",TRIM(Raw_Donors!I534))</f>
        <v>HOME</v>
      </c>
      <c r="K534" s="9" t="str">
        <f aca="false">Raw_Donors!J534</f>
        <v>Y</v>
      </c>
      <c r="L534" s="9" t="n">
        <f aca="false">Raw_Donors!K534</f>
        <v>0</v>
      </c>
      <c r="M534" s="10" t="n">
        <f aca="false">IFERROR(VALUE(SUBSTITUTE(SUBSTITUTE(Raw_Donors!L534,"$",""),",","")),0)</f>
        <v>0</v>
      </c>
      <c r="N534" s="10" t="n">
        <f aca="false">IFERROR(VALUE(SUBSTITUTE(SUBSTITUTE(Raw_Donors!M534,"$",""),",","")),0)</f>
        <v>0</v>
      </c>
      <c r="O534" s="10" t="n">
        <f aca="false">IFERROR(VALUE(SUBSTITUTE(SUBSTITUTE(Raw_Donors!N534,"$",""),",","")),0)</f>
        <v>0</v>
      </c>
      <c r="P534" s="10" t="n">
        <f aca="false">IFERROR(VALUE(SUBSTITUTE(SUBSTITUTE(Raw_Donors!O534,"$",""),",","")),0)</f>
        <v>0</v>
      </c>
      <c r="Q534" s="10" t="n">
        <f aca="false">IFERROR(VALUE(SUBSTITUTE(SUBSTITUTE(Raw_Donors!P534,"$",""),",","")),0)</f>
        <v>0</v>
      </c>
      <c r="R534" s="10" t="n">
        <f aca="false">Raw_Donors!Q534</f>
        <v>10</v>
      </c>
      <c r="S534" s="9" t="str">
        <f aca="false">Raw_Donors!R534</f>
        <v>Y</v>
      </c>
      <c r="T534" s="9" t="str">
        <f aca="false">IF(Raw_Donors!S534="","",Raw_Donors!S534)</f>
        <v>1979-09-16</v>
      </c>
      <c r="U534" s="9" t="str">
        <f aca="false">IF(AND((O534+P534)&gt;0,Q534=0),"Lapsed - Follow Up","")</f>
        <v/>
      </c>
      <c r="V534" s="9" t="n">
        <f aca="false">RANK(R534,$R$2:$R$759)+COUNTIF($R$2:R534,R534)-1</f>
        <v>503</v>
      </c>
      <c r="W534" s="9" t="str">
        <f aca="false">IF(U534="Lapsed - Follow Up",COUNTIF($U$2:U534,"Lapsed - Follow Up"),"")</f>
        <v/>
      </c>
    </row>
    <row r="535" customFormat="false" ht="15" hidden="false" customHeight="true" outlineLevel="0" collapsed="false">
      <c r="A535" s="9" t="str">
        <f aca="false">Raw_Donors!A535</f>
        <v>D1533</v>
      </c>
      <c r="B535" s="9" t="str">
        <f aca="false">IF(ISNUMBER(SEARCH("-DUP",A535)),"Duplicate ID","")</f>
        <v/>
      </c>
      <c r="C535" s="9" t="n">
        <f aca="false">Raw_Donors!B535</f>
        <v>83119</v>
      </c>
      <c r="D535" s="9" t="n">
        <f aca="false">Raw_Donors!C535</f>
        <v>25</v>
      </c>
      <c r="E535" s="9" t="str">
        <f aca="false">IFERROR(IF(Raw_Donors!D535="","Unknown",Raw_Donors!D535),"Unknown")</f>
        <v>Unknown</v>
      </c>
      <c r="F535" s="9" t="str">
        <f aca="false">IFERROR(IF(Raw_Donors!E535="","Unknown",Raw_Donors!E535),"Unknown")</f>
        <v>Female</v>
      </c>
      <c r="G535" s="9" t="str">
        <f aca="false">PROPER(TRIM(Raw_Donors!F535))</f>
        <v>Community Partner</v>
      </c>
      <c r="H535" s="9" t="str">
        <f aca="false">IFERROR(IF(Raw_Donors!G535="","N",Raw_Donors!G535),"N")</f>
        <v>Y</v>
      </c>
      <c r="I535" s="9" t="str">
        <f aca="false">IF(Raw_Donors!H535="","Not Rated",Raw_Donors!H535)</f>
        <v>Not Rated</v>
      </c>
      <c r="J535" s="9" t="str">
        <f aca="false">IF(TRIM(Raw_Donors!I535)="","Unknown",TRIM(Raw_Donors!I535))</f>
        <v>HOME</v>
      </c>
      <c r="K535" s="9" t="str">
        <f aca="false">Raw_Donors!J535</f>
        <v>Y</v>
      </c>
      <c r="L535" s="9" t="n">
        <f aca="false">Raw_Donors!K535</f>
        <v>1</v>
      </c>
      <c r="M535" s="10" t="n">
        <f aca="false">IFERROR(VALUE(SUBSTITUTE(SUBSTITUTE(Raw_Donors!L535,"$",""),",","")),0)</f>
        <v>0</v>
      </c>
      <c r="N535" s="10" t="n">
        <f aca="false">IFERROR(VALUE(SUBSTITUTE(SUBSTITUTE(Raw_Donors!M535,"$",""),",","")),0)</f>
        <v>0</v>
      </c>
      <c r="O535" s="10" t="n">
        <f aca="false">IFERROR(VALUE(SUBSTITUTE(SUBSTITUTE(Raw_Donors!N535,"$",""),",","")),0)</f>
        <v>0</v>
      </c>
      <c r="P535" s="10" t="n">
        <f aca="false">IFERROR(VALUE(SUBSTITUTE(SUBSTITUTE(Raw_Donors!O535,"$",""),",","")),0)</f>
        <v>0</v>
      </c>
      <c r="Q535" s="10" t="n">
        <f aca="false">IFERROR(VALUE(SUBSTITUTE(SUBSTITUTE(Raw_Donors!P535,"$",""),",","")),0)</f>
        <v>0</v>
      </c>
      <c r="R535" s="10" t="n">
        <f aca="false">Raw_Donors!Q535</f>
        <v>375</v>
      </c>
      <c r="S535" s="9" t="str">
        <f aca="false">Raw_Donors!R535</f>
        <v>Y</v>
      </c>
      <c r="T535" s="9" t="str">
        <f aca="false">IF(Raw_Donors!S535="","",Raw_Donors!S535)</f>
        <v>1992-03-03</v>
      </c>
      <c r="U535" s="9" t="str">
        <f aca="false">IF(AND((O535+P535)&gt;0,Q535=0),"Lapsed - Follow Up","")</f>
        <v/>
      </c>
      <c r="V535" s="9" t="n">
        <f aca="false">RANK(R535,$R$2:$R$759)+COUNTIF($R$2:R535,R535)-1</f>
        <v>119</v>
      </c>
      <c r="W535" s="9" t="str">
        <f aca="false">IF(U535="Lapsed - Follow Up",COUNTIF($U$2:U535,"Lapsed - Follow Up"),"")</f>
        <v/>
      </c>
    </row>
    <row r="536" customFormat="false" ht="15" hidden="false" customHeight="true" outlineLevel="0" collapsed="false">
      <c r="A536" s="9" t="str">
        <f aca="false">Raw_Donors!A536</f>
        <v>D1534</v>
      </c>
      <c r="B536" s="9" t="str">
        <f aca="false">IF(ISNUMBER(SEARCH("-DUP",A536)),"Duplicate ID","")</f>
        <v/>
      </c>
      <c r="C536" s="9" t="n">
        <f aca="false">Raw_Donors!B536</f>
        <v>85089</v>
      </c>
      <c r="D536" s="9" t="n">
        <f aca="false">Raw_Donors!C536</f>
        <v>32</v>
      </c>
      <c r="E536" s="9" t="str">
        <f aca="false">IFERROR(IF(Raw_Donors!D536="","Unknown",Raw_Donors!D536),"Unknown")</f>
        <v>Unknown</v>
      </c>
      <c r="F536" s="9" t="str">
        <f aca="false">IFERROR(IF(Raw_Donors!E536="","Unknown",Raw_Donors!E536),"Unknown")</f>
        <v>Female</v>
      </c>
      <c r="G536" s="9" t="str">
        <f aca="false">PROPER(TRIM(Raw_Donors!F536))</f>
        <v>Community Partner</v>
      </c>
      <c r="H536" s="9" t="str">
        <f aca="false">IFERROR(IF(Raw_Donors!G536="","N",Raw_Donors!G536),"N")</f>
        <v>N</v>
      </c>
      <c r="I536" s="9" t="str">
        <f aca="false">IF(Raw_Donors!H536="","Not Rated",Raw_Donors!H536)</f>
        <v>$250,000-$499,999</v>
      </c>
      <c r="J536" s="9" t="str">
        <f aca="false">IF(TRIM(Raw_Donors!I536)="","Unknown",TRIM(Raw_Donors!I536))</f>
        <v>HOME</v>
      </c>
      <c r="K536" s="9" t="str">
        <f aca="false">Raw_Donors!J536</f>
        <v>Y</v>
      </c>
      <c r="L536" s="9" t="n">
        <f aca="false">Raw_Donors!K536</f>
        <v>0</v>
      </c>
      <c r="M536" s="10" t="n">
        <f aca="false">IFERROR(VALUE(SUBSTITUTE(SUBSTITUTE(Raw_Donors!L536,"$",""),",","")),0)</f>
        <v>0</v>
      </c>
      <c r="N536" s="10" t="n">
        <f aca="false">IFERROR(VALUE(SUBSTITUTE(SUBSTITUTE(Raw_Donors!M536,"$",""),",","")),0)</f>
        <v>0</v>
      </c>
      <c r="O536" s="10" t="n">
        <f aca="false">IFERROR(VALUE(SUBSTITUTE(SUBSTITUTE(Raw_Donors!N536,"$",""),",","")),0)</f>
        <v>0</v>
      </c>
      <c r="P536" s="10" t="n">
        <f aca="false">IFERROR(VALUE(SUBSTITUTE(SUBSTITUTE(Raw_Donors!O536,"$",""),",","")),0)</f>
        <v>0</v>
      </c>
      <c r="Q536" s="10" t="n">
        <f aca="false">IFERROR(VALUE(SUBSTITUTE(SUBSTITUTE(Raw_Donors!P536,"$",""),",","")),0)</f>
        <v>1</v>
      </c>
      <c r="R536" s="10" t="n">
        <f aca="false">Raw_Donors!Q536</f>
        <v>1</v>
      </c>
      <c r="S536" s="9" t="str">
        <f aca="false">Raw_Donors!R536</f>
        <v>Y</v>
      </c>
      <c r="T536" s="9" t="str">
        <f aca="false">IF(Raw_Donors!S536="","",Raw_Donors!S536)</f>
        <v>1985-05-13</v>
      </c>
      <c r="U536" s="9" t="str">
        <f aca="false">IF(AND((O536+P536)&gt;0,Q536=0),"Lapsed - Follow Up","")</f>
        <v/>
      </c>
      <c r="V536" s="9" t="n">
        <f aca="false">RANK(R536,$R$2:$R$759)+COUNTIF($R$2:R536,R536)-1</f>
        <v>550</v>
      </c>
      <c r="W536" s="9" t="str">
        <f aca="false">IF(U536="Lapsed - Follow Up",COUNTIF($U$2:U536,"Lapsed - Follow Up"),"")</f>
        <v/>
      </c>
    </row>
    <row r="537" customFormat="false" ht="15" hidden="false" customHeight="true" outlineLevel="0" collapsed="false">
      <c r="A537" s="9" t="str">
        <f aca="false">Raw_Donors!A537</f>
        <v>D1535</v>
      </c>
      <c r="B537" s="9" t="str">
        <f aca="false">IF(ISNUMBER(SEARCH("-DUP",A537)),"Duplicate ID","")</f>
        <v/>
      </c>
      <c r="C537" s="9" t="n">
        <f aca="false">Raw_Donors!B537</f>
        <v>32756</v>
      </c>
      <c r="D537" s="9" t="n">
        <f aca="false">Raw_Donors!C537</f>
        <v>0</v>
      </c>
      <c r="E537" s="9" t="str">
        <f aca="false">IFERROR(IF(Raw_Donors!D537="","Unknown",Raw_Donors!D537),"Unknown")</f>
        <v>Married</v>
      </c>
      <c r="F537" s="9" t="str">
        <f aca="false">IFERROR(IF(Raw_Donors!E537="","Unknown",Raw_Donors!E537),"Unknown")</f>
        <v>Female</v>
      </c>
      <c r="G537" s="9" t="str">
        <f aca="false">PROPER(TRIM(Raw_Donors!F537))</f>
        <v>Family Donor</v>
      </c>
      <c r="H537" s="9" t="str">
        <f aca="false">IFERROR(IF(Raw_Donors!G537="","N",Raw_Donors!G537),"N")</f>
        <v>N</v>
      </c>
      <c r="I537" s="9" t="str">
        <f aca="false">IF(Raw_Donors!H537="","Not Rated",Raw_Donors!H537)</f>
        <v>Not Rated</v>
      </c>
      <c r="J537" s="9" t="str">
        <f aca="false">IF(TRIM(Raw_Donors!I537)="","Unknown",TRIM(Raw_Donors!I537))</f>
        <v>HOME</v>
      </c>
      <c r="K537" s="9" t="str">
        <f aca="false">Raw_Donors!J537</f>
        <v>N</v>
      </c>
      <c r="L537" s="9" t="n">
        <f aca="false">Raw_Donors!K537</f>
        <v>0</v>
      </c>
      <c r="M537" s="10" t="n">
        <f aca="false">IFERROR(VALUE(SUBSTITUTE(SUBSTITUTE(Raw_Donors!L537,"$",""),",","")),0)</f>
        <v>0</v>
      </c>
      <c r="N537" s="10" t="n">
        <f aca="false">IFERROR(VALUE(SUBSTITUTE(SUBSTITUTE(Raw_Donors!M537,"$",""),",","")),0)</f>
        <v>0</v>
      </c>
      <c r="O537" s="10" t="n">
        <f aca="false">IFERROR(VALUE(SUBSTITUTE(SUBSTITUTE(Raw_Donors!N537,"$",""),",","")),0)</f>
        <v>0</v>
      </c>
      <c r="P537" s="10" t="n">
        <f aca="false">IFERROR(VALUE(SUBSTITUTE(SUBSTITUTE(Raw_Donors!O537,"$",""),",","")),0)</f>
        <v>0</v>
      </c>
      <c r="Q537" s="10" t="n">
        <f aca="false">IFERROR(VALUE(SUBSTITUTE(SUBSTITUTE(Raw_Donors!P537,"$",""),",","")),0)</f>
        <v>0</v>
      </c>
      <c r="R537" s="10" t="n">
        <f aca="false">Raw_Donors!Q537</f>
        <v>0</v>
      </c>
      <c r="S537" s="9" t="str">
        <f aca="false">Raw_Donors!R537</f>
        <v>N</v>
      </c>
      <c r="T537" s="9" t="str">
        <f aca="false">IF(Raw_Donors!S537="","",Raw_Donors!S537)</f>
        <v/>
      </c>
      <c r="U537" s="9" t="str">
        <f aca="false">IF(AND((O537+P537)&gt;0,Q537=0),"Lapsed - Follow Up","")</f>
        <v/>
      </c>
      <c r="V537" s="9" t="n">
        <f aca="false">RANK(R537,$R$2:$R$759)+COUNTIF($R$2:R537,R537)-1</f>
        <v>696</v>
      </c>
      <c r="W537" s="9" t="str">
        <f aca="false">IF(U537="Lapsed - Follow Up",COUNTIF($U$2:U537,"Lapsed - Follow Up"),"")</f>
        <v/>
      </c>
    </row>
    <row r="538" customFormat="false" ht="15" hidden="false" customHeight="true" outlineLevel="0" collapsed="false">
      <c r="A538" s="9" t="str">
        <f aca="false">Raw_Donors!A538</f>
        <v>D1536</v>
      </c>
      <c r="B538" s="9" t="str">
        <f aca="false">IF(ISNUMBER(SEARCH("-DUP",A538)),"Duplicate ID","")</f>
        <v/>
      </c>
      <c r="C538" s="9" t="n">
        <f aca="false">Raw_Donors!B538</f>
        <v>65626</v>
      </c>
      <c r="D538" s="9" t="n">
        <f aca="false">Raw_Donors!C538</f>
        <v>35</v>
      </c>
      <c r="E538" s="9" t="str">
        <f aca="false">IFERROR(IF(Raw_Donors!D538="","Unknown",Raw_Donors!D538),"Unknown")</f>
        <v>Unknown</v>
      </c>
      <c r="F538" s="9" t="str">
        <f aca="false">IFERROR(IF(Raw_Donors!E538="","Unknown",Raw_Donors!E538),"Unknown")</f>
        <v>Male</v>
      </c>
      <c r="G538" s="9" t="str">
        <f aca="false">PROPER(TRIM(Raw_Donors!F538))</f>
        <v>Community Partner</v>
      </c>
      <c r="H538" s="9" t="str">
        <f aca="false">IFERROR(IF(Raw_Donors!G538="","N",Raw_Donors!G538),"N")</f>
        <v>Y</v>
      </c>
      <c r="I538" s="9" t="str">
        <f aca="false">IF(Raw_Donors!H538="","Not Rated",Raw_Donors!H538)</f>
        <v>Not Rated</v>
      </c>
      <c r="J538" s="9" t="str">
        <f aca="false">IF(TRIM(Raw_Donors!I538)="","Unknown",TRIM(Raw_Donors!I538))</f>
        <v>HOME</v>
      </c>
      <c r="K538" s="9" t="str">
        <f aca="false">Raw_Donors!J538</f>
        <v>Y</v>
      </c>
      <c r="L538" s="9" t="n">
        <f aca="false">Raw_Donors!K538</f>
        <v>1</v>
      </c>
      <c r="M538" s="10" t="n">
        <f aca="false">IFERROR(VALUE(SUBSTITUTE(SUBSTITUTE(Raw_Donors!L538,"$",""),",","")),0)</f>
        <v>0</v>
      </c>
      <c r="N538" s="10" t="n">
        <f aca="false">IFERROR(VALUE(SUBSTITUTE(SUBSTITUTE(Raw_Donors!M538,"$",""),",","")),0)</f>
        <v>0</v>
      </c>
      <c r="O538" s="10" t="n">
        <f aca="false">IFERROR(VALUE(SUBSTITUTE(SUBSTITUTE(Raw_Donors!N538,"$",""),",","")),0)</f>
        <v>0</v>
      </c>
      <c r="P538" s="10" t="n">
        <f aca="false">IFERROR(VALUE(SUBSTITUTE(SUBSTITUTE(Raw_Donors!O538,"$",""),",","")),0)</f>
        <v>0</v>
      </c>
      <c r="Q538" s="10" t="n">
        <f aca="false">IFERROR(VALUE(SUBSTITUTE(SUBSTITUTE(Raw_Donors!P538,"$",""),",","")),0)</f>
        <v>0</v>
      </c>
      <c r="R538" s="10" t="n">
        <f aca="false">Raw_Donors!Q538</f>
        <v>0</v>
      </c>
      <c r="S538" s="9" t="str">
        <f aca="false">Raw_Donors!R538</f>
        <v>N</v>
      </c>
      <c r="T538" s="9" t="str">
        <f aca="false">IF(Raw_Donors!S538="","",Raw_Donors!S538)</f>
        <v>1982-05-10</v>
      </c>
      <c r="U538" s="9" t="str">
        <f aca="false">IF(AND((O538+P538)&gt;0,Q538=0),"Lapsed - Follow Up","")</f>
        <v/>
      </c>
      <c r="V538" s="9" t="n">
        <f aca="false">RANK(R538,$R$2:$R$759)+COUNTIF($R$2:R538,R538)-1</f>
        <v>697</v>
      </c>
      <c r="W538" s="9" t="str">
        <f aca="false">IF(U538="Lapsed - Follow Up",COUNTIF($U$2:U538,"Lapsed - Follow Up"),"")</f>
        <v/>
      </c>
    </row>
    <row r="539" customFormat="false" ht="15" hidden="false" customHeight="true" outlineLevel="0" collapsed="false">
      <c r="A539" s="9" t="str">
        <f aca="false">Raw_Donors!A539</f>
        <v>D1537</v>
      </c>
      <c r="B539" s="9" t="str">
        <f aca="false">IF(ISNUMBER(SEARCH("-DUP",A539)),"Duplicate ID","")</f>
        <v/>
      </c>
      <c r="C539" s="9" t="n">
        <f aca="false">Raw_Donors!B539</f>
        <v>99505</v>
      </c>
      <c r="D539" s="9" t="n">
        <f aca="false">Raw_Donors!C539</f>
        <v>0</v>
      </c>
      <c r="E539" s="9" t="str">
        <f aca="false">IFERROR(IF(Raw_Donors!D539="","Unknown",Raw_Donors!D539),"Unknown")</f>
        <v>Unknown</v>
      </c>
      <c r="F539" s="9" t="str">
        <f aca="false">IFERROR(IF(Raw_Donors!E539="","Unknown",Raw_Donors!E539),"Unknown")</f>
        <v>Female</v>
      </c>
      <c r="G539" s="9" t="str">
        <f aca="false">PROPER(TRIM(Raw_Donors!F539))</f>
        <v>Individual Donor</v>
      </c>
      <c r="H539" s="9" t="str">
        <f aca="false">IFERROR(IF(Raw_Donors!G539="","N",Raw_Donors!G539),"N")</f>
        <v>N</v>
      </c>
      <c r="I539" s="9" t="str">
        <f aca="false">IF(Raw_Donors!H539="","Not Rated",Raw_Donors!H539)</f>
        <v>Not Rated</v>
      </c>
      <c r="J539" s="9" t="str">
        <f aca="false">IF(TRIM(Raw_Donors!I539)="","Unknown",TRIM(Raw_Donors!I539))</f>
        <v>HOME</v>
      </c>
      <c r="K539" s="9" t="str">
        <f aca="false">Raw_Donors!J539</f>
        <v>N</v>
      </c>
      <c r="L539" s="9" t="n">
        <f aca="false">Raw_Donors!K539</f>
        <v>1</v>
      </c>
      <c r="M539" s="10" t="n">
        <f aca="false">IFERROR(VALUE(SUBSTITUTE(SUBSTITUTE(Raw_Donors!L539,"$",""),",","")),0)</f>
        <v>0</v>
      </c>
      <c r="N539" s="10" t="n">
        <f aca="false">IFERROR(VALUE(SUBSTITUTE(SUBSTITUTE(Raw_Donors!M539,"$",""),",","")),0)</f>
        <v>0</v>
      </c>
      <c r="O539" s="10" t="n">
        <f aca="false">IFERROR(VALUE(SUBSTITUTE(SUBSTITUTE(Raw_Donors!N539,"$",""),",","")),0)</f>
        <v>0</v>
      </c>
      <c r="P539" s="10" t="n">
        <f aca="false">IFERROR(VALUE(SUBSTITUTE(SUBSTITUTE(Raw_Donors!O539,"$",""),",","")),0)</f>
        <v>0</v>
      </c>
      <c r="Q539" s="10" t="n">
        <f aca="false">IFERROR(VALUE(SUBSTITUTE(SUBSTITUTE(Raw_Donors!P539,"$",""),",","")),0)</f>
        <v>0</v>
      </c>
      <c r="R539" s="10" t="n">
        <f aca="false">Raw_Donors!Q539</f>
        <v>110</v>
      </c>
      <c r="S539" s="9" t="str">
        <f aca="false">Raw_Donors!R539</f>
        <v>Y</v>
      </c>
      <c r="T539" s="9" t="str">
        <f aca="false">IF(Raw_Donors!S539="","",Raw_Donors!S539)</f>
        <v/>
      </c>
      <c r="U539" s="9" t="str">
        <f aca="false">IF(AND((O539+P539)&gt;0,Q539=0),"Lapsed - Follow Up","")</f>
        <v/>
      </c>
      <c r="V539" s="9" t="n">
        <f aca="false">RANK(R539,$R$2:$R$759)+COUNTIF($R$2:R539,R539)-1</f>
        <v>263</v>
      </c>
      <c r="W539" s="9" t="str">
        <f aca="false">IF(U539="Lapsed - Follow Up",COUNTIF($U$2:U539,"Lapsed - Follow Up"),"")</f>
        <v/>
      </c>
    </row>
    <row r="540" customFormat="false" ht="15" hidden="false" customHeight="true" outlineLevel="0" collapsed="false">
      <c r="A540" s="9" t="str">
        <f aca="false">Raw_Donors!A540</f>
        <v>D1538</v>
      </c>
      <c r="B540" s="9" t="str">
        <f aca="false">IF(ISNUMBER(SEARCH("-DUP",A540)),"Duplicate ID","")</f>
        <v/>
      </c>
      <c r="C540" s="9" t="n">
        <f aca="false">Raw_Donors!B540</f>
        <v>90265</v>
      </c>
      <c r="D540" s="9" t="n">
        <f aca="false">Raw_Donors!C540</f>
        <v>0</v>
      </c>
      <c r="E540" s="9" t="str">
        <f aca="false">IFERROR(IF(Raw_Donors!D540="","Unknown",Raw_Donors!D540),"Unknown")</f>
        <v>Unknown</v>
      </c>
      <c r="F540" s="9" t="str">
        <f aca="false">IFERROR(IF(Raw_Donors!E540="","Unknown",Raw_Donors!E540),"Unknown")</f>
        <v>Female</v>
      </c>
      <c r="G540" s="9" t="str">
        <f aca="false">PROPER(TRIM(Raw_Donors!F540))</f>
        <v>Individual Donor</v>
      </c>
      <c r="H540" s="9" t="str">
        <f aca="false">IFERROR(IF(Raw_Donors!G540="","N",Raw_Donors!G540),"N")</f>
        <v>N</v>
      </c>
      <c r="I540" s="9" t="str">
        <f aca="false">IF(Raw_Donors!H540="","Not Rated",Raw_Donors!H540)</f>
        <v>Not Rated</v>
      </c>
      <c r="J540" s="9" t="str">
        <f aca="false">IF(TRIM(Raw_Donors!I540)="","Unknown",TRIM(Raw_Donors!I540))</f>
        <v>HOME</v>
      </c>
      <c r="K540" s="9" t="str">
        <f aca="false">Raw_Donors!J540</f>
        <v>N</v>
      </c>
      <c r="L540" s="9" t="n">
        <f aca="false">Raw_Donors!K540</f>
        <v>1</v>
      </c>
      <c r="M540" s="10" t="n">
        <f aca="false">IFERROR(VALUE(SUBSTITUTE(SUBSTITUTE(Raw_Donors!L540,"$",""),",","")),0)</f>
        <v>0</v>
      </c>
      <c r="N540" s="10" t="n">
        <f aca="false">IFERROR(VALUE(SUBSTITUTE(SUBSTITUTE(Raw_Donors!M540,"$",""),",","")),0)</f>
        <v>0</v>
      </c>
      <c r="O540" s="10" t="n">
        <f aca="false">IFERROR(VALUE(SUBSTITUTE(SUBSTITUTE(Raw_Donors!N540,"$",""),",","")),0)</f>
        <v>0</v>
      </c>
      <c r="P540" s="10" t="n">
        <f aca="false">IFERROR(VALUE(SUBSTITUTE(SUBSTITUTE(Raw_Donors!O540,"$",""),",","")),0)</f>
        <v>0</v>
      </c>
      <c r="Q540" s="10" t="n">
        <f aca="false">IFERROR(VALUE(SUBSTITUTE(SUBSTITUTE(Raw_Donors!P540,"$",""),",","")),0)</f>
        <v>0</v>
      </c>
      <c r="R540" s="10" t="n">
        <f aca="false">Raw_Donors!Q540</f>
        <v>0</v>
      </c>
      <c r="S540" s="9" t="str">
        <f aca="false">Raw_Donors!R540</f>
        <v>N</v>
      </c>
      <c r="T540" s="9" t="str">
        <f aca="false">IF(Raw_Donors!S540="","",Raw_Donors!S540)</f>
        <v/>
      </c>
      <c r="U540" s="9" t="str">
        <f aca="false">IF(AND((O540+P540)&gt;0,Q540=0),"Lapsed - Follow Up","")</f>
        <v/>
      </c>
      <c r="V540" s="9" t="n">
        <f aca="false">RANK(R540,$R$2:$R$759)+COUNTIF($R$2:R540,R540)-1</f>
        <v>698</v>
      </c>
      <c r="W540" s="9" t="str">
        <f aca="false">IF(U540="Lapsed - Follow Up",COUNTIF($U$2:U540,"Lapsed - Follow Up"),"")</f>
        <v/>
      </c>
    </row>
    <row r="541" customFormat="false" ht="15" hidden="false" customHeight="true" outlineLevel="0" collapsed="false">
      <c r="A541" s="9" t="str">
        <f aca="false">Raw_Donors!A541</f>
        <v>D1539</v>
      </c>
      <c r="B541" s="9" t="str">
        <f aca="false">IF(ISNUMBER(SEARCH("-DUP",A541)),"Duplicate ID","")</f>
        <v/>
      </c>
      <c r="C541" s="9" t="n">
        <f aca="false">Raw_Donors!B541</f>
        <v>2462</v>
      </c>
      <c r="D541" s="9" t="n">
        <f aca="false">Raw_Donors!C541</f>
        <v>0</v>
      </c>
      <c r="E541" s="9" t="str">
        <f aca="false">IFERROR(IF(Raw_Donors!D541="","Unknown",Raw_Donors!D541),"Unknown")</f>
        <v>Unknown</v>
      </c>
      <c r="F541" s="9" t="str">
        <f aca="false">IFERROR(IF(Raw_Donors!E541="","Unknown",Raw_Donors!E541),"Unknown")</f>
        <v>Male</v>
      </c>
      <c r="G541" s="9" t="str">
        <f aca="false">PROPER(TRIM(Raw_Donors!F541))</f>
        <v>Community Partner</v>
      </c>
      <c r="H541" s="9" t="str">
        <f aca="false">IFERROR(IF(Raw_Donors!G541="","N",Raw_Donors!G541),"N")</f>
        <v>N</v>
      </c>
      <c r="I541" s="9" t="str">
        <f aca="false">IF(Raw_Donors!H541="","Not Rated",Raw_Donors!H541)</f>
        <v>Not Rated</v>
      </c>
      <c r="J541" s="9" t="str">
        <f aca="false">IF(TRIM(Raw_Donors!I541)="","Unknown",TRIM(Raw_Donors!I541))</f>
        <v>HOME</v>
      </c>
      <c r="K541" s="9" t="str">
        <f aca="false">Raw_Donors!J541</f>
        <v>N</v>
      </c>
      <c r="L541" s="9" t="n">
        <f aca="false">Raw_Donors!K541</f>
        <v>1</v>
      </c>
      <c r="M541" s="10" t="n">
        <f aca="false">IFERROR(VALUE(SUBSTITUTE(SUBSTITUTE(Raw_Donors!L541,"$",""),",","")),0)</f>
        <v>0</v>
      </c>
      <c r="N541" s="10" t="n">
        <f aca="false">IFERROR(VALUE(SUBSTITUTE(SUBSTITUTE(Raw_Donors!M541,"$",""),",","")),0)</f>
        <v>0</v>
      </c>
      <c r="O541" s="10" t="n">
        <f aca="false">IFERROR(VALUE(SUBSTITUTE(SUBSTITUTE(Raw_Donors!N541,"$",""),",","")),0)</f>
        <v>0</v>
      </c>
      <c r="P541" s="10" t="n">
        <f aca="false">IFERROR(VALUE(SUBSTITUTE(SUBSTITUTE(Raw_Donors!O541,"$",""),",","")),0)</f>
        <v>0</v>
      </c>
      <c r="Q541" s="10" t="n">
        <f aca="false">IFERROR(VALUE(SUBSTITUTE(SUBSTITUTE(Raw_Donors!P541,"$",""),",","")),0)</f>
        <v>0</v>
      </c>
      <c r="R541" s="10" t="n">
        <f aca="false">Raw_Donors!Q541</f>
        <v>0</v>
      </c>
      <c r="S541" s="9" t="str">
        <f aca="false">Raw_Donors!R541</f>
        <v>N</v>
      </c>
      <c r="T541" s="9" t="str">
        <f aca="false">IF(Raw_Donors!S541="","",Raw_Donors!S541)</f>
        <v/>
      </c>
      <c r="U541" s="9" t="str">
        <f aca="false">IF(AND((O541+P541)&gt;0,Q541=0),"Lapsed - Follow Up","")</f>
        <v/>
      </c>
      <c r="V541" s="9" t="n">
        <f aca="false">RANK(R541,$R$2:$R$759)+COUNTIF($R$2:R541,R541)-1</f>
        <v>699</v>
      </c>
      <c r="W541" s="9" t="str">
        <f aca="false">IF(U541="Lapsed - Follow Up",COUNTIF($U$2:U541,"Lapsed - Follow Up"),"")</f>
        <v/>
      </c>
    </row>
    <row r="542" customFormat="false" ht="15" hidden="false" customHeight="true" outlineLevel="0" collapsed="false">
      <c r="A542" s="9" t="str">
        <f aca="false">Raw_Donors!A542</f>
        <v>D1540</v>
      </c>
      <c r="B542" s="9" t="str">
        <f aca="false">IF(ISNUMBER(SEARCH("-DUP",A542)),"Duplicate ID","")</f>
        <v/>
      </c>
      <c r="C542" s="9" t="n">
        <f aca="false">Raw_Donors!B542</f>
        <v>90265</v>
      </c>
      <c r="D542" s="9" t="n">
        <f aca="false">Raw_Donors!C542</f>
        <v>0</v>
      </c>
      <c r="E542" s="9" t="str">
        <f aca="false">IFERROR(IF(Raw_Donors!D542="","Unknown",Raw_Donors!D542),"Unknown")</f>
        <v>Unknown</v>
      </c>
      <c r="F542" s="9" t="str">
        <f aca="false">IFERROR(IF(Raw_Donors!E542="","Unknown",Raw_Donors!E542),"Unknown")</f>
        <v>Unknown</v>
      </c>
      <c r="G542" s="9" t="str">
        <f aca="false">PROPER(TRIM(Raw_Donors!F542))</f>
        <v>Individual Donor</v>
      </c>
      <c r="H542" s="9" t="str">
        <f aca="false">IFERROR(IF(Raw_Donors!G542="","N",Raw_Donors!G542),"N")</f>
        <v>N</v>
      </c>
      <c r="I542" s="9" t="str">
        <f aca="false">IF(Raw_Donors!H542="","Not Rated",Raw_Donors!H542)</f>
        <v>Not Rated</v>
      </c>
      <c r="J542" s="9" t="str">
        <f aca="false">IF(TRIM(Raw_Donors!I542)="","Unknown",TRIM(Raw_Donors!I542))</f>
        <v>HOME</v>
      </c>
      <c r="K542" s="9" t="str">
        <f aca="false">Raw_Donors!J542</f>
        <v>Y</v>
      </c>
      <c r="L542" s="9" t="n">
        <f aca="false">Raw_Donors!K542</f>
        <v>0</v>
      </c>
      <c r="M542" s="10" t="n">
        <f aca="false">IFERROR(VALUE(SUBSTITUTE(SUBSTITUTE(Raw_Donors!L542,"$",""),",","")),0)</f>
        <v>0</v>
      </c>
      <c r="N542" s="10" t="n">
        <f aca="false">IFERROR(VALUE(SUBSTITUTE(SUBSTITUTE(Raw_Donors!M542,"$",""),",","")),0)</f>
        <v>0</v>
      </c>
      <c r="O542" s="10" t="n">
        <f aca="false">IFERROR(VALUE(SUBSTITUTE(SUBSTITUTE(Raw_Donors!N542,"$",""),",","")),0)</f>
        <v>0</v>
      </c>
      <c r="P542" s="10" t="n">
        <f aca="false">IFERROR(VALUE(SUBSTITUTE(SUBSTITUTE(Raw_Donors!O542,"$",""),",","")),0)</f>
        <v>0</v>
      </c>
      <c r="Q542" s="10" t="n">
        <f aca="false">IFERROR(VALUE(SUBSTITUTE(SUBSTITUTE(Raw_Donors!P542,"$",""),",","")),0)</f>
        <v>0</v>
      </c>
      <c r="R542" s="10" t="n">
        <f aca="false">Raw_Donors!Q542</f>
        <v>358</v>
      </c>
      <c r="S542" s="9" t="str">
        <f aca="false">Raw_Donors!R542</f>
        <v>Y</v>
      </c>
      <c r="T542" s="9" t="str">
        <f aca="false">IF(Raw_Donors!S542="","",Raw_Donors!S542)</f>
        <v/>
      </c>
      <c r="U542" s="9" t="str">
        <f aca="false">IF(AND((O542+P542)&gt;0,Q542=0),"Lapsed - Follow Up","")</f>
        <v/>
      </c>
      <c r="V542" s="9" t="n">
        <f aca="false">RANK(R542,$R$2:$R$759)+COUNTIF($R$2:R542,R542)-1</f>
        <v>122</v>
      </c>
      <c r="W542" s="9" t="str">
        <f aca="false">IF(U542="Lapsed - Follow Up",COUNTIF($U$2:U542,"Lapsed - Follow Up"),"")</f>
        <v/>
      </c>
    </row>
    <row r="543" customFormat="false" ht="15" hidden="false" customHeight="true" outlineLevel="0" collapsed="false">
      <c r="A543" s="9" t="str">
        <f aca="false">Raw_Donors!A543</f>
        <v>D1541</v>
      </c>
      <c r="B543" s="9" t="str">
        <f aca="false">IF(ISNUMBER(SEARCH("-DUP",A543)),"Duplicate ID","")</f>
        <v/>
      </c>
      <c r="C543" s="9" t="n">
        <f aca="false">Raw_Donors!B543</f>
        <v>90265</v>
      </c>
      <c r="D543" s="9" t="n">
        <f aca="false">Raw_Donors!C543</f>
        <v>0</v>
      </c>
      <c r="E543" s="9" t="str">
        <f aca="false">IFERROR(IF(Raw_Donors!D543="","Unknown",Raw_Donors!D543),"Unknown")</f>
        <v>Unknown</v>
      </c>
      <c r="F543" s="9" t="str">
        <f aca="false">IFERROR(IF(Raw_Donors!E543="","Unknown",Raw_Donors!E543),"Unknown")</f>
        <v>Female</v>
      </c>
      <c r="G543" s="9" t="str">
        <f aca="false">PROPER(TRIM(Raw_Donors!F543))</f>
        <v>Community Partner</v>
      </c>
      <c r="H543" s="9" t="str">
        <f aca="false">IFERROR(IF(Raw_Donors!G543="","N",Raw_Donors!G543),"N")</f>
        <v>Y</v>
      </c>
      <c r="I543" s="9" t="str">
        <f aca="false">IF(Raw_Donors!H543="","Not Rated",Raw_Donors!H543)</f>
        <v>Not Rated</v>
      </c>
      <c r="J543" s="9" t="str">
        <f aca="false">IF(TRIM(Raw_Donors!I543)="","Unknown",TRIM(Raw_Donors!I543))</f>
        <v>HOME</v>
      </c>
      <c r="K543" s="9" t="str">
        <f aca="false">Raw_Donors!J543</f>
        <v>N</v>
      </c>
      <c r="L543" s="9" t="n">
        <f aca="false">Raw_Donors!K543</f>
        <v>0</v>
      </c>
      <c r="M543" s="10" t="n">
        <f aca="false">IFERROR(VALUE(SUBSTITUTE(SUBSTITUTE(Raw_Donors!L543,"$",""),",","")),0)</f>
        <v>0</v>
      </c>
      <c r="N543" s="10" t="n">
        <f aca="false">IFERROR(VALUE(SUBSTITUTE(SUBSTITUTE(Raw_Donors!M543,"$",""),",","")),0)</f>
        <v>0</v>
      </c>
      <c r="O543" s="10" t="n">
        <f aca="false">IFERROR(VALUE(SUBSTITUTE(SUBSTITUTE(Raw_Donors!N543,"$",""),",","")),0)</f>
        <v>0</v>
      </c>
      <c r="P543" s="10" t="n">
        <f aca="false">IFERROR(VALUE(SUBSTITUTE(SUBSTITUTE(Raw_Donors!O543,"$",""),",","")),0)</f>
        <v>0</v>
      </c>
      <c r="Q543" s="10" t="n">
        <f aca="false">IFERROR(VALUE(SUBSTITUTE(SUBSTITUTE(Raw_Donors!P543,"$",""),",","")),0)</f>
        <v>0</v>
      </c>
      <c r="R543" s="10" t="n">
        <f aca="false">Raw_Donors!Q543</f>
        <v>0</v>
      </c>
      <c r="S543" s="9" t="str">
        <f aca="false">Raw_Donors!R543</f>
        <v>N</v>
      </c>
      <c r="T543" s="9" t="str">
        <f aca="false">IF(Raw_Donors!S543="","",Raw_Donors!S543)</f>
        <v/>
      </c>
      <c r="U543" s="9" t="str">
        <f aca="false">IF(AND((O543+P543)&gt;0,Q543=0),"Lapsed - Follow Up","")</f>
        <v/>
      </c>
      <c r="V543" s="9" t="n">
        <f aca="false">RANK(R543,$R$2:$R$759)+COUNTIF($R$2:R543,R543)-1</f>
        <v>700</v>
      </c>
      <c r="W543" s="9" t="str">
        <f aca="false">IF(U543="Lapsed - Follow Up",COUNTIF($U$2:U543,"Lapsed - Follow Up"),"")</f>
        <v/>
      </c>
    </row>
    <row r="544" customFormat="false" ht="15" hidden="false" customHeight="true" outlineLevel="0" collapsed="false">
      <c r="A544" s="9" t="str">
        <f aca="false">Raw_Donors!A544</f>
        <v>D1542</v>
      </c>
      <c r="B544" s="9" t="str">
        <f aca="false">IF(ISNUMBER(SEARCH("-DUP",A544)),"Duplicate ID","")</f>
        <v/>
      </c>
      <c r="C544" s="9" t="n">
        <f aca="false">Raw_Donors!B544</f>
        <v>81149</v>
      </c>
      <c r="D544" s="9" t="n">
        <f aca="false">Raw_Donors!C544</f>
        <v>0</v>
      </c>
      <c r="E544" s="9" t="str">
        <f aca="false">IFERROR(IF(Raw_Donors!D544="","Unknown",Raw_Donors!D544),"Unknown")</f>
        <v>Married</v>
      </c>
      <c r="F544" s="9" t="str">
        <f aca="false">IFERROR(IF(Raw_Donors!E544="","Unknown",Raw_Donors!E544),"Unknown")</f>
        <v>Male</v>
      </c>
      <c r="G544" s="9" t="str">
        <f aca="false">PROPER(TRIM(Raw_Donors!F544))</f>
        <v>Family Donor</v>
      </c>
      <c r="H544" s="9" t="str">
        <f aca="false">IFERROR(IF(Raw_Donors!G544="","N",Raw_Donors!G544),"N")</f>
        <v>N</v>
      </c>
      <c r="I544" s="9" t="str">
        <f aca="false">IF(Raw_Donors!H544="","Not Rated",Raw_Donors!H544)</f>
        <v>Not Rated</v>
      </c>
      <c r="J544" s="9" t="str">
        <f aca="false">IF(TRIM(Raw_Donors!I544)="","Unknown",TRIM(Raw_Donors!I544))</f>
        <v>HOME</v>
      </c>
      <c r="K544" s="9" t="str">
        <f aca="false">Raw_Donors!J544</f>
        <v>N</v>
      </c>
      <c r="L544" s="9" t="n">
        <f aca="false">Raw_Donors!K544</f>
        <v>0</v>
      </c>
      <c r="M544" s="10" t="n">
        <f aca="false">IFERROR(VALUE(SUBSTITUTE(SUBSTITUTE(Raw_Donors!L544,"$",""),",","")),0)</f>
        <v>0</v>
      </c>
      <c r="N544" s="10" t="n">
        <f aca="false">IFERROR(VALUE(SUBSTITUTE(SUBSTITUTE(Raw_Donors!M544,"$",""),",","")),0)</f>
        <v>0</v>
      </c>
      <c r="O544" s="10" t="n">
        <f aca="false">IFERROR(VALUE(SUBSTITUTE(SUBSTITUTE(Raw_Donors!N544,"$",""),",","")),0)</f>
        <v>0</v>
      </c>
      <c r="P544" s="10" t="n">
        <f aca="false">IFERROR(VALUE(SUBSTITUTE(SUBSTITUTE(Raw_Donors!O544,"$",""),",","")),0)</f>
        <v>200</v>
      </c>
      <c r="Q544" s="10" t="n">
        <f aca="false">IFERROR(VALUE(SUBSTITUTE(SUBSTITUTE(Raw_Donors!P544,"$",""),",","")),0)</f>
        <v>0</v>
      </c>
      <c r="R544" s="10" t="n">
        <f aca="false">Raw_Donors!Q544</f>
        <v>264</v>
      </c>
      <c r="S544" s="9" t="str">
        <f aca="false">Raw_Donors!R544</f>
        <v>Y</v>
      </c>
      <c r="T544" s="9" t="str">
        <f aca="false">IF(Raw_Donors!S544="","",Raw_Donors!S544)</f>
        <v/>
      </c>
      <c r="U544" s="9" t="str">
        <f aca="false">IF(AND((O544+P544)&gt;0,Q544=0),"Lapsed - Follow Up","")</f>
        <v>Lapsed - Follow Up</v>
      </c>
      <c r="V544" s="9" t="n">
        <f aca="false">RANK(R544,$R$2:$R$759)+COUNTIF($R$2:R544,R544)-1</f>
        <v>158</v>
      </c>
      <c r="W544" s="9" t="n">
        <f aca="false">IF(U544="Lapsed - Follow Up",COUNTIF($U$2:U544,"Lapsed - Follow Up"),"")</f>
        <v>75</v>
      </c>
    </row>
    <row r="545" customFormat="false" ht="15" hidden="false" customHeight="true" outlineLevel="0" collapsed="false">
      <c r="A545" s="9" t="str">
        <f aca="false">Raw_Donors!A545</f>
        <v>D1543</v>
      </c>
      <c r="B545" s="9" t="str">
        <f aca="false">IF(ISNUMBER(SEARCH("-DUP",A545)),"Duplicate ID","")</f>
        <v/>
      </c>
      <c r="C545" s="9" t="n">
        <f aca="false">Raw_Donors!B545</f>
        <v>98817</v>
      </c>
      <c r="D545" s="9" t="n">
        <f aca="false">Raw_Donors!C545</f>
        <v>0</v>
      </c>
      <c r="E545" s="9" t="str">
        <f aca="false">IFERROR(IF(Raw_Donors!D545="","Unknown",Raw_Donors!D545),"Unknown")</f>
        <v>Unknown</v>
      </c>
      <c r="F545" s="9" t="str">
        <f aca="false">IFERROR(IF(Raw_Donors!E545="","Unknown",Raw_Donors!E545),"Unknown")</f>
        <v>Female</v>
      </c>
      <c r="G545" s="9" t="str">
        <f aca="false">PROPER(TRIM(Raw_Donors!F545))</f>
        <v>Individual Donor</v>
      </c>
      <c r="H545" s="9" t="str">
        <f aca="false">IFERROR(IF(Raw_Donors!G545="","N",Raw_Donors!G545),"N")</f>
        <v>Y</v>
      </c>
      <c r="I545" s="9" t="str">
        <f aca="false">IF(Raw_Donors!H545="","Not Rated",Raw_Donors!H545)</f>
        <v>Not Rated</v>
      </c>
      <c r="J545" s="9" t="str">
        <f aca="false">IF(TRIM(Raw_Donors!I545)="","Unknown",TRIM(Raw_Donors!I545))</f>
        <v>HOME</v>
      </c>
      <c r="K545" s="9" t="str">
        <f aca="false">Raw_Donors!J545</f>
        <v>N</v>
      </c>
      <c r="L545" s="9" t="n">
        <f aca="false">Raw_Donors!K545</f>
        <v>6</v>
      </c>
      <c r="M545" s="10" t="n">
        <f aca="false">IFERROR(VALUE(SUBSTITUTE(SUBSTITUTE(Raw_Donors!L545,"$",""),",","")),0)</f>
        <v>100</v>
      </c>
      <c r="N545" s="10" t="n">
        <f aca="false">IFERROR(VALUE(SUBSTITUTE(SUBSTITUTE(Raw_Donors!M545,"$",""),",","")),0)</f>
        <v>0</v>
      </c>
      <c r="O545" s="10" t="n">
        <f aca="false">IFERROR(VALUE(SUBSTITUTE(SUBSTITUTE(Raw_Donors!N545,"$",""),",","")),0)</f>
        <v>0</v>
      </c>
      <c r="P545" s="10" t="n">
        <f aca="false">IFERROR(VALUE(SUBSTITUTE(SUBSTITUTE(Raw_Donors!O545,"$",""),",","")),0)</f>
        <v>0</v>
      </c>
      <c r="Q545" s="10" t="n">
        <f aca="false">IFERROR(VALUE(SUBSTITUTE(SUBSTITUTE(Raw_Donors!P545,"$",""),",","")),0)</f>
        <v>0</v>
      </c>
      <c r="R545" s="10" t="n">
        <f aca="false">Raw_Donors!Q545</f>
        <v>100</v>
      </c>
      <c r="S545" s="9" t="str">
        <f aca="false">Raw_Donors!R545</f>
        <v>Y</v>
      </c>
      <c r="T545" s="9" t="str">
        <f aca="false">IF(Raw_Donors!S545="","",Raw_Donors!S545)</f>
        <v/>
      </c>
      <c r="U545" s="9" t="str">
        <f aca="false">IF(AND((O545+P545)&gt;0,Q545=0),"Lapsed - Follow Up","")</f>
        <v/>
      </c>
      <c r="V545" s="9" t="n">
        <f aca="false">RANK(R545,$R$2:$R$759)+COUNTIF($R$2:R545,R545)-1</f>
        <v>292</v>
      </c>
      <c r="W545" s="9" t="str">
        <f aca="false">IF(U545="Lapsed - Follow Up",COUNTIF($U$2:U545,"Lapsed - Follow Up"),"")</f>
        <v/>
      </c>
    </row>
    <row r="546" customFormat="false" ht="15" hidden="false" customHeight="true" outlineLevel="0" collapsed="false">
      <c r="A546" s="9" t="str">
        <f aca="false">Raw_Donors!A546</f>
        <v>D1544</v>
      </c>
      <c r="B546" s="9" t="str">
        <f aca="false">IF(ISNUMBER(SEARCH("-DUP",A546)),"Duplicate ID","")</f>
        <v/>
      </c>
      <c r="C546" s="9" t="n">
        <f aca="false">Raw_Donors!B546</f>
        <v>38379</v>
      </c>
      <c r="D546" s="9" t="n">
        <f aca="false">Raw_Donors!C546</f>
        <v>72</v>
      </c>
      <c r="E546" s="9" t="str">
        <f aca="false">IFERROR(IF(Raw_Donors!D546="","Unknown",Raw_Donors!D546),"Unknown")</f>
        <v>Single</v>
      </c>
      <c r="F546" s="9" t="str">
        <f aca="false">IFERROR(IF(Raw_Donors!E546="","Unknown",Raw_Donors!E546),"Unknown")</f>
        <v>Female</v>
      </c>
      <c r="G546" s="9" t="str">
        <f aca="false">PROPER(TRIM(Raw_Donors!F546))</f>
        <v>Community Partner</v>
      </c>
      <c r="H546" s="9" t="str">
        <f aca="false">IFERROR(IF(Raw_Donors!G546="","N",Raw_Donors!G546),"N")</f>
        <v>Y</v>
      </c>
      <c r="I546" s="9" t="str">
        <f aca="false">IF(Raw_Donors!H546="","Not Rated",Raw_Donors!H546)</f>
        <v>Not Rated</v>
      </c>
      <c r="J546" s="9" t="str">
        <f aca="false">IF(TRIM(Raw_Donors!I546)="","Unknown",TRIM(Raw_Donors!I546))</f>
        <v>HOME</v>
      </c>
      <c r="K546" s="9" t="str">
        <f aca="false">Raw_Donors!J546</f>
        <v>Y</v>
      </c>
      <c r="L546" s="9" t="n">
        <f aca="false">Raw_Donors!K546</f>
        <v>0</v>
      </c>
      <c r="M546" s="10" t="n">
        <f aca="false">IFERROR(VALUE(SUBSTITUTE(SUBSTITUTE(Raw_Donors!L546,"$",""),",","")),0)</f>
        <v>0</v>
      </c>
      <c r="N546" s="10" t="n">
        <f aca="false">IFERROR(VALUE(SUBSTITUTE(SUBSTITUTE(Raw_Donors!M546,"$",""),",","")),0)</f>
        <v>0</v>
      </c>
      <c r="O546" s="10" t="n">
        <f aca="false">IFERROR(VALUE(SUBSTITUTE(SUBSTITUTE(Raw_Donors!N546,"$",""),",","")),0)</f>
        <v>0</v>
      </c>
      <c r="P546" s="10" t="n">
        <f aca="false">IFERROR(VALUE(SUBSTITUTE(SUBSTITUTE(Raw_Donors!O546,"$",""),",","")),0)</f>
        <v>0</v>
      </c>
      <c r="Q546" s="10" t="n">
        <f aca="false">IFERROR(VALUE(SUBSTITUTE(SUBSTITUTE(Raw_Donors!P546,"$",""),",","")),0)</f>
        <v>0</v>
      </c>
      <c r="R546" s="10" t="n">
        <f aca="false">Raw_Donors!Q546</f>
        <v>552</v>
      </c>
      <c r="S546" s="9" t="str">
        <f aca="false">Raw_Donors!R546</f>
        <v>Y</v>
      </c>
      <c r="T546" s="9" t="str">
        <f aca="false">IF(Raw_Donors!S546="","",Raw_Donors!S546)</f>
        <v>1945-01-17</v>
      </c>
      <c r="U546" s="9" t="str">
        <f aca="false">IF(AND((O546+P546)&gt;0,Q546=0),"Lapsed - Follow Up","")</f>
        <v/>
      </c>
      <c r="V546" s="9" t="n">
        <f aca="false">RANK(R546,$R$2:$R$759)+COUNTIF($R$2:R546,R546)-1</f>
        <v>84</v>
      </c>
      <c r="W546" s="9" t="str">
        <f aca="false">IF(U546="Lapsed - Follow Up",COUNTIF($U$2:U546,"Lapsed - Follow Up"),"")</f>
        <v/>
      </c>
    </row>
    <row r="547" customFormat="false" ht="15" hidden="false" customHeight="true" outlineLevel="0" collapsed="false">
      <c r="A547" s="9" t="str">
        <f aca="false">Raw_Donors!A547</f>
        <v>D1545</v>
      </c>
      <c r="B547" s="9" t="str">
        <f aca="false">IF(ISNUMBER(SEARCH("-DUP",A547)),"Duplicate ID","")</f>
        <v/>
      </c>
      <c r="C547" s="9" t="n">
        <f aca="false">Raw_Donors!B547</f>
        <v>70558</v>
      </c>
      <c r="D547" s="9" t="n">
        <f aca="false">Raw_Donors!C547</f>
        <v>32</v>
      </c>
      <c r="E547" s="9" t="str">
        <f aca="false">IFERROR(IF(Raw_Donors!D547="","Unknown",Raw_Donors!D547),"Unknown")</f>
        <v>Unknown</v>
      </c>
      <c r="F547" s="9" t="str">
        <f aca="false">IFERROR(IF(Raw_Donors!E547="","Unknown",Raw_Donors!E547),"Unknown")</f>
        <v>Female</v>
      </c>
      <c r="G547" s="9" t="str">
        <f aca="false">PROPER(TRIM(Raw_Donors!F547))</f>
        <v>Individual Donor</v>
      </c>
      <c r="H547" s="9" t="str">
        <f aca="false">IFERROR(IF(Raw_Donors!G547="","N",Raw_Donors!G547),"N")</f>
        <v>N</v>
      </c>
      <c r="I547" s="9" t="str">
        <f aca="false">IF(Raw_Donors!H547="","Not Rated",Raw_Donors!H547)</f>
        <v>Not Rated</v>
      </c>
      <c r="J547" s="9" t="str">
        <f aca="false">IF(TRIM(Raw_Donors!I547)="","Unknown",TRIM(Raw_Donors!I547))</f>
        <v>HOME</v>
      </c>
      <c r="K547" s="9" t="str">
        <f aca="false">Raw_Donors!J547</f>
        <v>N</v>
      </c>
      <c r="L547" s="9" t="n">
        <f aca="false">Raw_Donors!K547</f>
        <v>0</v>
      </c>
      <c r="M547" s="10" t="n">
        <f aca="false">IFERROR(VALUE(SUBSTITUTE(SUBSTITUTE(Raw_Donors!L547,"$",""),",","")),0)</f>
        <v>0</v>
      </c>
      <c r="N547" s="10" t="n">
        <f aca="false">IFERROR(VALUE(SUBSTITUTE(SUBSTITUTE(Raw_Donors!M547,"$",""),",","")),0)</f>
        <v>0</v>
      </c>
      <c r="O547" s="10" t="n">
        <f aca="false">IFERROR(VALUE(SUBSTITUTE(SUBSTITUTE(Raw_Donors!N547,"$",""),",","")),0)</f>
        <v>0</v>
      </c>
      <c r="P547" s="10" t="n">
        <f aca="false">IFERROR(VALUE(SUBSTITUTE(SUBSTITUTE(Raw_Donors!O547,"$",""),",","")),0)</f>
        <v>0</v>
      </c>
      <c r="Q547" s="10" t="n">
        <f aca="false">IFERROR(VALUE(SUBSTITUTE(SUBSTITUTE(Raw_Donors!P547,"$",""),",","")),0)</f>
        <v>0</v>
      </c>
      <c r="R547" s="10" t="n">
        <f aca="false">Raw_Donors!Q547</f>
        <v>0</v>
      </c>
      <c r="S547" s="9" t="str">
        <f aca="false">Raw_Donors!R547</f>
        <v>N</v>
      </c>
      <c r="T547" s="9" t="str">
        <f aca="false">IF(Raw_Donors!S547="","",Raw_Donors!S547)</f>
        <v>1985-03-19</v>
      </c>
      <c r="U547" s="9" t="str">
        <f aca="false">IF(AND((O547+P547)&gt;0,Q547=0),"Lapsed - Follow Up","")</f>
        <v/>
      </c>
      <c r="V547" s="9" t="n">
        <f aca="false">RANK(R547,$R$2:$R$759)+COUNTIF($R$2:R547,R547)-1</f>
        <v>701</v>
      </c>
      <c r="W547" s="9" t="str">
        <f aca="false">IF(U547="Lapsed - Follow Up",COUNTIF($U$2:U547,"Lapsed - Follow Up"),"")</f>
        <v/>
      </c>
    </row>
    <row r="548" customFormat="false" ht="15" hidden="false" customHeight="true" outlineLevel="0" collapsed="false">
      <c r="A548" s="9" t="str">
        <f aca="false">Raw_Donors!A548</f>
        <v>D1546</v>
      </c>
      <c r="B548" s="9" t="str">
        <f aca="false">IF(ISNUMBER(SEARCH("-DUP",A548)),"Duplicate ID","")</f>
        <v/>
      </c>
      <c r="C548" s="9" t="n">
        <f aca="false">Raw_Donors!B548</f>
        <v>61024</v>
      </c>
      <c r="D548" s="9" t="n">
        <f aca="false">Raw_Donors!C548</f>
        <v>0</v>
      </c>
      <c r="E548" s="9" t="str">
        <f aca="false">IFERROR(IF(Raw_Donors!D548="","Unknown",Raw_Donors!D548),"Unknown")</f>
        <v>Married</v>
      </c>
      <c r="F548" s="9" t="str">
        <f aca="false">IFERROR(IF(Raw_Donors!E548="","Unknown",Raw_Donors!E548),"Unknown")</f>
        <v>Female</v>
      </c>
      <c r="G548" s="9" t="str">
        <f aca="false">PROPER(TRIM(Raw_Donors!F548))</f>
        <v>Community Partner</v>
      </c>
      <c r="H548" s="9" t="str">
        <f aca="false">IFERROR(IF(Raw_Donors!G548="","N",Raw_Donors!G548),"N")</f>
        <v>N</v>
      </c>
      <c r="I548" s="9" t="str">
        <f aca="false">IF(Raw_Donors!H548="","Not Rated",Raw_Donors!H548)</f>
        <v>Not Rated</v>
      </c>
      <c r="J548" s="9" t="str">
        <f aca="false">IF(TRIM(Raw_Donors!I548)="","Unknown",TRIM(Raw_Donors!I548))</f>
        <v>HOME</v>
      </c>
      <c r="K548" s="9" t="str">
        <f aca="false">Raw_Donors!J548</f>
        <v>N</v>
      </c>
      <c r="L548" s="9" t="n">
        <f aca="false">Raw_Donors!K548</f>
        <v>1</v>
      </c>
      <c r="M548" s="10" t="n">
        <f aca="false">IFERROR(VALUE(SUBSTITUTE(SUBSTITUTE(Raw_Donors!L548,"$",""),",","")),0)</f>
        <v>0</v>
      </c>
      <c r="N548" s="10" t="n">
        <f aca="false">IFERROR(VALUE(SUBSTITUTE(SUBSTITUTE(Raw_Donors!M548,"$",""),",","")),0)</f>
        <v>0</v>
      </c>
      <c r="O548" s="10" t="n">
        <f aca="false">IFERROR(VALUE(SUBSTITUTE(SUBSTITUTE(Raw_Donors!N548,"$",""),",","")),0)</f>
        <v>0</v>
      </c>
      <c r="P548" s="10" t="n">
        <f aca="false">IFERROR(VALUE(SUBSTITUTE(SUBSTITUTE(Raw_Donors!O548,"$",""),",","")),0)</f>
        <v>0</v>
      </c>
      <c r="Q548" s="10" t="n">
        <f aca="false">IFERROR(VALUE(SUBSTITUTE(SUBSTITUTE(Raw_Donors!P548,"$",""),",","")),0)</f>
        <v>0</v>
      </c>
      <c r="R548" s="10" t="n">
        <f aca="false">Raw_Donors!Q548</f>
        <v>90</v>
      </c>
      <c r="S548" s="9" t="str">
        <f aca="false">Raw_Donors!R548</f>
        <v>Y</v>
      </c>
      <c r="T548" s="9" t="str">
        <f aca="false">IF(Raw_Donors!S548="","",Raw_Donors!S548)</f>
        <v/>
      </c>
      <c r="U548" s="9" t="str">
        <f aca="false">IF(AND((O548+P548)&gt;0,Q548=0),"Lapsed - Follow Up","")</f>
        <v/>
      </c>
      <c r="V548" s="9" t="n">
        <f aca="false">RANK(R548,$R$2:$R$759)+COUNTIF($R$2:R548,R548)-1</f>
        <v>312</v>
      </c>
      <c r="W548" s="9" t="str">
        <f aca="false">IF(U548="Lapsed - Follow Up",COUNTIF($U$2:U548,"Lapsed - Follow Up"),"")</f>
        <v/>
      </c>
    </row>
    <row r="549" customFormat="false" ht="15" hidden="false" customHeight="true" outlineLevel="0" collapsed="false">
      <c r="A549" s="9" t="str">
        <f aca="false">Raw_Donors!A549</f>
        <v>D1547</v>
      </c>
      <c r="B549" s="9" t="str">
        <f aca="false">IF(ISNUMBER(SEARCH("-DUP",A549)),"Duplicate ID","")</f>
        <v/>
      </c>
      <c r="C549" s="9" t="n">
        <f aca="false">Raw_Donors!B549</f>
        <v>80812</v>
      </c>
      <c r="D549" s="9" t="n">
        <f aca="false">Raw_Donors!C549</f>
        <v>0</v>
      </c>
      <c r="E549" s="9" t="str">
        <f aca="false">IFERROR(IF(Raw_Donors!D549="","Unknown",Raw_Donors!D549),"Unknown")</f>
        <v>Unknown</v>
      </c>
      <c r="F549" s="9" t="str">
        <f aca="false">IFERROR(IF(Raw_Donors!E549="","Unknown",Raw_Donors!E549),"Unknown")</f>
        <v>Female</v>
      </c>
      <c r="G549" s="9" t="str">
        <f aca="false">PROPER(TRIM(Raw_Donors!F549))</f>
        <v>Individual Donor</v>
      </c>
      <c r="H549" s="9" t="str">
        <f aca="false">IFERROR(IF(Raw_Donors!G549="","N",Raw_Donors!G549),"N")</f>
        <v>N</v>
      </c>
      <c r="I549" s="9" t="str">
        <f aca="false">IF(Raw_Donors!H549="","Not Rated",Raw_Donors!H549)</f>
        <v>$1-$24,999</v>
      </c>
      <c r="J549" s="9" t="str">
        <f aca="false">IF(TRIM(Raw_Donors!I549)="","Unknown",TRIM(Raw_Donors!I549))</f>
        <v>HOME</v>
      </c>
      <c r="K549" s="9" t="str">
        <f aca="false">Raw_Donors!J549</f>
        <v>N</v>
      </c>
      <c r="L549" s="9" t="n">
        <f aca="false">Raw_Donors!K549</f>
        <v>1</v>
      </c>
      <c r="M549" s="10" t="n">
        <f aca="false">IFERROR(VALUE(SUBSTITUTE(SUBSTITUTE(Raw_Donors!L549,"$",""),",","")),0)</f>
        <v>0</v>
      </c>
      <c r="N549" s="10" t="n">
        <f aca="false">IFERROR(VALUE(SUBSTITUTE(SUBSTITUTE(Raw_Donors!M549,"$",""),",","")),0)</f>
        <v>20</v>
      </c>
      <c r="O549" s="10" t="n">
        <f aca="false">IFERROR(VALUE(SUBSTITUTE(SUBSTITUTE(Raw_Donors!N549,"$",""),",","")),0)</f>
        <v>0</v>
      </c>
      <c r="P549" s="10" t="n">
        <f aca="false">IFERROR(VALUE(SUBSTITUTE(SUBSTITUTE(Raw_Donors!O549,"$",""),",","")),0)</f>
        <v>0</v>
      </c>
      <c r="Q549" s="10" t="n">
        <f aca="false">IFERROR(VALUE(SUBSTITUTE(SUBSTITUTE(Raw_Donors!P549,"$",""),",","")),0)</f>
        <v>0</v>
      </c>
      <c r="R549" s="10" t="n">
        <f aca="false">Raw_Donors!Q549</f>
        <v>84</v>
      </c>
      <c r="S549" s="9" t="str">
        <f aca="false">Raw_Donors!R549</f>
        <v>Y</v>
      </c>
      <c r="T549" s="9" t="str">
        <f aca="false">IF(Raw_Donors!S549="","",Raw_Donors!S549)</f>
        <v/>
      </c>
      <c r="U549" s="9" t="str">
        <f aca="false">IF(AND((O549+P549)&gt;0,Q549=0),"Lapsed - Follow Up","")</f>
        <v/>
      </c>
      <c r="V549" s="9" t="n">
        <f aca="false">RANK(R549,$R$2:$R$759)+COUNTIF($R$2:R549,R549)-1</f>
        <v>322</v>
      </c>
      <c r="W549" s="9" t="str">
        <f aca="false">IF(U549="Lapsed - Follow Up",COUNTIF($U$2:U549,"Lapsed - Follow Up"),"")</f>
        <v/>
      </c>
    </row>
    <row r="550" customFormat="false" ht="15" hidden="false" customHeight="true" outlineLevel="0" collapsed="false">
      <c r="A550" s="9" t="str">
        <f aca="false">Raw_Donors!A550</f>
        <v>D1548</v>
      </c>
      <c r="B550" s="9" t="str">
        <f aca="false">IF(ISNUMBER(SEARCH("-DUP",A550)),"Duplicate ID","")</f>
        <v/>
      </c>
      <c r="C550" s="9" t="n">
        <f aca="false">Raw_Donors!B550</f>
        <v>47011</v>
      </c>
      <c r="D550" s="9" t="n">
        <f aca="false">Raw_Donors!C550</f>
        <v>55</v>
      </c>
      <c r="E550" s="9" t="str">
        <f aca="false">IFERROR(IF(Raw_Donors!D550="","Unknown",Raw_Donors!D550),"Unknown")</f>
        <v>Unknown</v>
      </c>
      <c r="F550" s="9" t="str">
        <f aca="false">IFERROR(IF(Raw_Donors!E550="","Unknown",Raw_Donors!E550),"Unknown")</f>
        <v>Male</v>
      </c>
      <c r="G550" s="9" t="str">
        <f aca="false">PROPER(TRIM(Raw_Donors!F550))</f>
        <v>Community Partner</v>
      </c>
      <c r="H550" s="9" t="str">
        <f aca="false">IFERROR(IF(Raw_Donors!G550="","N",Raw_Donors!G550),"N")</f>
        <v>Y</v>
      </c>
      <c r="I550" s="9" t="str">
        <f aca="false">IF(Raw_Donors!H550="","Not Rated",Raw_Donors!H550)</f>
        <v>Not Rated</v>
      </c>
      <c r="J550" s="9" t="str">
        <f aca="false">IF(TRIM(Raw_Donors!I550)="","Unknown",TRIM(Raw_Donors!I550))</f>
        <v>HOME</v>
      </c>
      <c r="K550" s="9" t="str">
        <f aca="false">Raw_Donors!J550</f>
        <v>N</v>
      </c>
      <c r="L550" s="9" t="n">
        <f aca="false">Raw_Donors!K550</f>
        <v>0</v>
      </c>
      <c r="M550" s="10" t="n">
        <f aca="false">IFERROR(VALUE(SUBSTITUTE(SUBSTITUTE(Raw_Donors!L550,"$",""),",","")),0)</f>
        <v>0</v>
      </c>
      <c r="N550" s="10" t="n">
        <f aca="false">IFERROR(VALUE(SUBSTITUTE(SUBSTITUTE(Raw_Donors!M550,"$",""),",","")),0)</f>
        <v>0</v>
      </c>
      <c r="O550" s="10" t="n">
        <f aca="false">IFERROR(VALUE(SUBSTITUTE(SUBSTITUTE(Raw_Donors!N550,"$",""),",","")),0)</f>
        <v>0</v>
      </c>
      <c r="P550" s="10" t="n">
        <f aca="false">IFERROR(VALUE(SUBSTITUTE(SUBSTITUTE(Raw_Donors!O550,"$",""),",","")),0)</f>
        <v>0</v>
      </c>
      <c r="Q550" s="10" t="n">
        <f aca="false">IFERROR(VALUE(SUBSTITUTE(SUBSTITUTE(Raw_Donors!P550,"$",""),",","")),0)</f>
        <v>0</v>
      </c>
      <c r="R550" s="10" t="n">
        <f aca="false">Raw_Donors!Q550</f>
        <v>0</v>
      </c>
      <c r="S550" s="9" t="str">
        <f aca="false">Raw_Donors!R550</f>
        <v>N</v>
      </c>
      <c r="T550" s="9" t="str">
        <f aca="false">IF(Raw_Donors!S550="","",Raw_Donors!S550)</f>
        <v>1962-12-14</v>
      </c>
      <c r="U550" s="9" t="str">
        <f aca="false">IF(AND((O550+P550)&gt;0,Q550=0),"Lapsed - Follow Up","")</f>
        <v/>
      </c>
      <c r="V550" s="9" t="n">
        <f aca="false">RANK(R550,$R$2:$R$759)+COUNTIF($R$2:R550,R550)-1</f>
        <v>702</v>
      </c>
      <c r="W550" s="9" t="str">
        <f aca="false">IF(U550="Lapsed - Follow Up",COUNTIF($U$2:U550,"Lapsed - Follow Up"),"")</f>
        <v/>
      </c>
    </row>
    <row r="551" customFormat="false" ht="15" hidden="false" customHeight="true" outlineLevel="0" collapsed="false">
      <c r="A551" s="9" t="str">
        <f aca="false">Raw_Donors!A551</f>
        <v>D1549</v>
      </c>
      <c r="B551" s="9" t="str">
        <f aca="false">IF(ISNUMBER(SEARCH("-DUP",A551)),"Duplicate ID","")</f>
        <v/>
      </c>
      <c r="C551" s="9" t="n">
        <f aca="false">Raw_Donors!B551</f>
        <v>90265</v>
      </c>
      <c r="D551" s="9" t="n">
        <f aca="false">Raw_Donors!C551</f>
        <v>73</v>
      </c>
      <c r="E551" s="9" t="str">
        <f aca="false">IFERROR(IF(Raw_Donors!D551="","Unknown",Raw_Donors!D551),"Unknown")</f>
        <v>Unknown</v>
      </c>
      <c r="F551" s="9" t="str">
        <f aca="false">IFERROR(IF(Raw_Donors!E551="","Unknown",Raw_Donors!E551),"Unknown")</f>
        <v>Male</v>
      </c>
      <c r="G551" s="9" t="str">
        <f aca="false">PROPER(TRIM(Raw_Donors!F551))</f>
        <v>Individual Donor</v>
      </c>
      <c r="H551" s="9" t="str">
        <f aca="false">IFERROR(IF(Raw_Donors!G551="","N",Raw_Donors!G551),"N")</f>
        <v>N</v>
      </c>
      <c r="I551" s="9" t="str">
        <f aca="false">IF(Raw_Donors!H551="","Not Rated",Raw_Donors!H551)</f>
        <v>Not Rated</v>
      </c>
      <c r="J551" s="9" t="str">
        <f aca="false">IF(TRIM(Raw_Donors!I551)="","Unknown",TRIM(Raw_Donors!I551))</f>
        <v>HOME</v>
      </c>
      <c r="K551" s="9" t="str">
        <f aca="false">Raw_Donors!J551</f>
        <v>N</v>
      </c>
      <c r="L551" s="9" t="n">
        <f aca="false">Raw_Donors!K551</f>
        <v>0</v>
      </c>
      <c r="M551" s="10" t="n">
        <f aca="false">IFERROR(VALUE(SUBSTITUTE(SUBSTITUTE(Raw_Donors!L551,"$",""),",","")),0)</f>
        <v>0</v>
      </c>
      <c r="N551" s="10" t="n">
        <f aca="false">IFERROR(VALUE(SUBSTITUTE(SUBSTITUTE(Raw_Donors!M551,"$",""),",","")),0)</f>
        <v>0</v>
      </c>
      <c r="O551" s="10" t="n">
        <f aca="false">IFERROR(VALUE(SUBSTITUTE(SUBSTITUTE(Raw_Donors!N551,"$",""),",","")),0)</f>
        <v>0</v>
      </c>
      <c r="P551" s="10" t="n">
        <f aca="false">IFERROR(VALUE(SUBSTITUTE(SUBSTITUTE(Raw_Donors!O551,"$",""),",","")),0)</f>
        <v>0</v>
      </c>
      <c r="Q551" s="10" t="n">
        <f aca="false">IFERROR(VALUE(SUBSTITUTE(SUBSTITUTE(Raw_Donors!P551,"$",""),",","")),0)</f>
        <v>0</v>
      </c>
      <c r="R551" s="10" t="n">
        <f aca="false">Raw_Donors!Q551</f>
        <v>0</v>
      </c>
      <c r="S551" s="9" t="str">
        <f aca="false">Raw_Donors!R551</f>
        <v>N</v>
      </c>
      <c r="T551" s="9" t="str">
        <f aca="false">IF(Raw_Donors!S551="","",Raw_Donors!S551)</f>
        <v>1944-12-08</v>
      </c>
      <c r="U551" s="9" t="str">
        <f aca="false">IF(AND((O551+P551)&gt;0,Q551=0),"Lapsed - Follow Up","")</f>
        <v/>
      </c>
      <c r="V551" s="9" t="n">
        <f aca="false">RANK(R551,$R$2:$R$759)+COUNTIF($R$2:R551,R551)-1</f>
        <v>703</v>
      </c>
      <c r="W551" s="9" t="str">
        <f aca="false">IF(U551="Lapsed - Follow Up",COUNTIF($U$2:U551,"Lapsed - Follow Up"),"")</f>
        <v/>
      </c>
    </row>
    <row r="552" customFormat="false" ht="15" hidden="false" customHeight="true" outlineLevel="0" collapsed="false">
      <c r="A552" s="9" t="str">
        <f aca="false">Raw_Donors!A552</f>
        <v>D1550</v>
      </c>
      <c r="B552" s="9" t="str">
        <f aca="false">IF(ISNUMBER(SEARCH("-DUP",A552)),"Duplicate ID","")</f>
        <v/>
      </c>
      <c r="C552" s="9" t="n">
        <f aca="false">Raw_Donors!B552</f>
        <v>90265</v>
      </c>
      <c r="D552" s="9" t="n">
        <f aca="false">Raw_Donors!C552</f>
        <v>0</v>
      </c>
      <c r="E552" s="9" t="str">
        <f aca="false">IFERROR(IF(Raw_Donors!D552="","Unknown",Raw_Donors!D552),"Unknown")</f>
        <v>Unknown</v>
      </c>
      <c r="F552" s="9" t="str">
        <f aca="false">IFERROR(IF(Raw_Donors!E552="","Unknown",Raw_Donors!E552),"Unknown")</f>
        <v>Male</v>
      </c>
      <c r="G552" s="9" t="str">
        <f aca="false">PROPER(TRIM(Raw_Donors!F552))</f>
        <v>Individual Donor</v>
      </c>
      <c r="H552" s="9" t="str">
        <f aca="false">IFERROR(IF(Raw_Donors!G552="","N",Raw_Donors!G552),"N")</f>
        <v>N</v>
      </c>
      <c r="I552" s="9" t="str">
        <f aca="false">IF(Raw_Donors!H552="","Not Rated",Raw_Donors!H552)</f>
        <v>$50,000-$99,999</v>
      </c>
      <c r="J552" s="9" t="str">
        <f aca="false">IF(TRIM(Raw_Donors!I552)="","Unknown",TRIM(Raw_Donors!I552))</f>
        <v>Unknown</v>
      </c>
      <c r="K552" s="9" t="str">
        <f aca="false">Raw_Donors!J552</f>
        <v>N</v>
      </c>
      <c r="L552" s="9" t="n">
        <f aca="false">Raw_Donors!K552</f>
        <v>7</v>
      </c>
      <c r="M552" s="10" t="n">
        <f aca="false">IFERROR(VALUE(SUBSTITUTE(SUBSTITUTE(Raw_Donors!L552,"$",""),",","")),0)</f>
        <v>50</v>
      </c>
      <c r="N552" s="10" t="n">
        <f aca="false">IFERROR(VALUE(SUBSTITUTE(SUBSTITUTE(Raw_Donors!M552,"$",""),",","")),0)</f>
        <v>0</v>
      </c>
      <c r="O552" s="10" t="n">
        <f aca="false">IFERROR(VALUE(SUBSTITUTE(SUBSTITUTE(Raw_Donors!N552,"$",""),",","")),0)</f>
        <v>80</v>
      </c>
      <c r="P552" s="10" t="n">
        <f aca="false">IFERROR(VALUE(SUBSTITUTE(SUBSTITUTE(Raw_Donors!O552,"$",""),",","")),0)</f>
        <v>80</v>
      </c>
      <c r="Q552" s="10" t="n">
        <f aca="false">IFERROR(VALUE(SUBSTITUTE(SUBSTITUTE(Raw_Donors!P552,"$",""),",","")),0)</f>
        <v>0</v>
      </c>
      <c r="R552" s="10" t="n">
        <f aca="false">Raw_Donors!Q552</f>
        <v>210</v>
      </c>
      <c r="S552" s="9" t="str">
        <f aca="false">Raw_Donors!R552</f>
        <v>Y</v>
      </c>
      <c r="T552" s="9" t="str">
        <f aca="false">IF(Raw_Donors!S552="","",Raw_Donors!S552)</f>
        <v/>
      </c>
      <c r="U552" s="9" t="str">
        <f aca="false">IF(AND((O552+P552)&gt;0,Q552=0),"Lapsed - Follow Up","")</f>
        <v>Lapsed - Follow Up</v>
      </c>
      <c r="V552" s="9" t="n">
        <f aca="false">RANK(R552,$R$2:$R$759)+COUNTIF($R$2:R552,R552)-1</f>
        <v>192</v>
      </c>
      <c r="W552" s="9" t="n">
        <f aca="false">IF(U552="Lapsed - Follow Up",COUNTIF($U$2:U552,"Lapsed - Follow Up"),"")</f>
        <v>76</v>
      </c>
    </row>
    <row r="553" customFormat="false" ht="15" hidden="false" customHeight="true" outlineLevel="0" collapsed="false">
      <c r="A553" s="9" t="str">
        <f aca="false">Raw_Donors!A553</f>
        <v>D1551</v>
      </c>
      <c r="B553" s="9" t="str">
        <f aca="false">IF(ISNUMBER(SEARCH("-DUP",A553)),"Duplicate ID","")</f>
        <v/>
      </c>
      <c r="C553" s="9" t="n">
        <f aca="false">Raw_Donors!B553</f>
        <v>12502</v>
      </c>
      <c r="D553" s="9" t="n">
        <f aca="false">Raw_Donors!C553</f>
        <v>28</v>
      </c>
      <c r="E553" s="9" t="str">
        <f aca="false">IFERROR(IF(Raw_Donors!D553="","Unknown",Raw_Donors!D553),"Unknown")</f>
        <v>Unknown</v>
      </c>
      <c r="F553" s="9" t="str">
        <f aca="false">IFERROR(IF(Raw_Donors!E553="","Unknown",Raw_Donors!E553),"Unknown")</f>
        <v>Male</v>
      </c>
      <c r="G553" s="9" t="str">
        <f aca="false">PROPER(TRIM(Raw_Donors!F553))</f>
        <v>Community Partner</v>
      </c>
      <c r="H553" s="9" t="str">
        <f aca="false">IFERROR(IF(Raw_Donors!G553="","N",Raw_Donors!G553),"N")</f>
        <v>N</v>
      </c>
      <c r="I553" s="9" t="str">
        <f aca="false">IF(Raw_Donors!H553="","Not Rated",Raw_Donors!H553)</f>
        <v>Not Rated</v>
      </c>
      <c r="J553" s="9" t="str">
        <f aca="false">IF(TRIM(Raw_Donors!I553)="","Unknown",TRIM(Raw_Donors!I553))</f>
        <v>HOME</v>
      </c>
      <c r="K553" s="9" t="str">
        <f aca="false">Raw_Donors!J553</f>
        <v>Y</v>
      </c>
      <c r="L553" s="9" t="n">
        <f aca="false">Raw_Donors!K553</f>
        <v>0</v>
      </c>
      <c r="M553" s="10" t="n">
        <f aca="false">IFERROR(VALUE(SUBSTITUTE(SUBSTITUTE(Raw_Donors!L553,"$",""),",","")),0)</f>
        <v>0</v>
      </c>
      <c r="N553" s="10" t="n">
        <f aca="false">IFERROR(VALUE(SUBSTITUTE(SUBSTITUTE(Raw_Donors!M553,"$",""),",","")),0)</f>
        <v>0</v>
      </c>
      <c r="O553" s="10" t="n">
        <f aca="false">IFERROR(VALUE(SUBSTITUTE(SUBSTITUTE(Raw_Donors!N553,"$",""),",","")),0)</f>
        <v>0</v>
      </c>
      <c r="P553" s="10" t="n">
        <f aca="false">IFERROR(VALUE(SUBSTITUTE(SUBSTITUTE(Raw_Donors!O553,"$",""),",","")),0)</f>
        <v>0</v>
      </c>
      <c r="Q553" s="10" t="n">
        <f aca="false">IFERROR(VALUE(SUBSTITUTE(SUBSTITUTE(Raw_Donors!P553,"$",""),",","")),0)</f>
        <v>0</v>
      </c>
      <c r="R553" s="10" t="n">
        <f aca="false">Raw_Donors!Q553</f>
        <v>100</v>
      </c>
      <c r="S553" s="9" t="str">
        <f aca="false">Raw_Donors!R553</f>
        <v>Y</v>
      </c>
      <c r="T553" s="9" t="str">
        <f aca="false">IF(Raw_Donors!S553="","",Raw_Donors!S553)</f>
        <v>1989-05-14</v>
      </c>
      <c r="U553" s="9" t="str">
        <f aca="false">IF(AND((O553+P553)&gt;0,Q553=0),"Lapsed - Follow Up","")</f>
        <v/>
      </c>
      <c r="V553" s="9" t="n">
        <f aca="false">RANK(R553,$R$2:$R$759)+COUNTIF($R$2:R553,R553)-1</f>
        <v>293</v>
      </c>
      <c r="W553" s="9" t="str">
        <f aca="false">IF(U553="Lapsed - Follow Up",COUNTIF($U$2:U553,"Lapsed - Follow Up"),"")</f>
        <v/>
      </c>
    </row>
    <row r="554" customFormat="false" ht="15" hidden="false" customHeight="true" outlineLevel="0" collapsed="false">
      <c r="A554" s="9" t="str">
        <f aca="false">Raw_Donors!A554</f>
        <v>D1552</v>
      </c>
      <c r="B554" s="9" t="str">
        <f aca="false">IF(ISNUMBER(SEARCH("-DUP",A554)),"Duplicate ID","")</f>
        <v/>
      </c>
      <c r="C554" s="9" t="n">
        <f aca="false">Raw_Donors!B554</f>
        <v>90265</v>
      </c>
      <c r="D554" s="9" t="n">
        <f aca="false">Raw_Donors!C554</f>
        <v>0</v>
      </c>
      <c r="E554" s="9" t="str">
        <f aca="false">IFERROR(IF(Raw_Donors!D554="","Unknown",Raw_Donors!D554),"Unknown")</f>
        <v>Married</v>
      </c>
      <c r="F554" s="9" t="str">
        <f aca="false">IFERROR(IF(Raw_Donors!E554="","Unknown",Raw_Donors!E554),"Unknown")</f>
        <v>Male</v>
      </c>
      <c r="G554" s="9" t="str">
        <f aca="false">PROPER(TRIM(Raw_Donors!F554))</f>
        <v>Individual Donor</v>
      </c>
      <c r="H554" s="9" t="str">
        <f aca="false">IFERROR(IF(Raw_Donors!G554="","N",Raw_Donors!G554),"N")</f>
        <v>Y</v>
      </c>
      <c r="I554" s="9" t="str">
        <f aca="false">IF(Raw_Donors!H554="","Not Rated",Raw_Donors!H554)</f>
        <v>Not Rated</v>
      </c>
      <c r="J554" s="9" t="str">
        <f aca="false">IF(TRIM(Raw_Donors!I554)="","Unknown",TRIM(Raw_Donors!I554))</f>
        <v>HOME</v>
      </c>
      <c r="K554" s="9" t="str">
        <f aca="false">Raw_Donors!J554</f>
        <v>N</v>
      </c>
      <c r="L554" s="9" t="n">
        <f aca="false">Raw_Donors!K554</f>
        <v>2</v>
      </c>
      <c r="M554" s="10" t="n">
        <f aca="false">IFERROR(VALUE(SUBSTITUTE(SUBSTITUTE(Raw_Donors!L554,"$",""),",","")),0)</f>
        <v>0</v>
      </c>
      <c r="N554" s="10" t="n">
        <f aca="false">IFERROR(VALUE(SUBSTITUTE(SUBSTITUTE(Raw_Donors!M554,"$",""),",","")),0)</f>
        <v>0</v>
      </c>
      <c r="O554" s="10" t="n">
        <f aca="false">IFERROR(VALUE(SUBSTITUTE(SUBSTITUTE(Raw_Donors!N554,"$",""),",","")),0)</f>
        <v>0</v>
      </c>
      <c r="P554" s="10" t="n">
        <f aca="false">IFERROR(VALUE(SUBSTITUTE(SUBSTITUTE(Raw_Donors!O554,"$",""),",","")),0)</f>
        <v>0</v>
      </c>
      <c r="Q554" s="10" t="n">
        <f aca="false">IFERROR(VALUE(SUBSTITUTE(SUBSTITUTE(Raw_Donors!P554,"$",""),",","")),0)</f>
        <v>0</v>
      </c>
      <c r="R554" s="10" t="n">
        <f aca="false">Raw_Donors!Q554</f>
        <v>9155</v>
      </c>
      <c r="S554" s="9" t="str">
        <f aca="false">Raw_Donors!R554</f>
        <v>Y</v>
      </c>
      <c r="T554" s="9" t="str">
        <f aca="false">IF(Raw_Donors!S554="","",Raw_Donors!S554)</f>
        <v/>
      </c>
      <c r="U554" s="9" t="str">
        <f aca="false">IF(AND((O554+P554)&gt;0,Q554=0),"Lapsed - Follow Up","")</f>
        <v/>
      </c>
      <c r="V554" s="9" t="n">
        <f aca="false">RANK(R554,$R$2:$R$759)+COUNTIF($R$2:R554,R554)-1</f>
        <v>10</v>
      </c>
      <c r="W554" s="9" t="str">
        <f aca="false">IF(U554="Lapsed - Follow Up",COUNTIF($U$2:U554,"Lapsed - Follow Up"),"")</f>
        <v/>
      </c>
    </row>
    <row r="555" customFormat="false" ht="15" hidden="false" customHeight="true" outlineLevel="0" collapsed="false">
      <c r="A555" s="9" t="str">
        <f aca="false">Raw_Donors!A555</f>
        <v>D1553</v>
      </c>
      <c r="B555" s="9" t="str">
        <f aca="false">IF(ISNUMBER(SEARCH("-DUP",A555)),"Duplicate ID","")</f>
        <v/>
      </c>
      <c r="C555" s="9" t="n">
        <f aca="false">Raw_Donors!B555</f>
        <v>90265</v>
      </c>
      <c r="D555" s="9" t="n">
        <f aca="false">Raw_Donors!C555</f>
        <v>79</v>
      </c>
      <c r="E555" s="9" t="str">
        <f aca="false">IFERROR(IF(Raw_Donors!D555="","Unknown",Raw_Donors!D555),"Unknown")</f>
        <v>Unknown</v>
      </c>
      <c r="F555" s="9" t="str">
        <f aca="false">IFERROR(IF(Raw_Donors!E555="","Unknown",Raw_Donors!E555),"Unknown")</f>
        <v>Male</v>
      </c>
      <c r="G555" s="9" t="str">
        <f aca="false">PROPER(TRIM(Raw_Donors!F555))</f>
        <v>Individual Donor</v>
      </c>
      <c r="H555" s="9" t="str">
        <f aca="false">IFERROR(IF(Raw_Donors!G555="","N",Raw_Donors!G555),"N")</f>
        <v>N</v>
      </c>
      <c r="I555" s="9" t="str">
        <f aca="false">IF(Raw_Donors!H555="","Not Rated",Raw_Donors!H555)</f>
        <v>Not Rated</v>
      </c>
      <c r="J555" s="9" t="str">
        <f aca="false">IF(TRIM(Raw_Donors!I555)="","Unknown",TRIM(Raw_Donors!I555))</f>
        <v>HOME</v>
      </c>
      <c r="K555" s="9" t="str">
        <f aca="false">Raw_Donors!J555</f>
        <v>N</v>
      </c>
      <c r="L555" s="9" t="n">
        <f aca="false">Raw_Donors!K555</f>
        <v>0</v>
      </c>
      <c r="M555" s="10" t="n">
        <f aca="false">IFERROR(VALUE(SUBSTITUTE(SUBSTITUTE(Raw_Donors!L555,"$",""),",","")),0)</f>
        <v>0</v>
      </c>
      <c r="N555" s="10" t="n">
        <f aca="false">IFERROR(VALUE(SUBSTITUTE(SUBSTITUTE(Raw_Donors!M555,"$",""),",","")),0)</f>
        <v>0</v>
      </c>
      <c r="O555" s="10" t="n">
        <f aca="false">IFERROR(VALUE(SUBSTITUTE(SUBSTITUTE(Raw_Donors!N555,"$",""),",","")),0)</f>
        <v>0</v>
      </c>
      <c r="P555" s="10" t="n">
        <f aca="false">IFERROR(VALUE(SUBSTITUTE(SUBSTITUTE(Raw_Donors!O555,"$",""),",","")),0)</f>
        <v>0</v>
      </c>
      <c r="Q555" s="10" t="n">
        <f aca="false">IFERROR(VALUE(SUBSTITUTE(SUBSTITUTE(Raw_Donors!P555,"$",""),",","")),0)</f>
        <v>0</v>
      </c>
      <c r="R555" s="10" t="n">
        <f aca="false">Raw_Donors!Q555</f>
        <v>60</v>
      </c>
      <c r="S555" s="9" t="str">
        <f aca="false">Raw_Donors!R555</f>
        <v>Y</v>
      </c>
      <c r="T555" s="9" t="str">
        <f aca="false">IF(Raw_Donors!S555="","",Raw_Donors!S555)</f>
        <v>1938-12-08</v>
      </c>
      <c r="U555" s="9" t="str">
        <f aca="false">IF(AND((O555+P555)&gt;0,Q555=0),"Lapsed - Follow Up","")</f>
        <v/>
      </c>
      <c r="V555" s="9" t="n">
        <f aca="false">RANK(R555,$R$2:$R$759)+COUNTIF($R$2:R555,R555)-1</f>
        <v>358</v>
      </c>
      <c r="W555" s="9" t="str">
        <f aca="false">IF(U555="Lapsed - Follow Up",COUNTIF($U$2:U555,"Lapsed - Follow Up"),"")</f>
        <v/>
      </c>
    </row>
    <row r="556" customFormat="false" ht="15" hidden="false" customHeight="true" outlineLevel="0" collapsed="false">
      <c r="A556" s="9" t="str">
        <f aca="false">Raw_Donors!A556</f>
        <v>D1554</v>
      </c>
      <c r="B556" s="9" t="str">
        <f aca="false">IF(ISNUMBER(SEARCH("-DUP",A556)),"Duplicate ID","")</f>
        <v/>
      </c>
      <c r="C556" s="9" t="n">
        <f aca="false">Raw_Donors!B556</f>
        <v>32123</v>
      </c>
      <c r="D556" s="9" t="n">
        <f aca="false">Raw_Donors!C556</f>
        <v>61</v>
      </c>
      <c r="E556" s="9" t="str">
        <f aca="false">IFERROR(IF(Raw_Donors!D556="","Unknown",Raw_Donors!D556),"Unknown")</f>
        <v>Unknown</v>
      </c>
      <c r="F556" s="9" t="str">
        <f aca="false">IFERROR(IF(Raw_Donors!E556="","Unknown",Raw_Donors!E556),"Unknown")</f>
        <v>Male</v>
      </c>
      <c r="G556" s="9" t="str">
        <f aca="false">PROPER(TRIM(Raw_Donors!F556))</f>
        <v>Community Partner</v>
      </c>
      <c r="H556" s="9" t="str">
        <f aca="false">IFERROR(IF(Raw_Donors!G556="","N",Raw_Donors!G556),"N")</f>
        <v>Y</v>
      </c>
      <c r="I556" s="9" t="str">
        <f aca="false">IF(Raw_Donors!H556="","Not Rated",Raw_Donors!H556)</f>
        <v>Not Rated</v>
      </c>
      <c r="J556" s="9" t="str">
        <f aca="false">IF(TRIM(Raw_Donors!I556)="","Unknown",TRIM(Raw_Donors!I556))</f>
        <v>HOME</v>
      </c>
      <c r="K556" s="9" t="str">
        <f aca="false">Raw_Donors!J556</f>
        <v>Y</v>
      </c>
      <c r="L556" s="9" t="n">
        <f aca="false">Raw_Donors!K556</f>
        <v>1</v>
      </c>
      <c r="M556" s="10" t="n">
        <f aca="false">IFERROR(VALUE(SUBSTITUTE(SUBSTITUTE(Raw_Donors!L556,"$",""),",","")),0)</f>
        <v>0</v>
      </c>
      <c r="N556" s="10" t="n">
        <f aca="false">IFERROR(VALUE(SUBSTITUTE(SUBSTITUTE(Raw_Donors!M556,"$",""),",","")),0)</f>
        <v>0</v>
      </c>
      <c r="O556" s="10" t="n">
        <f aca="false">IFERROR(VALUE(SUBSTITUTE(SUBSTITUTE(Raw_Donors!N556,"$",""),",","")),0)</f>
        <v>0</v>
      </c>
      <c r="P556" s="10" t="n">
        <f aca="false">IFERROR(VALUE(SUBSTITUTE(SUBSTITUTE(Raw_Donors!O556,"$",""),",","")),0)</f>
        <v>0</v>
      </c>
      <c r="Q556" s="10" t="n">
        <f aca="false">IFERROR(VALUE(SUBSTITUTE(SUBSTITUTE(Raw_Donors!P556,"$",""),",","")),0)</f>
        <v>0</v>
      </c>
      <c r="R556" s="10" t="n">
        <f aca="false">Raw_Donors!Q556</f>
        <v>25</v>
      </c>
      <c r="S556" s="9" t="str">
        <f aca="false">Raw_Donors!R556</f>
        <v>Y</v>
      </c>
      <c r="T556" s="9" t="str">
        <f aca="false">IF(Raw_Donors!S556="","",Raw_Donors!S556)</f>
        <v>1956-01-05</v>
      </c>
      <c r="U556" s="9" t="str">
        <f aca="false">IF(AND((O556+P556)&gt;0,Q556=0),"Lapsed - Follow Up","")</f>
        <v/>
      </c>
      <c r="V556" s="9" t="n">
        <f aca="false">RANK(R556,$R$2:$R$759)+COUNTIF($R$2:R556,R556)-1</f>
        <v>458</v>
      </c>
      <c r="W556" s="9" t="str">
        <f aca="false">IF(U556="Lapsed - Follow Up",COUNTIF($U$2:U556,"Lapsed - Follow Up"),"")</f>
        <v/>
      </c>
    </row>
    <row r="557" customFormat="false" ht="15" hidden="false" customHeight="true" outlineLevel="0" collapsed="false">
      <c r="A557" s="9" t="str">
        <f aca="false">Raw_Donors!A557</f>
        <v>D1555</v>
      </c>
      <c r="B557" s="9" t="str">
        <f aca="false">IF(ISNUMBER(SEARCH("-DUP",A557)),"Duplicate ID","")</f>
        <v/>
      </c>
      <c r="C557" s="9" t="n">
        <f aca="false">Raw_Donors!B557</f>
        <v>90265</v>
      </c>
      <c r="D557" s="9" t="n">
        <f aca="false">Raw_Donors!C557</f>
        <v>0</v>
      </c>
      <c r="E557" s="9" t="str">
        <f aca="false">IFERROR(IF(Raw_Donors!D557="","Unknown",Raw_Donors!D557),"Unknown")</f>
        <v>Unknown</v>
      </c>
      <c r="F557" s="9" t="str">
        <f aca="false">IFERROR(IF(Raw_Donors!E557="","Unknown",Raw_Donors!E557),"Unknown")</f>
        <v>Male</v>
      </c>
      <c r="G557" s="9" t="str">
        <f aca="false">PROPER(TRIM(Raw_Donors!F557))</f>
        <v>Community Partner</v>
      </c>
      <c r="H557" s="9" t="str">
        <f aca="false">IFERROR(IF(Raw_Donors!G557="","N",Raw_Donors!G557),"N")</f>
        <v>Y</v>
      </c>
      <c r="I557" s="9" t="str">
        <f aca="false">IF(Raw_Donors!H557="","Not Rated",Raw_Donors!H557)</f>
        <v>$1-$24,999</v>
      </c>
      <c r="J557" s="9" t="str">
        <f aca="false">IF(TRIM(Raw_Donors!I557)="","Unknown",TRIM(Raw_Donors!I557))</f>
        <v>HOME</v>
      </c>
      <c r="K557" s="9" t="str">
        <f aca="false">Raw_Donors!J557</f>
        <v>Y</v>
      </c>
      <c r="L557" s="9" t="n">
        <f aca="false">Raw_Donors!K557</f>
        <v>0</v>
      </c>
      <c r="M557" s="10" t="n">
        <f aca="false">IFERROR(VALUE(SUBSTITUTE(SUBSTITUTE(Raw_Donors!L557,"$",""),",","")),0)</f>
        <v>0</v>
      </c>
      <c r="N557" s="10" t="n">
        <f aca="false">IFERROR(VALUE(SUBSTITUTE(SUBSTITUTE(Raw_Donors!M557,"$",""),",","")),0)</f>
        <v>0</v>
      </c>
      <c r="O557" s="10" t="n">
        <f aca="false">IFERROR(VALUE(SUBSTITUTE(SUBSTITUTE(Raw_Donors!N557,"$",""),",","")),0)</f>
        <v>0</v>
      </c>
      <c r="P557" s="10" t="n">
        <f aca="false">IFERROR(VALUE(SUBSTITUTE(SUBSTITUTE(Raw_Donors!O557,"$",""),",","")),0)</f>
        <v>1</v>
      </c>
      <c r="Q557" s="10" t="n">
        <f aca="false">IFERROR(VALUE(SUBSTITUTE(SUBSTITUTE(Raw_Donors!P557,"$",""),",","")),0)</f>
        <v>0</v>
      </c>
      <c r="R557" s="10" t="n">
        <f aca="false">Raw_Donors!Q557</f>
        <v>1</v>
      </c>
      <c r="S557" s="9" t="str">
        <f aca="false">Raw_Donors!R557</f>
        <v>Y</v>
      </c>
      <c r="T557" s="9" t="str">
        <f aca="false">IF(Raw_Donors!S557="","",Raw_Donors!S557)</f>
        <v/>
      </c>
      <c r="U557" s="9" t="str">
        <f aca="false">IF(AND((O557+P557)&gt;0,Q557=0),"Lapsed - Follow Up","")</f>
        <v>Lapsed - Follow Up</v>
      </c>
      <c r="V557" s="9" t="n">
        <f aca="false">RANK(R557,$R$2:$R$759)+COUNTIF($R$2:R557,R557)-1</f>
        <v>551</v>
      </c>
      <c r="W557" s="9" t="n">
        <f aca="false">IF(U557="Lapsed - Follow Up",COUNTIF($U$2:U557,"Lapsed - Follow Up"),"")</f>
        <v>77</v>
      </c>
    </row>
    <row r="558" customFormat="false" ht="15" hidden="false" customHeight="true" outlineLevel="0" collapsed="false">
      <c r="A558" s="9" t="str">
        <f aca="false">Raw_Donors!A558</f>
        <v>D1556</v>
      </c>
      <c r="B558" s="9" t="str">
        <f aca="false">IF(ISNUMBER(SEARCH("-DUP",A558)),"Duplicate ID","")</f>
        <v/>
      </c>
      <c r="C558" s="9" t="n">
        <f aca="false">Raw_Donors!B558</f>
        <v>90265</v>
      </c>
      <c r="D558" s="9" t="n">
        <f aca="false">Raw_Donors!C558</f>
        <v>0</v>
      </c>
      <c r="E558" s="9" t="str">
        <f aca="false">IFERROR(IF(Raw_Donors!D558="","Unknown",Raw_Donors!D558),"Unknown")</f>
        <v>Unknown</v>
      </c>
      <c r="F558" s="9" t="str">
        <f aca="false">IFERROR(IF(Raw_Donors!E558="","Unknown",Raw_Donors!E558),"Unknown")</f>
        <v>Male</v>
      </c>
      <c r="G558" s="9" t="str">
        <f aca="false">PROPER(TRIM(Raw_Donors!F558))</f>
        <v>Individual Donor</v>
      </c>
      <c r="H558" s="9" t="str">
        <f aca="false">IFERROR(IF(Raw_Donors!G558="","N",Raw_Donors!G558),"N")</f>
        <v>N</v>
      </c>
      <c r="I558" s="9" t="str">
        <f aca="false">IF(Raw_Donors!H558="","Not Rated",Raw_Donors!H558)</f>
        <v>Not Rated</v>
      </c>
      <c r="J558" s="9" t="str">
        <f aca="false">IF(TRIM(Raw_Donors!I558)="","Unknown",TRIM(Raw_Donors!I558))</f>
        <v>HOME</v>
      </c>
      <c r="K558" s="9" t="str">
        <f aca="false">Raw_Donors!J558</f>
        <v>N</v>
      </c>
      <c r="L558" s="9" t="n">
        <f aca="false">Raw_Donors!K558</f>
        <v>1</v>
      </c>
      <c r="M558" s="10" t="n">
        <f aca="false">IFERROR(VALUE(SUBSTITUTE(SUBSTITUTE(Raw_Donors!L558,"$",""),",","")),0)</f>
        <v>0</v>
      </c>
      <c r="N558" s="10" t="n">
        <f aca="false">IFERROR(VALUE(SUBSTITUTE(SUBSTITUTE(Raw_Donors!M558,"$",""),",","")),0)</f>
        <v>0</v>
      </c>
      <c r="O558" s="10" t="n">
        <f aca="false">IFERROR(VALUE(SUBSTITUTE(SUBSTITUTE(Raw_Donors!N558,"$",""),",","")),0)</f>
        <v>0</v>
      </c>
      <c r="P558" s="10" t="n">
        <f aca="false">IFERROR(VALUE(SUBSTITUTE(SUBSTITUTE(Raw_Donors!O558,"$",""),",","")),0)</f>
        <v>0</v>
      </c>
      <c r="Q558" s="10" t="n">
        <f aca="false">IFERROR(VALUE(SUBSTITUTE(SUBSTITUTE(Raw_Donors!P558,"$",""),",","")),0)</f>
        <v>0</v>
      </c>
      <c r="R558" s="10" t="n">
        <f aca="false">Raw_Donors!Q558</f>
        <v>10</v>
      </c>
      <c r="S558" s="9" t="str">
        <f aca="false">Raw_Donors!R558</f>
        <v>Y</v>
      </c>
      <c r="T558" s="9" t="str">
        <f aca="false">IF(Raw_Donors!S558="","",Raw_Donors!S558)</f>
        <v/>
      </c>
      <c r="U558" s="9" t="str">
        <f aca="false">IF(AND((O558+P558)&gt;0,Q558=0),"Lapsed - Follow Up","")</f>
        <v/>
      </c>
      <c r="V558" s="9" t="n">
        <f aca="false">RANK(R558,$R$2:$R$759)+COUNTIF($R$2:R558,R558)-1</f>
        <v>504</v>
      </c>
      <c r="W558" s="9" t="str">
        <f aca="false">IF(U558="Lapsed - Follow Up",COUNTIF($U$2:U558,"Lapsed - Follow Up"),"")</f>
        <v/>
      </c>
    </row>
    <row r="559" customFormat="false" ht="15" hidden="false" customHeight="true" outlineLevel="0" collapsed="false">
      <c r="A559" s="9" t="str">
        <f aca="false">Raw_Donors!A559</f>
        <v>D1557</v>
      </c>
      <c r="B559" s="9" t="str">
        <f aca="false">IF(ISNUMBER(SEARCH("-DUP",A559)),"Duplicate ID","")</f>
        <v/>
      </c>
      <c r="C559" s="9" t="n">
        <f aca="false">Raw_Donors!B559</f>
        <v>17504</v>
      </c>
      <c r="D559" s="9" t="n">
        <f aca="false">Raw_Donors!C559</f>
        <v>0</v>
      </c>
      <c r="E559" s="9" t="str">
        <f aca="false">IFERROR(IF(Raw_Donors!D559="","Unknown",Raw_Donors!D559),"Unknown")</f>
        <v>Single</v>
      </c>
      <c r="F559" s="9" t="str">
        <f aca="false">IFERROR(IF(Raw_Donors!E559="","Unknown",Raw_Donors!E559),"Unknown")</f>
        <v>Uknown</v>
      </c>
      <c r="G559" s="9" t="str">
        <f aca="false">PROPER(TRIM(Raw_Donors!F559))</f>
        <v>Individual Donor</v>
      </c>
      <c r="H559" s="9" t="str">
        <f aca="false">IFERROR(IF(Raw_Donors!G559="","N",Raw_Donors!G559),"N")</f>
        <v>N</v>
      </c>
      <c r="I559" s="9" t="str">
        <f aca="false">IF(Raw_Donors!H559="","Not Rated",Raw_Donors!H559)</f>
        <v>Not Rated</v>
      </c>
      <c r="J559" s="9" t="str">
        <f aca="false">IF(TRIM(Raw_Donors!I559)="","Unknown",TRIM(Raw_Donors!I559))</f>
        <v>Unknown</v>
      </c>
      <c r="K559" s="9" t="str">
        <f aca="false">Raw_Donors!J559</f>
        <v>N</v>
      </c>
      <c r="L559" s="9" t="n">
        <f aca="false">Raw_Donors!K559</f>
        <v>0</v>
      </c>
      <c r="M559" s="10" t="n">
        <f aca="false">IFERROR(VALUE(SUBSTITUTE(SUBSTITUTE(Raw_Donors!L559,"$",""),",","")),0)</f>
        <v>0</v>
      </c>
      <c r="N559" s="10" t="n">
        <f aca="false">IFERROR(VALUE(SUBSTITUTE(SUBSTITUTE(Raw_Donors!M559,"$",""),",","")),0)</f>
        <v>0</v>
      </c>
      <c r="O559" s="10" t="n">
        <f aca="false">IFERROR(VALUE(SUBSTITUTE(SUBSTITUTE(Raw_Donors!N559,"$",""),",","")),0)</f>
        <v>0</v>
      </c>
      <c r="P559" s="10" t="n">
        <f aca="false">IFERROR(VALUE(SUBSTITUTE(SUBSTITUTE(Raw_Donors!O559,"$",""),",","")),0)</f>
        <v>0</v>
      </c>
      <c r="Q559" s="10" t="n">
        <f aca="false">IFERROR(VALUE(SUBSTITUTE(SUBSTITUTE(Raw_Donors!P559,"$",""),",","")),0)</f>
        <v>150</v>
      </c>
      <c r="R559" s="10" t="n">
        <f aca="false">Raw_Donors!Q559</f>
        <v>150</v>
      </c>
      <c r="S559" s="9" t="str">
        <f aca="false">Raw_Donors!R559</f>
        <v>Y</v>
      </c>
      <c r="T559" s="9" t="str">
        <f aca="false">IF(Raw_Donors!S559="","",Raw_Donors!S559)</f>
        <v/>
      </c>
      <c r="U559" s="9" t="str">
        <f aca="false">IF(AND((O559+P559)&gt;0,Q559=0),"Lapsed - Follow Up","")</f>
        <v/>
      </c>
      <c r="V559" s="9" t="n">
        <f aca="false">RANK(R559,$R$2:$R$759)+COUNTIF($R$2:R559,R559)-1</f>
        <v>233</v>
      </c>
      <c r="W559" s="9" t="str">
        <f aca="false">IF(U559="Lapsed - Follow Up",COUNTIF($U$2:U559,"Lapsed - Follow Up"),"")</f>
        <v/>
      </c>
    </row>
    <row r="560" customFormat="false" ht="15" hidden="false" customHeight="true" outlineLevel="0" collapsed="false">
      <c r="A560" s="9" t="str">
        <f aca="false">Raw_Donors!A560</f>
        <v>D1558</v>
      </c>
      <c r="B560" s="9" t="str">
        <f aca="false">IF(ISNUMBER(SEARCH("-DUP",A560)),"Duplicate ID","")</f>
        <v/>
      </c>
      <c r="C560" s="9" t="n">
        <f aca="false">Raw_Donors!B560</f>
        <v>90265</v>
      </c>
      <c r="D560" s="9" t="n">
        <f aca="false">Raw_Donors!C560</f>
        <v>0</v>
      </c>
      <c r="E560" s="9" t="str">
        <f aca="false">IFERROR(IF(Raw_Donors!D560="","Unknown",Raw_Donors!D560),"Unknown")</f>
        <v>Married</v>
      </c>
      <c r="F560" s="9" t="str">
        <f aca="false">IFERROR(IF(Raw_Donors!E560="","Unknown",Raw_Donors!E560),"Unknown")</f>
        <v>Male</v>
      </c>
      <c r="G560" s="9" t="str">
        <f aca="false">PROPER(TRIM(Raw_Donors!F560))</f>
        <v>Family Donor</v>
      </c>
      <c r="H560" s="9" t="str">
        <f aca="false">IFERROR(IF(Raw_Donors!G560="","N",Raw_Donors!G560),"N")</f>
        <v>N</v>
      </c>
      <c r="I560" s="9" t="str">
        <f aca="false">IF(Raw_Donors!H560="","Not Rated",Raw_Donors!H560)</f>
        <v>Not Rated</v>
      </c>
      <c r="J560" s="9" t="str">
        <f aca="false">IF(TRIM(Raw_Donors!I560)="","Unknown",TRIM(Raw_Donors!I560))</f>
        <v>HOME</v>
      </c>
      <c r="K560" s="9" t="str">
        <f aca="false">Raw_Donors!J560</f>
        <v>Y</v>
      </c>
      <c r="L560" s="9" t="n">
        <f aca="false">Raw_Donors!K560</f>
        <v>0</v>
      </c>
      <c r="M560" s="10" t="n">
        <f aca="false">IFERROR(VALUE(SUBSTITUTE(SUBSTITUTE(Raw_Donors!L560,"$",""),",","")),0)</f>
        <v>0</v>
      </c>
      <c r="N560" s="10" t="n">
        <f aca="false">IFERROR(VALUE(SUBSTITUTE(SUBSTITUTE(Raw_Donors!M560,"$",""),",","")),0)</f>
        <v>0</v>
      </c>
      <c r="O560" s="10" t="n">
        <f aca="false">IFERROR(VALUE(SUBSTITUTE(SUBSTITUTE(Raw_Donors!N560,"$",""),",","")),0)</f>
        <v>0</v>
      </c>
      <c r="P560" s="10" t="n">
        <f aca="false">IFERROR(VALUE(SUBSTITUTE(SUBSTITUTE(Raw_Donors!O560,"$",""),",","")),0)</f>
        <v>0</v>
      </c>
      <c r="Q560" s="10" t="n">
        <f aca="false">IFERROR(VALUE(SUBSTITUTE(SUBSTITUTE(Raw_Donors!P560,"$",""),",","")),0)</f>
        <v>0</v>
      </c>
      <c r="R560" s="10" t="n">
        <f aca="false">Raw_Donors!Q560</f>
        <v>90</v>
      </c>
      <c r="S560" s="9" t="str">
        <f aca="false">Raw_Donors!R560</f>
        <v>Y</v>
      </c>
      <c r="T560" s="9" t="str">
        <f aca="false">IF(Raw_Donors!S560="","",Raw_Donors!S560)</f>
        <v/>
      </c>
      <c r="U560" s="9" t="str">
        <f aca="false">IF(AND((O560+P560)&gt;0,Q560=0),"Lapsed - Follow Up","")</f>
        <v/>
      </c>
      <c r="V560" s="9" t="n">
        <f aca="false">RANK(R560,$R$2:$R$759)+COUNTIF($R$2:R560,R560)-1</f>
        <v>313</v>
      </c>
      <c r="W560" s="9" t="str">
        <f aca="false">IF(U560="Lapsed - Follow Up",COUNTIF($U$2:U560,"Lapsed - Follow Up"),"")</f>
        <v/>
      </c>
    </row>
    <row r="561" customFormat="false" ht="15" hidden="false" customHeight="true" outlineLevel="0" collapsed="false">
      <c r="A561" s="9" t="str">
        <f aca="false">Raw_Donors!A561</f>
        <v>D1559</v>
      </c>
      <c r="B561" s="9" t="str">
        <f aca="false">IF(ISNUMBER(SEARCH("-DUP",A561)),"Duplicate ID","")</f>
        <v/>
      </c>
      <c r="C561" s="9" t="n">
        <f aca="false">Raw_Donors!B561</f>
        <v>42262</v>
      </c>
      <c r="D561" s="9" t="n">
        <f aca="false">Raw_Donors!C561</f>
        <v>0</v>
      </c>
      <c r="E561" s="9" t="str">
        <f aca="false">IFERROR(IF(Raw_Donors!D561="","Unknown",Raw_Donors!D561),"Unknown")</f>
        <v>Married</v>
      </c>
      <c r="F561" s="9" t="str">
        <f aca="false">IFERROR(IF(Raw_Donors!E561="","Unknown",Raw_Donors!E561),"Unknown")</f>
        <v>Female</v>
      </c>
      <c r="G561" s="9" t="str">
        <f aca="false">PROPER(TRIM(Raw_Donors!F561))</f>
        <v>Individual Donor</v>
      </c>
      <c r="H561" s="9" t="str">
        <f aca="false">IFERROR(IF(Raw_Donors!G561="","N",Raw_Donors!G561),"N")</f>
        <v>Y</v>
      </c>
      <c r="I561" s="9" t="str">
        <f aca="false">IF(Raw_Donors!H561="","Not Rated",Raw_Donors!H561)</f>
        <v>Not Rated</v>
      </c>
      <c r="J561" s="9" t="str">
        <f aca="false">IF(TRIM(Raw_Donors!I561)="","Unknown",TRIM(Raw_Donors!I561))</f>
        <v>HOME</v>
      </c>
      <c r="K561" s="9" t="str">
        <f aca="false">Raw_Donors!J561</f>
        <v>N</v>
      </c>
      <c r="L561" s="9" t="n">
        <f aca="false">Raw_Donors!K561</f>
        <v>1</v>
      </c>
      <c r="M561" s="10" t="n">
        <f aca="false">IFERROR(VALUE(SUBSTITUTE(SUBSTITUTE(Raw_Donors!L561,"$",""),",","")),0)</f>
        <v>0</v>
      </c>
      <c r="N561" s="10" t="n">
        <f aca="false">IFERROR(VALUE(SUBSTITUTE(SUBSTITUTE(Raw_Donors!M561,"$",""),",","")),0)</f>
        <v>0</v>
      </c>
      <c r="O561" s="10" t="n">
        <f aca="false">IFERROR(VALUE(SUBSTITUTE(SUBSTITUTE(Raw_Donors!N561,"$",""),",","")),0)</f>
        <v>0</v>
      </c>
      <c r="P561" s="10" t="n">
        <f aca="false">IFERROR(VALUE(SUBSTITUTE(SUBSTITUTE(Raw_Donors!O561,"$",""),",","")),0)</f>
        <v>0</v>
      </c>
      <c r="Q561" s="10" t="n">
        <f aca="false">IFERROR(VALUE(SUBSTITUTE(SUBSTITUTE(Raw_Donors!P561,"$",""),",","")),0)</f>
        <v>0</v>
      </c>
      <c r="R561" s="10" t="n">
        <f aca="false">Raw_Donors!Q561</f>
        <v>30</v>
      </c>
      <c r="S561" s="9" t="str">
        <f aca="false">Raw_Donors!R561</f>
        <v>Y</v>
      </c>
      <c r="T561" s="9" t="str">
        <f aca="false">IF(Raw_Donors!S561="","",Raw_Donors!S561)</f>
        <v/>
      </c>
      <c r="U561" s="9" t="str">
        <f aca="false">IF(AND((O561+P561)&gt;0,Q561=0),"Lapsed - Follow Up","")</f>
        <v/>
      </c>
      <c r="V561" s="9" t="n">
        <f aca="false">RANK(R561,$R$2:$R$759)+COUNTIF($R$2:R561,R561)-1</f>
        <v>421</v>
      </c>
      <c r="W561" s="9" t="str">
        <f aca="false">IF(U561="Lapsed - Follow Up",COUNTIF($U$2:U561,"Lapsed - Follow Up"),"")</f>
        <v/>
      </c>
    </row>
    <row r="562" customFormat="false" ht="15" hidden="false" customHeight="true" outlineLevel="0" collapsed="false">
      <c r="A562" s="9" t="str">
        <f aca="false">Raw_Donors!A562</f>
        <v>D1560</v>
      </c>
      <c r="B562" s="9" t="str">
        <f aca="false">IF(ISNUMBER(SEARCH("-DUP",A562)),"Duplicate ID","")</f>
        <v/>
      </c>
      <c r="C562" s="9" t="n">
        <f aca="false">Raw_Donors!B562</f>
        <v>95694</v>
      </c>
      <c r="D562" s="9" t="n">
        <f aca="false">Raw_Donors!C562</f>
        <v>0</v>
      </c>
      <c r="E562" s="9" t="str">
        <f aca="false">IFERROR(IF(Raw_Donors!D562="","Unknown",Raw_Donors!D562),"Unknown")</f>
        <v>Married</v>
      </c>
      <c r="F562" s="9" t="str">
        <f aca="false">IFERROR(IF(Raw_Donors!E562="","Unknown",Raw_Donors!E562),"Unknown")</f>
        <v>Female</v>
      </c>
      <c r="G562" s="9" t="str">
        <f aca="false">PROPER(TRIM(Raw_Donors!F562))</f>
        <v>Family Donor</v>
      </c>
      <c r="H562" s="9" t="str">
        <f aca="false">IFERROR(IF(Raw_Donors!G562="","N",Raw_Donors!G562),"N")</f>
        <v>Y</v>
      </c>
      <c r="I562" s="9" t="str">
        <f aca="false">IF(Raw_Donors!H562="","Not Rated",Raw_Donors!H562)</f>
        <v>Not Rated</v>
      </c>
      <c r="J562" s="9" t="str">
        <f aca="false">IF(TRIM(Raw_Donors!I562)="","Unknown",TRIM(Raw_Donors!I562))</f>
        <v>HOME</v>
      </c>
      <c r="K562" s="9" t="str">
        <f aca="false">Raw_Donors!J562</f>
        <v>Y</v>
      </c>
      <c r="L562" s="9" t="n">
        <f aca="false">Raw_Donors!K562</f>
        <v>2</v>
      </c>
      <c r="M562" s="10" t="n">
        <f aca="false">IFERROR(VALUE(SUBSTITUTE(SUBSTITUTE(Raw_Donors!L562,"$",""),",","")),0)</f>
        <v>0</v>
      </c>
      <c r="N562" s="10" t="n">
        <f aca="false">IFERROR(VALUE(SUBSTITUTE(SUBSTITUTE(Raw_Donors!M562,"$",""),",","")),0)</f>
        <v>0</v>
      </c>
      <c r="O562" s="10" t="n">
        <f aca="false">IFERROR(VALUE(SUBSTITUTE(SUBSTITUTE(Raw_Donors!N562,"$",""),",","")),0)</f>
        <v>0</v>
      </c>
      <c r="P562" s="10" t="n">
        <f aca="false">IFERROR(VALUE(SUBSTITUTE(SUBSTITUTE(Raw_Donors!O562,"$",""),",","")),0)</f>
        <v>0</v>
      </c>
      <c r="Q562" s="10" t="n">
        <f aca="false">IFERROR(VALUE(SUBSTITUTE(SUBSTITUTE(Raw_Donors!P562,"$",""),",","")),0)</f>
        <v>0</v>
      </c>
      <c r="R562" s="10" t="n">
        <f aca="false">Raw_Donors!Q562</f>
        <v>20</v>
      </c>
      <c r="S562" s="9" t="str">
        <f aca="false">Raw_Donors!R562</f>
        <v>Y</v>
      </c>
      <c r="T562" s="9" t="str">
        <f aca="false">IF(Raw_Donors!S562="","",Raw_Donors!S562)</f>
        <v/>
      </c>
      <c r="U562" s="9" t="str">
        <f aca="false">IF(AND((O562+P562)&gt;0,Q562=0),"Lapsed - Follow Up","")</f>
        <v/>
      </c>
      <c r="V562" s="9" t="n">
        <f aca="false">RANK(R562,$R$2:$R$759)+COUNTIF($R$2:R562,R562)-1</f>
        <v>473</v>
      </c>
      <c r="W562" s="9" t="str">
        <f aca="false">IF(U562="Lapsed - Follow Up",COUNTIF($U$2:U562,"Lapsed - Follow Up"),"")</f>
        <v/>
      </c>
    </row>
    <row r="563" customFormat="false" ht="15" hidden="false" customHeight="true" outlineLevel="0" collapsed="false">
      <c r="A563" s="9" t="str">
        <f aca="false">Raw_Donors!A563</f>
        <v>D1561</v>
      </c>
      <c r="B563" s="9" t="str">
        <f aca="false">IF(ISNUMBER(SEARCH("-DUP",A563)),"Duplicate ID","")</f>
        <v/>
      </c>
      <c r="C563" s="9" t="n">
        <f aca="false">Raw_Donors!B563</f>
        <v>6092</v>
      </c>
      <c r="D563" s="9" t="n">
        <f aca="false">Raw_Donors!C563</f>
        <v>65</v>
      </c>
      <c r="E563" s="9" t="str">
        <f aca="false">IFERROR(IF(Raw_Donors!D563="","Unknown",Raw_Donors!D563),"Unknown")</f>
        <v>Unknown</v>
      </c>
      <c r="F563" s="9" t="str">
        <f aca="false">IFERROR(IF(Raw_Donors!E563="","Unknown",Raw_Donors!E563),"Unknown")</f>
        <v>Female</v>
      </c>
      <c r="G563" s="9" t="str">
        <f aca="false">PROPER(TRIM(Raw_Donors!F563))</f>
        <v>Individual Donor</v>
      </c>
      <c r="H563" s="9" t="str">
        <f aca="false">IFERROR(IF(Raw_Donors!G563="","N",Raw_Donors!G563),"N")</f>
        <v>N</v>
      </c>
      <c r="I563" s="9" t="str">
        <f aca="false">IF(Raw_Donors!H563="","Not Rated",Raw_Donors!H563)</f>
        <v>Not Rated</v>
      </c>
      <c r="J563" s="9" t="str">
        <f aca="false">IF(TRIM(Raw_Donors!I563)="","Unknown",TRIM(Raw_Donors!I563))</f>
        <v>HOME</v>
      </c>
      <c r="K563" s="9" t="str">
        <f aca="false">Raw_Donors!J563</f>
        <v>N</v>
      </c>
      <c r="L563" s="9" t="n">
        <f aca="false">Raw_Donors!K563</f>
        <v>0</v>
      </c>
      <c r="M563" s="10" t="n">
        <f aca="false">IFERROR(VALUE(SUBSTITUTE(SUBSTITUTE(Raw_Donors!L563,"$",""),",","")),0)</f>
        <v>0</v>
      </c>
      <c r="N563" s="10" t="n">
        <f aca="false">IFERROR(VALUE(SUBSTITUTE(SUBSTITUTE(Raw_Donors!M563,"$",""),",","")),0)</f>
        <v>0</v>
      </c>
      <c r="O563" s="10" t="n">
        <f aca="false">IFERROR(VALUE(SUBSTITUTE(SUBSTITUTE(Raw_Donors!N563,"$",""),",","")),0)</f>
        <v>0</v>
      </c>
      <c r="P563" s="10" t="n">
        <f aca="false">IFERROR(VALUE(SUBSTITUTE(SUBSTITUTE(Raw_Donors!O563,"$",""),",","")),0)</f>
        <v>0</v>
      </c>
      <c r="Q563" s="10" t="n">
        <f aca="false">IFERROR(VALUE(SUBSTITUTE(SUBSTITUTE(Raw_Donors!P563,"$",""),",","")),0)</f>
        <v>0</v>
      </c>
      <c r="R563" s="10" t="n">
        <f aca="false">Raw_Donors!Q563</f>
        <v>120</v>
      </c>
      <c r="S563" s="9" t="str">
        <f aca="false">Raw_Donors!R563</f>
        <v>Y</v>
      </c>
      <c r="T563" s="9" t="str">
        <f aca="false">IF(Raw_Donors!S563="","",Raw_Donors!S563)</f>
        <v>1952-09-01</v>
      </c>
      <c r="U563" s="9" t="str">
        <f aca="false">IF(AND((O563+P563)&gt;0,Q563=0),"Lapsed - Follow Up","")</f>
        <v/>
      </c>
      <c r="V563" s="9" t="n">
        <f aca="false">RANK(R563,$R$2:$R$759)+COUNTIF($R$2:R563,R563)-1</f>
        <v>258</v>
      </c>
      <c r="W563" s="9" t="str">
        <f aca="false">IF(U563="Lapsed - Follow Up",COUNTIF($U$2:U563,"Lapsed - Follow Up"),"")</f>
        <v/>
      </c>
    </row>
    <row r="564" customFormat="false" ht="15" hidden="false" customHeight="true" outlineLevel="0" collapsed="false">
      <c r="A564" s="9" t="str">
        <f aca="false">Raw_Donors!A564</f>
        <v>D1562</v>
      </c>
      <c r="B564" s="9" t="str">
        <f aca="false">IF(ISNUMBER(SEARCH("-DUP",A564)),"Duplicate ID","")</f>
        <v/>
      </c>
      <c r="C564" s="9" t="n">
        <f aca="false">Raw_Donors!B564</f>
        <v>12958</v>
      </c>
      <c r="D564" s="9" t="n">
        <f aca="false">Raw_Donors!C564</f>
        <v>0</v>
      </c>
      <c r="E564" s="9" t="str">
        <f aca="false">IFERROR(IF(Raw_Donors!D564="","Unknown",Raw_Donors!D564),"Unknown")</f>
        <v>Married</v>
      </c>
      <c r="F564" s="9" t="str">
        <f aca="false">IFERROR(IF(Raw_Donors!E564="","Unknown",Raw_Donors!E564),"Unknown")</f>
        <v>Female</v>
      </c>
      <c r="G564" s="9" t="str">
        <f aca="false">PROPER(TRIM(Raw_Donors!F564))</f>
        <v>Individual Donor</v>
      </c>
      <c r="H564" s="9" t="str">
        <f aca="false">IFERROR(IF(Raw_Donors!G564="","N",Raw_Donors!G564),"N")</f>
        <v>N</v>
      </c>
      <c r="I564" s="9" t="str">
        <f aca="false">IF(Raw_Donors!H564="","Not Rated",Raw_Donors!H564)</f>
        <v>Not Rated</v>
      </c>
      <c r="J564" s="9" t="str">
        <f aca="false">IF(TRIM(Raw_Donors!I564)="","Unknown",TRIM(Raw_Donors!I564))</f>
        <v>HOME</v>
      </c>
      <c r="K564" s="9" t="str">
        <f aca="false">Raw_Donors!J564</f>
        <v>N</v>
      </c>
      <c r="L564" s="9" t="n">
        <f aca="false">Raw_Donors!K564</f>
        <v>3</v>
      </c>
      <c r="M564" s="10" t="n">
        <f aca="false">IFERROR(VALUE(SUBSTITUTE(SUBSTITUTE(Raw_Donors!L564,"$",""),",","")),0)</f>
        <v>0</v>
      </c>
      <c r="N564" s="10" t="n">
        <f aca="false">IFERROR(VALUE(SUBSTITUTE(SUBSTITUTE(Raw_Donors!M564,"$",""),",","")),0)</f>
        <v>0</v>
      </c>
      <c r="O564" s="10" t="n">
        <f aca="false">IFERROR(VALUE(SUBSTITUTE(SUBSTITUTE(Raw_Donors!N564,"$",""),",","")),0)</f>
        <v>15</v>
      </c>
      <c r="P564" s="10" t="n">
        <f aca="false">IFERROR(VALUE(SUBSTITUTE(SUBSTITUTE(Raw_Donors!O564,"$",""),",","")),0)</f>
        <v>0</v>
      </c>
      <c r="Q564" s="10" t="n">
        <f aca="false">IFERROR(VALUE(SUBSTITUTE(SUBSTITUTE(Raw_Donors!P564,"$",""),",","")),0)</f>
        <v>0</v>
      </c>
      <c r="R564" s="10" t="n">
        <f aca="false">Raw_Donors!Q564</f>
        <v>15</v>
      </c>
      <c r="S564" s="9" t="str">
        <f aca="false">Raw_Donors!R564</f>
        <v>Y</v>
      </c>
      <c r="T564" s="9" t="str">
        <f aca="false">IF(Raw_Donors!S564="","",Raw_Donors!S564)</f>
        <v/>
      </c>
      <c r="U564" s="9" t="str">
        <f aca="false">IF(AND((O564+P564)&gt;0,Q564=0),"Lapsed - Follow Up","")</f>
        <v>Lapsed - Follow Up</v>
      </c>
      <c r="V564" s="9" t="n">
        <f aca="false">RANK(R564,$R$2:$R$759)+COUNTIF($R$2:R564,R564)-1</f>
        <v>489</v>
      </c>
      <c r="W564" s="9" t="n">
        <f aca="false">IF(U564="Lapsed - Follow Up",COUNTIF($U$2:U564,"Lapsed - Follow Up"),"")</f>
        <v>78</v>
      </c>
    </row>
    <row r="565" customFormat="false" ht="15" hidden="false" customHeight="true" outlineLevel="0" collapsed="false">
      <c r="A565" s="9" t="str">
        <f aca="false">Raw_Donors!A565</f>
        <v>D1563</v>
      </c>
      <c r="B565" s="9" t="str">
        <f aca="false">IF(ISNUMBER(SEARCH("-DUP",A565)),"Duplicate ID","")</f>
        <v/>
      </c>
      <c r="C565" s="9" t="n">
        <f aca="false">Raw_Donors!B565</f>
        <v>82224</v>
      </c>
      <c r="D565" s="9" t="n">
        <f aca="false">Raw_Donors!C565</f>
        <v>0</v>
      </c>
      <c r="E565" s="9" t="str">
        <f aca="false">IFERROR(IF(Raw_Donors!D565="","Unknown",Raw_Donors!D565),"Unknown")</f>
        <v>Married</v>
      </c>
      <c r="F565" s="9" t="str">
        <f aca="false">IFERROR(IF(Raw_Donors!E565="","Unknown",Raw_Donors!E565),"Unknown")</f>
        <v>Male</v>
      </c>
      <c r="G565" s="9" t="str">
        <f aca="false">PROPER(TRIM(Raw_Donors!F565))</f>
        <v>Individual Donor</v>
      </c>
      <c r="H565" s="9" t="str">
        <f aca="false">IFERROR(IF(Raw_Donors!G565="","N",Raw_Donors!G565),"N")</f>
        <v>N</v>
      </c>
      <c r="I565" s="9" t="str">
        <f aca="false">IF(Raw_Donors!H565="","Not Rated",Raw_Donors!H565)</f>
        <v>Not Rated</v>
      </c>
      <c r="J565" s="9" t="str">
        <f aca="false">IF(TRIM(Raw_Donors!I565)="","Unknown",TRIM(Raw_Donors!I565))</f>
        <v>HOME</v>
      </c>
      <c r="K565" s="9" t="str">
        <f aca="false">Raw_Donors!J565</f>
        <v>N</v>
      </c>
      <c r="L565" s="9" t="n">
        <f aca="false">Raw_Donors!K565</f>
        <v>1</v>
      </c>
      <c r="M565" s="10" t="n">
        <f aca="false">IFERROR(VALUE(SUBSTITUTE(SUBSTITUTE(Raw_Donors!L565,"$",""),",","")),0)</f>
        <v>0</v>
      </c>
      <c r="N565" s="10" t="n">
        <f aca="false">IFERROR(VALUE(SUBSTITUTE(SUBSTITUTE(Raw_Donors!M565,"$",""),",","")),0)</f>
        <v>0</v>
      </c>
      <c r="O565" s="10" t="n">
        <f aca="false">IFERROR(VALUE(SUBSTITUTE(SUBSTITUTE(Raw_Donors!N565,"$",""),",","")),0)</f>
        <v>0</v>
      </c>
      <c r="P565" s="10" t="n">
        <f aca="false">IFERROR(VALUE(SUBSTITUTE(SUBSTITUTE(Raw_Donors!O565,"$",""),",","")),0)</f>
        <v>0</v>
      </c>
      <c r="Q565" s="10" t="n">
        <f aca="false">IFERROR(VALUE(SUBSTITUTE(SUBSTITUTE(Raw_Donors!P565,"$",""),",","")),0)</f>
        <v>350</v>
      </c>
      <c r="R565" s="10" t="n">
        <f aca="false">Raw_Donors!Q565</f>
        <v>350</v>
      </c>
      <c r="S565" s="9" t="str">
        <f aca="false">Raw_Donors!R565</f>
        <v>Y</v>
      </c>
      <c r="T565" s="9" t="str">
        <f aca="false">IF(Raw_Donors!S565="","",Raw_Donors!S565)</f>
        <v/>
      </c>
      <c r="U565" s="9" t="str">
        <f aca="false">IF(AND((O565+P565)&gt;0,Q565=0),"Lapsed - Follow Up","")</f>
        <v/>
      </c>
      <c r="V565" s="9" t="n">
        <f aca="false">RANK(R565,$R$2:$R$759)+COUNTIF($R$2:R565,R565)-1</f>
        <v>126</v>
      </c>
      <c r="W565" s="9" t="str">
        <f aca="false">IF(U565="Lapsed - Follow Up",COUNTIF($U$2:U565,"Lapsed - Follow Up"),"")</f>
        <v/>
      </c>
    </row>
    <row r="566" customFormat="false" ht="15" hidden="false" customHeight="true" outlineLevel="0" collapsed="false">
      <c r="A566" s="9" t="str">
        <f aca="false">Raw_Donors!A566</f>
        <v>D1564</v>
      </c>
      <c r="B566" s="9" t="str">
        <f aca="false">IF(ISNUMBER(SEARCH("-DUP",A566)),"Duplicate ID","")</f>
        <v/>
      </c>
      <c r="C566" s="9" t="n">
        <f aca="false">Raw_Donors!B566</f>
        <v>90265</v>
      </c>
      <c r="D566" s="9" t="n">
        <f aca="false">Raw_Donors!C566</f>
        <v>45</v>
      </c>
      <c r="E566" s="9" t="str">
        <f aca="false">IFERROR(IF(Raw_Donors!D566="","Unknown",Raw_Donors!D566),"Unknown")</f>
        <v>Unknown</v>
      </c>
      <c r="F566" s="9" t="str">
        <f aca="false">IFERROR(IF(Raw_Donors!E566="","Unknown",Raw_Donors!E566),"Unknown")</f>
        <v>Male</v>
      </c>
      <c r="G566" s="9" t="str">
        <f aca="false">PROPER(TRIM(Raw_Donors!F566))</f>
        <v>Community Partner</v>
      </c>
      <c r="H566" s="9" t="str">
        <f aca="false">IFERROR(IF(Raw_Donors!G566="","N",Raw_Donors!G566),"N")</f>
        <v>Y</v>
      </c>
      <c r="I566" s="9" t="str">
        <f aca="false">IF(Raw_Donors!H566="","Not Rated",Raw_Donors!H566)</f>
        <v>Not Rated</v>
      </c>
      <c r="J566" s="9" t="str">
        <f aca="false">IF(TRIM(Raw_Donors!I566)="","Unknown",TRIM(Raw_Donors!I566))</f>
        <v>Unknown</v>
      </c>
      <c r="K566" s="9" t="str">
        <f aca="false">Raw_Donors!J566</f>
        <v>N</v>
      </c>
      <c r="L566" s="9" t="n">
        <f aca="false">Raw_Donors!K566</f>
        <v>0</v>
      </c>
      <c r="M566" s="10" t="n">
        <f aca="false">IFERROR(VALUE(SUBSTITUTE(SUBSTITUTE(Raw_Donors!L566,"$",""),",","")),0)</f>
        <v>0</v>
      </c>
      <c r="N566" s="10" t="n">
        <f aca="false">IFERROR(VALUE(SUBSTITUTE(SUBSTITUTE(Raw_Donors!M566,"$",""),",","")),0)</f>
        <v>0</v>
      </c>
      <c r="O566" s="10" t="n">
        <f aca="false">IFERROR(VALUE(SUBSTITUTE(SUBSTITUTE(Raw_Donors!N566,"$",""),",","")),0)</f>
        <v>0</v>
      </c>
      <c r="P566" s="10" t="n">
        <f aca="false">IFERROR(VALUE(SUBSTITUTE(SUBSTITUTE(Raw_Donors!O566,"$",""),",","")),0)</f>
        <v>0</v>
      </c>
      <c r="Q566" s="10" t="n">
        <f aca="false">IFERROR(VALUE(SUBSTITUTE(SUBSTITUTE(Raw_Donors!P566,"$",""),",","")),0)</f>
        <v>0</v>
      </c>
      <c r="R566" s="10" t="n">
        <f aca="false">Raw_Donors!Q566</f>
        <v>50</v>
      </c>
      <c r="S566" s="9" t="str">
        <f aca="false">Raw_Donors!R566</f>
        <v>Y</v>
      </c>
      <c r="T566" s="9" t="str">
        <f aca="false">IF(Raw_Donors!S566="","",Raw_Donors!S566)</f>
        <v>1972-01-05</v>
      </c>
      <c r="U566" s="9" t="str">
        <f aca="false">IF(AND((O566+P566)&gt;0,Q566=0),"Lapsed - Follow Up","")</f>
        <v/>
      </c>
      <c r="V566" s="9" t="n">
        <f aca="false">RANK(R566,$R$2:$R$759)+COUNTIF($R$2:R566,R566)-1</f>
        <v>382</v>
      </c>
      <c r="W566" s="9" t="str">
        <f aca="false">IF(U566="Lapsed - Follow Up",COUNTIF($U$2:U566,"Lapsed - Follow Up"),"")</f>
        <v/>
      </c>
    </row>
    <row r="567" customFormat="false" ht="15" hidden="false" customHeight="true" outlineLevel="0" collapsed="false">
      <c r="A567" s="9" t="str">
        <f aca="false">Raw_Donors!A567</f>
        <v>D1565</v>
      </c>
      <c r="B567" s="9" t="str">
        <f aca="false">IF(ISNUMBER(SEARCH("-DUP",A567)),"Duplicate ID","")</f>
        <v/>
      </c>
      <c r="C567" s="9" t="n">
        <f aca="false">Raw_Donors!B567</f>
        <v>77508</v>
      </c>
      <c r="D567" s="9" t="n">
        <f aca="false">Raw_Donors!C567</f>
        <v>0</v>
      </c>
      <c r="E567" s="9" t="str">
        <f aca="false">IFERROR(IF(Raw_Donors!D567="","Unknown",Raw_Donors!D567),"Unknown")</f>
        <v>Married</v>
      </c>
      <c r="F567" s="9" t="str">
        <f aca="false">IFERROR(IF(Raw_Donors!E567="","Unknown",Raw_Donors!E567),"Unknown")</f>
        <v>Male</v>
      </c>
      <c r="G567" s="9" t="str">
        <f aca="false">PROPER(TRIM(Raw_Donors!F567))</f>
        <v>Family Donor</v>
      </c>
      <c r="H567" s="9" t="str">
        <f aca="false">IFERROR(IF(Raw_Donors!G567="","N",Raw_Donors!G567),"N")</f>
        <v>N</v>
      </c>
      <c r="I567" s="9" t="str">
        <f aca="false">IF(Raw_Donors!H567="","Not Rated",Raw_Donors!H567)</f>
        <v>Not Rated</v>
      </c>
      <c r="J567" s="9" t="str">
        <f aca="false">IF(TRIM(Raw_Donors!I567)="","Unknown",TRIM(Raw_Donors!I567))</f>
        <v>HOME</v>
      </c>
      <c r="K567" s="9" t="str">
        <f aca="false">Raw_Donors!J567</f>
        <v>N</v>
      </c>
      <c r="L567" s="9" t="n">
        <f aca="false">Raw_Donors!K567</f>
        <v>0</v>
      </c>
      <c r="M567" s="10" t="n">
        <f aca="false">IFERROR(VALUE(SUBSTITUTE(SUBSTITUTE(Raw_Donors!L567,"$",""),",","")),0)</f>
        <v>0</v>
      </c>
      <c r="N567" s="10" t="n">
        <f aca="false">IFERROR(VALUE(SUBSTITUTE(SUBSTITUTE(Raw_Donors!M567,"$",""),",","")),0)</f>
        <v>0</v>
      </c>
      <c r="O567" s="10" t="n">
        <f aca="false">IFERROR(VALUE(SUBSTITUTE(SUBSTITUTE(Raw_Donors!N567,"$",""),",","")),0)</f>
        <v>0</v>
      </c>
      <c r="P567" s="10" t="n">
        <f aca="false">IFERROR(VALUE(SUBSTITUTE(SUBSTITUTE(Raw_Donors!O567,"$",""),",","")),0)</f>
        <v>120</v>
      </c>
      <c r="Q567" s="10" t="n">
        <f aca="false">IFERROR(VALUE(SUBSTITUTE(SUBSTITUTE(Raw_Donors!P567,"$",""),",","")),0)</f>
        <v>0</v>
      </c>
      <c r="R567" s="10" t="n">
        <f aca="false">Raw_Donors!Q567</f>
        <v>120</v>
      </c>
      <c r="S567" s="9" t="str">
        <f aca="false">Raw_Donors!R567</f>
        <v>Y</v>
      </c>
      <c r="T567" s="9" t="str">
        <f aca="false">IF(Raw_Donors!S567="","",Raw_Donors!S567)</f>
        <v/>
      </c>
      <c r="U567" s="9" t="str">
        <f aca="false">IF(AND((O567+P567)&gt;0,Q567=0),"Lapsed - Follow Up","")</f>
        <v>Lapsed - Follow Up</v>
      </c>
      <c r="V567" s="9" t="n">
        <f aca="false">RANK(R567,$R$2:$R$759)+COUNTIF($R$2:R567,R567)-1</f>
        <v>259</v>
      </c>
      <c r="W567" s="9" t="n">
        <f aca="false">IF(U567="Lapsed - Follow Up",COUNTIF($U$2:U567,"Lapsed - Follow Up"),"")</f>
        <v>79</v>
      </c>
    </row>
    <row r="568" customFormat="false" ht="15" hidden="false" customHeight="true" outlineLevel="0" collapsed="false">
      <c r="A568" s="9" t="str">
        <f aca="false">Raw_Donors!A568</f>
        <v>D1566</v>
      </c>
      <c r="B568" s="9" t="str">
        <f aca="false">IF(ISNUMBER(SEARCH("-DUP",A568)),"Duplicate ID","")</f>
        <v/>
      </c>
      <c r="C568" s="9" t="n">
        <f aca="false">Raw_Donors!B568</f>
        <v>43903</v>
      </c>
      <c r="D568" s="9" t="n">
        <f aca="false">Raw_Donors!C568</f>
        <v>0</v>
      </c>
      <c r="E568" s="9" t="str">
        <f aca="false">IFERROR(IF(Raw_Donors!D568="","Unknown",Raw_Donors!D568),"Unknown")</f>
        <v>Unknown</v>
      </c>
      <c r="F568" s="9" t="str">
        <f aca="false">IFERROR(IF(Raw_Donors!E568="","Unknown",Raw_Donors!E568),"Unknown")</f>
        <v>Male</v>
      </c>
      <c r="G568" s="9" t="str">
        <f aca="false">PROPER(TRIM(Raw_Donors!F568))</f>
        <v>Community Partner</v>
      </c>
      <c r="H568" s="9" t="str">
        <f aca="false">IFERROR(IF(Raw_Donors!G568="","N",Raw_Donors!G568),"N")</f>
        <v>N</v>
      </c>
      <c r="I568" s="9" t="str">
        <f aca="false">IF(Raw_Donors!H568="","Not Rated",Raw_Donors!H568)</f>
        <v>Not Rated</v>
      </c>
      <c r="J568" s="9" t="str">
        <f aca="false">IF(TRIM(Raw_Donors!I568)="","Unknown",TRIM(Raw_Donors!I568))</f>
        <v>BUSN</v>
      </c>
      <c r="K568" s="9" t="str">
        <f aca="false">Raw_Donors!J568</f>
        <v>Y</v>
      </c>
      <c r="L568" s="9" t="n">
        <f aca="false">Raw_Donors!K568</f>
        <v>0</v>
      </c>
      <c r="M568" s="10" t="n">
        <f aca="false">IFERROR(VALUE(SUBSTITUTE(SUBSTITUTE(Raw_Donors!L568,"$",""),",","")),0)</f>
        <v>0</v>
      </c>
      <c r="N568" s="10" t="n">
        <f aca="false">IFERROR(VALUE(SUBSTITUTE(SUBSTITUTE(Raw_Donors!M568,"$",""),",","")),0)</f>
        <v>0</v>
      </c>
      <c r="O568" s="10" t="n">
        <f aca="false">IFERROR(VALUE(SUBSTITUTE(SUBSTITUTE(Raw_Donors!N568,"$",""),",","")),0)</f>
        <v>0</v>
      </c>
      <c r="P568" s="10" t="n">
        <f aca="false">IFERROR(VALUE(SUBSTITUTE(SUBSTITUTE(Raw_Donors!O568,"$",""),",","")),0)</f>
        <v>0</v>
      </c>
      <c r="Q568" s="10" t="n">
        <f aca="false">IFERROR(VALUE(SUBSTITUTE(SUBSTITUTE(Raw_Donors!P568,"$",""),",","")),0)</f>
        <v>0</v>
      </c>
      <c r="R568" s="10" t="n">
        <f aca="false">Raw_Donors!Q568</f>
        <v>120</v>
      </c>
      <c r="S568" s="9" t="str">
        <f aca="false">Raw_Donors!R568</f>
        <v>Y</v>
      </c>
      <c r="T568" s="9" t="str">
        <f aca="false">IF(Raw_Donors!S568="","",Raw_Donors!S568)</f>
        <v/>
      </c>
      <c r="U568" s="9" t="str">
        <f aca="false">IF(AND((O568+P568)&gt;0,Q568=0),"Lapsed - Follow Up","")</f>
        <v/>
      </c>
      <c r="V568" s="9" t="n">
        <f aca="false">RANK(R568,$R$2:$R$759)+COUNTIF($R$2:R568,R568)-1</f>
        <v>260</v>
      </c>
      <c r="W568" s="9" t="str">
        <f aca="false">IF(U568="Lapsed - Follow Up",COUNTIF($U$2:U568,"Lapsed - Follow Up"),"")</f>
        <v/>
      </c>
    </row>
    <row r="569" customFormat="false" ht="15" hidden="false" customHeight="true" outlineLevel="0" collapsed="false">
      <c r="A569" s="9" t="str">
        <f aca="false">Raw_Donors!A569</f>
        <v>D1567</v>
      </c>
      <c r="B569" s="9" t="str">
        <f aca="false">IF(ISNUMBER(SEARCH("-DUP",A569)),"Duplicate ID","")</f>
        <v/>
      </c>
      <c r="C569" s="9" t="n">
        <f aca="false">Raw_Donors!B569</f>
        <v>64051</v>
      </c>
      <c r="D569" s="9" t="n">
        <f aca="false">Raw_Donors!C569</f>
        <v>49</v>
      </c>
      <c r="E569" s="9" t="str">
        <f aca="false">IFERROR(IF(Raw_Donors!D569="","Unknown",Raw_Donors!D569),"Unknown")</f>
        <v>Unknown</v>
      </c>
      <c r="F569" s="9" t="str">
        <f aca="false">IFERROR(IF(Raw_Donors!E569="","Unknown",Raw_Donors!E569),"Unknown")</f>
        <v>Male</v>
      </c>
      <c r="G569" s="9" t="str">
        <f aca="false">PROPER(TRIM(Raw_Donors!F569))</f>
        <v>Community Partner</v>
      </c>
      <c r="H569" s="9" t="str">
        <f aca="false">IFERROR(IF(Raw_Donors!G569="","N",Raw_Donors!G569),"N")</f>
        <v>N</v>
      </c>
      <c r="I569" s="9" t="str">
        <f aca="false">IF(Raw_Donors!H569="","Not Rated",Raw_Donors!H569)</f>
        <v>Not Rated</v>
      </c>
      <c r="J569" s="9" t="str">
        <f aca="false">IF(TRIM(Raw_Donors!I569)="","Unknown",TRIM(Raw_Donors!I569))</f>
        <v>HOME</v>
      </c>
      <c r="K569" s="9" t="str">
        <f aca="false">Raw_Donors!J569</f>
        <v>Y</v>
      </c>
      <c r="L569" s="9" t="n">
        <f aca="false">Raw_Donors!K569</f>
        <v>0</v>
      </c>
      <c r="M569" s="10" t="n">
        <f aca="false">IFERROR(VALUE(SUBSTITUTE(SUBSTITUTE(Raw_Donors!L569,"$",""),",","")),0)</f>
        <v>0</v>
      </c>
      <c r="N569" s="10" t="n">
        <f aca="false">IFERROR(VALUE(SUBSTITUTE(SUBSTITUTE(Raw_Donors!M569,"$",""),",","")),0)</f>
        <v>0</v>
      </c>
      <c r="O569" s="10" t="n">
        <f aca="false">IFERROR(VALUE(SUBSTITUTE(SUBSTITUTE(Raw_Donors!N569,"$",""),",","")),0)</f>
        <v>0</v>
      </c>
      <c r="P569" s="10" t="n">
        <f aca="false">IFERROR(VALUE(SUBSTITUTE(SUBSTITUTE(Raw_Donors!O569,"$",""),",","")),0)</f>
        <v>1</v>
      </c>
      <c r="Q569" s="10" t="n">
        <f aca="false">IFERROR(VALUE(SUBSTITUTE(SUBSTITUTE(Raw_Donors!P569,"$",""),",","")),0)</f>
        <v>0</v>
      </c>
      <c r="R569" s="10" t="n">
        <f aca="false">Raw_Donors!Q569</f>
        <v>20</v>
      </c>
      <c r="S569" s="9" t="str">
        <f aca="false">Raw_Donors!R569</f>
        <v>Y</v>
      </c>
      <c r="T569" s="9" t="str">
        <f aca="false">IF(Raw_Donors!S569="","",Raw_Donors!S569)</f>
        <v>1968-05-01</v>
      </c>
      <c r="U569" s="9" t="str">
        <f aca="false">IF(AND((O569+P569)&gt;0,Q569=0),"Lapsed - Follow Up","")</f>
        <v>Lapsed - Follow Up</v>
      </c>
      <c r="V569" s="9" t="n">
        <f aca="false">RANK(R569,$R$2:$R$759)+COUNTIF($R$2:R569,R569)-1</f>
        <v>474</v>
      </c>
      <c r="W569" s="9" t="n">
        <f aca="false">IF(U569="Lapsed - Follow Up",COUNTIF($U$2:U569,"Lapsed - Follow Up"),"")</f>
        <v>80</v>
      </c>
    </row>
    <row r="570" customFormat="false" ht="15" hidden="false" customHeight="true" outlineLevel="0" collapsed="false">
      <c r="A570" s="9" t="str">
        <f aca="false">Raw_Donors!A570</f>
        <v>D1568</v>
      </c>
      <c r="B570" s="9" t="str">
        <f aca="false">IF(ISNUMBER(SEARCH("-DUP",A570)),"Duplicate ID","")</f>
        <v/>
      </c>
      <c r="C570" s="9" t="n">
        <f aca="false">Raw_Donors!B570</f>
        <v>90265</v>
      </c>
      <c r="D570" s="9" t="n">
        <f aca="false">Raw_Donors!C570</f>
        <v>0</v>
      </c>
      <c r="E570" s="9" t="str">
        <f aca="false">IFERROR(IF(Raw_Donors!D570="","Unknown",Raw_Donors!D570),"Unknown")</f>
        <v>Married</v>
      </c>
      <c r="F570" s="9" t="str">
        <f aca="false">IFERROR(IF(Raw_Donors!E570="","Unknown",Raw_Donors!E570),"Unknown")</f>
        <v>Male</v>
      </c>
      <c r="G570" s="9" t="str">
        <f aca="false">PROPER(TRIM(Raw_Donors!F570))</f>
        <v>Individual Donor</v>
      </c>
      <c r="H570" s="9" t="str">
        <f aca="false">IFERROR(IF(Raw_Donors!G570="","N",Raw_Donors!G570),"N")</f>
        <v>N</v>
      </c>
      <c r="I570" s="9" t="str">
        <f aca="false">IF(Raw_Donors!H570="","Not Rated",Raw_Donors!H570)</f>
        <v>Not Rated</v>
      </c>
      <c r="J570" s="9" t="str">
        <f aca="false">IF(TRIM(Raw_Donors!I570)="","Unknown",TRIM(Raw_Donors!I570))</f>
        <v>HOME</v>
      </c>
      <c r="K570" s="9" t="str">
        <f aca="false">Raw_Donors!J570</f>
        <v>N</v>
      </c>
      <c r="L570" s="9" t="n">
        <f aca="false">Raw_Donors!K570</f>
        <v>1</v>
      </c>
      <c r="M570" s="10" t="n">
        <f aca="false">IFERROR(VALUE(SUBSTITUTE(SUBSTITUTE(Raw_Donors!L570,"$",""),",","")),0)</f>
        <v>0</v>
      </c>
      <c r="N570" s="10" t="n">
        <f aca="false">IFERROR(VALUE(SUBSTITUTE(SUBSTITUTE(Raw_Donors!M570,"$",""),",","")),0)</f>
        <v>0</v>
      </c>
      <c r="O570" s="10" t="n">
        <f aca="false">IFERROR(VALUE(SUBSTITUTE(SUBSTITUTE(Raw_Donors!N570,"$",""),",","")),0)</f>
        <v>0</v>
      </c>
      <c r="P570" s="10" t="n">
        <f aca="false">IFERROR(VALUE(SUBSTITUTE(SUBSTITUTE(Raw_Donors!O570,"$",""),",","")),0)</f>
        <v>0</v>
      </c>
      <c r="Q570" s="10" t="n">
        <f aca="false">IFERROR(VALUE(SUBSTITUTE(SUBSTITUTE(Raw_Donors!P570,"$",""),",","")),0)</f>
        <v>0</v>
      </c>
      <c r="R570" s="10" t="n">
        <f aca="false">Raw_Donors!Q570</f>
        <v>0</v>
      </c>
      <c r="S570" s="9" t="str">
        <f aca="false">Raw_Donors!R570</f>
        <v>N</v>
      </c>
      <c r="T570" s="9" t="str">
        <f aca="false">IF(Raw_Donors!S570="","",Raw_Donors!S570)</f>
        <v/>
      </c>
      <c r="U570" s="9" t="str">
        <f aca="false">IF(AND((O570+P570)&gt;0,Q570=0),"Lapsed - Follow Up","")</f>
        <v/>
      </c>
      <c r="V570" s="9" t="n">
        <f aca="false">RANK(R570,$R$2:$R$759)+COUNTIF($R$2:R570,R570)-1</f>
        <v>704</v>
      </c>
      <c r="W570" s="9" t="str">
        <f aca="false">IF(U570="Lapsed - Follow Up",COUNTIF($U$2:U570,"Lapsed - Follow Up"),"")</f>
        <v/>
      </c>
    </row>
    <row r="571" customFormat="false" ht="15" hidden="false" customHeight="true" outlineLevel="0" collapsed="false">
      <c r="A571" s="9" t="str">
        <f aca="false">Raw_Donors!A571</f>
        <v>D1569</v>
      </c>
      <c r="B571" s="9" t="str">
        <f aca="false">IF(ISNUMBER(SEARCH("-DUP",A571)),"Duplicate ID","")</f>
        <v/>
      </c>
      <c r="C571" s="9" t="n">
        <f aca="false">Raw_Donors!B571</f>
        <v>99758</v>
      </c>
      <c r="D571" s="9" t="n">
        <f aca="false">Raw_Donors!C571</f>
        <v>0</v>
      </c>
      <c r="E571" s="9" t="str">
        <f aca="false">IFERROR(IF(Raw_Donors!D571="","Unknown",Raw_Donors!D571),"Unknown")</f>
        <v>Unknown</v>
      </c>
      <c r="F571" s="9" t="str">
        <f aca="false">IFERROR(IF(Raw_Donors!E571="","Unknown",Raw_Donors!E571),"Unknown")</f>
        <v>Female</v>
      </c>
      <c r="G571" s="9" t="str">
        <f aca="false">PROPER(TRIM(Raw_Donors!F571))</f>
        <v>Community Partner</v>
      </c>
      <c r="H571" s="9" t="str">
        <f aca="false">IFERROR(IF(Raw_Donors!G571="","N",Raw_Donors!G571),"N")</f>
        <v>N</v>
      </c>
      <c r="I571" s="9" t="str">
        <f aca="false">IF(Raw_Donors!H571="","Not Rated",Raw_Donors!H571)</f>
        <v>Not Rated</v>
      </c>
      <c r="J571" s="9" t="str">
        <f aca="false">IF(TRIM(Raw_Donors!I571)="","Unknown",TRIM(Raw_Donors!I571))</f>
        <v>Unknown</v>
      </c>
      <c r="K571" s="9" t="str">
        <f aca="false">Raw_Donors!J571</f>
        <v>N</v>
      </c>
      <c r="L571" s="9" t="n">
        <f aca="false">Raw_Donors!K571</f>
        <v>0</v>
      </c>
      <c r="M571" s="10" t="n">
        <f aca="false">IFERROR(VALUE(SUBSTITUTE(SUBSTITUTE(Raw_Donors!L571,"$",""),",","")),0)</f>
        <v>0</v>
      </c>
      <c r="N571" s="10" t="n">
        <f aca="false">IFERROR(VALUE(SUBSTITUTE(SUBSTITUTE(Raw_Donors!M571,"$",""),",","")),0)</f>
        <v>0</v>
      </c>
      <c r="O571" s="10" t="n">
        <f aca="false">IFERROR(VALUE(SUBSTITUTE(SUBSTITUTE(Raw_Donors!N571,"$",""),",","")),0)</f>
        <v>0</v>
      </c>
      <c r="P571" s="10" t="n">
        <f aca="false">IFERROR(VALUE(SUBSTITUTE(SUBSTITUTE(Raw_Donors!O571,"$",""),",","")),0)</f>
        <v>0</v>
      </c>
      <c r="Q571" s="10" t="n">
        <f aca="false">IFERROR(VALUE(SUBSTITUTE(SUBSTITUTE(Raw_Donors!P571,"$",""),",","")),0)</f>
        <v>0</v>
      </c>
      <c r="R571" s="10" t="n">
        <f aca="false">Raw_Donors!Q571</f>
        <v>0</v>
      </c>
      <c r="S571" s="9" t="str">
        <f aca="false">Raw_Donors!R571</f>
        <v>N</v>
      </c>
      <c r="T571" s="9" t="str">
        <f aca="false">IF(Raw_Donors!S571="","",Raw_Donors!S571)</f>
        <v/>
      </c>
      <c r="U571" s="9" t="str">
        <f aca="false">IF(AND((O571+P571)&gt;0,Q571=0),"Lapsed - Follow Up","")</f>
        <v/>
      </c>
      <c r="V571" s="9" t="n">
        <f aca="false">RANK(R571,$R$2:$R$759)+COUNTIF($R$2:R571,R571)-1</f>
        <v>705</v>
      </c>
      <c r="W571" s="9" t="str">
        <f aca="false">IF(U571="Lapsed - Follow Up",COUNTIF($U$2:U571,"Lapsed - Follow Up"),"")</f>
        <v/>
      </c>
    </row>
    <row r="572" customFormat="false" ht="15" hidden="false" customHeight="true" outlineLevel="0" collapsed="false">
      <c r="A572" s="9" t="str">
        <f aca="false">Raw_Donors!A572</f>
        <v>D1570</v>
      </c>
      <c r="B572" s="9" t="str">
        <f aca="false">IF(ISNUMBER(SEARCH("-DUP",A572)),"Duplicate ID","")</f>
        <v/>
      </c>
      <c r="C572" s="9" t="n">
        <f aca="false">Raw_Donors!B572</f>
        <v>74451</v>
      </c>
      <c r="D572" s="9" t="n">
        <f aca="false">Raw_Donors!C572</f>
        <v>55</v>
      </c>
      <c r="E572" s="9" t="str">
        <f aca="false">IFERROR(IF(Raw_Donors!D572="","Unknown",Raw_Donors!D572),"Unknown")</f>
        <v>Unknown</v>
      </c>
      <c r="F572" s="9" t="str">
        <f aca="false">IFERROR(IF(Raw_Donors!E572="","Unknown",Raw_Donors!E572),"Unknown")</f>
        <v>Female</v>
      </c>
      <c r="G572" s="9" t="str">
        <f aca="false">PROPER(TRIM(Raw_Donors!F572))</f>
        <v>Community Partner</v>
      </c>
      <c r="H572" s="9" t="str">
        <f aca="false">IFERROR(IF(Raw_Donors!G572="","N",Raw_Donors!G572),"N")</f>
        <v>Y</v>
      </c>
      <c r="I572" s="9" t="str">
        <f aca="false">IF(Raw_Donors!H572="","Not Rated",Raw_Donors!H572)</f>
        <v>Not Rated</v>
      </c>
      <c r="J572" s="9" t="str">
        <f aca="false">IF(TRIM(Raw_Donors!I572)="","Unknown",TRIM(Raw_Donors!I572))</f>
        <v>HOME</v>
      </c>
      <c r="K572" s="9" t="str">
        <f aca="false">Raw_Donors!J572</f>
        <v>Y</v>
      </c>
      <c r="L572" s="9" t="n">
        <f aca="false">Raw_Donors!K572</f>
        <v>0</v>
      </c>
      <c r="M572" s="10" t="n">
        <f aca="false">IFERROR(VALUE(SUBSTITUTE(SUBSTITUTE(Raw_Donors!L572,"$",""),",","")),0)</f>
        <v>25</v>
      </c>
      <c r="N572" s="10" t="n">
        <f aca="false">IFERROR(VALUE(SUBSTITUTE(SUBSTITUTE(Raw_Donors!M572,"$",""),",","")),0)</f>
        <v>0</v>
      </c>
      <c r="O572" s="10" t="n">
        <f aca="false">IFERROR(VALUE(SUBSTITUTE(SUBSTITUTE(Raw_Donors!N572,"$",""),",","")),0)</f>
        <v>0</v>
      </c>
      <c r="P572" s="10" t="n">
        <f aca="false">IFERROR(VALUE(SUBSTITUTE(SUBSTITUTE(Raw_Donors!O572,"$",""),",","")),0)</f>
        <v>0</v>
      </c>
      <c r="Q572" s="10" t="n">
        <f aca="false">IFERROR(VALUE(SUBSTITUTE(SUBSTITUTE(Raw_Donors!P572,"$",""),",","")),0)</f>
        <v>0</v>
      </c>
      <c r="R572" s="10" t="n">
        <f aca="false">Raw_Donors!Q572</f>
        <v>186</v>
      </c>
      <c r="S572" s="9" t="str">
        <f aca="false">Raw_Donors!R572</f>
        <v>Y</v>
      </c>
      <c r="T572" s="9" t="str">
        <f aca="false">IF(Raw_Donors!S572="","",Raw_Donors!S572)</f>
        <v>1962-08-09</v>
      </c>
      <c r="U572" s="9" t="str">
        <f aca="false">IF(AND((O572+P572)&gt;0,Q572=0),"Lapsed - Follow Up","")</f>
        <v/>
      </c>
      <c r="V572" s="9" t="n">
        <f aca="false">RANK(R572,$R$2:$R$759)+COUNTIF($R$2:R572,R572)-1</f>
        <v>207</v>
      </c>
      <c r="W572" s="9" t="str">
        <f aca="false">IF(U572="Lapsed - Follow Up",COUNTIF($U$2:U572,"Lapsed - Follow Up"),"")</f>
        <v/>
      </c>
    </row>
    <row r="573" customFormat="false" ht="15" hidden="false" customHeight="true" outlineLevel="0" collapsed="false">
      <c r="A573" s="9" t="str">
        <f aca="false">Raw_Donors!A573</f>
        <v>D1571</v>
      </c>
      <c r="B573" s="9" t="str">
        <f aca="false">IF(ISNUMBER(SEARCH("-DUP",A573)),"Duplicate ID","")</f>
        <v/>
      </c>
      <c r="C573" s="9" t="n">
        <f aca="false">Raw_Donors!B573</f>
        <v>90265</v>
      </c>
      <c r="D573" s="9" t="n">
        <f aca="false">Raw_Donors!C573</f>
        <v>0</v>
      </c>
      <c r="E573" s="9" t="str">
        <f aca="false">IFERROR(IF(Raw_Donors!D573="","Unknown",Raw_Donors!D573),"Unknown")</f>
        <v>Unknown</v>
      </c>
      <c r="F573" s="9" t="str">
        <f aca="false">IFERROR(IF(Raw_Donors!E573="","Unknown",Raw_Donors!E573),"Unknown")</f>
        <v>Male</v>
      </c>
      <c r="G573" s="9" t="str">
        <f aca="false">PROPER(TRIM(Raw_Donors!F573))</f>
        <v>Community Partner</v>
      </c>
      <c r="H573" s="9" t="str">
        <f aca="false">IFERROR(IF(Raw_Donors!G573="","N",Raw_Donors!G573),"N")</f>
        <v>N</v>
      </c>
      <c r="I573" s="9" t="str">
        <f aca="false">IF(Raw_Donors!H573="","Not Rated",Raw_Donors!H573)</f>
        <v>Not Rated</v>
      </c>
      <c r="J573" s="9" t="str">
        <f aca="false">IF(TRIM(Raw_Donors!I573)="","Unknown",TRIM(Raw_Donors!I573))</f>
        <v>HOME</v>
      </c>
      <c r="K573" s="9" t="str">
        <f aca="false">Raw_Donors!J573</f>
        <v>N</v>
      </c>
      <c r="L573" s="9" t="n">
        <f aca="false">Raw_Donors!K573</f>
        <v>0</v>
      </c>
      <c r="M573" s="10" t="n">
        <f aca="false">IFERROR(VALUE(SUBSTITUTE(SUBSTITUTE(Raw_Donors!L573,"$",""),",","")),0)</f>
        <v>0</v>
      </c>
      <c r="N573" s="10" t="n">
        <f aca="false">IFERROR(VALUE(SUBSTITUTE(SUBSTITUTE(Raw_Donors!M573,"$",""),",","")),0)</f>
        <v>0</v>
      </c>
      <c r="O573" s="10" t="n">
        <f aca="false">IFERROR(VALUE(SUBSTITUTE(SUBSTITUTE(Raw_Donors!N573,"$",""),",","")),0)</f>
        <v>0</v>
      </c>
      <c r="P573" s="10" t="n">
        <f aca="false">IFERROR(VALUE(SUBSTITUTE(SUBSTITUTE(Raw_Donors!O573,"$",""),",","")),0)</f>
        <v>0</v>
      </c>
      <c r="Q573" s="10" t="n">
        <f aca="false">IFERROR(VALUE(SUBSTITUTE(SUBSTITUTE(Raw_Donors!P573,"$",""),",","")),0)</f>
        <v>0</v>
      </c>
      <c r="R573" s="10" t="n">
        <f aca="false">Raw_Donors!Q573</f>
        <v>0</v>
      </c>
      <c r="S573" s="9" t="str">
        <f aca="false">Raw_Donors!R573</f>
        <v>N</v>
      </c>
      <c r="T573" s="9" t="str">
        <f aca="false">IF(Raw_Donors!S573="","",Raw_Donors!S573)</f>
        <v/>
      </c>
      <c r="U573" s="9" t="str">
        <f aca="false">IF(AND((O573+P573)&gt;0,Q573=0),"Lapsed - Follow Up","")</f>
        <v/>
      </c>
      <c r="V573" s="9" t="n">
        <f aca="false">RANK(R573,$R$2:$R$759)+COUNTIF($R$2:R573,R573)-1</f>
        <v>706</v>
      </c>
      <c r="W573" s="9" t="str">
        <f aca="false">IF(U573="Lapsed - Follow Up",COUNTIF($U$2:U573,"Lapsed - Follow Up"),"")</f>
        <v/>
      </c>
    </row>
    <row r="574" customFormat="false" ht="15" hidden="false" customHeight="true" outlineLevel="0" collapsed="false">
      <c r="A574" s="9" t="str">
        <f aca="false">Raw_Donors!A574</f>
        <v>D1572</v>
      </c>
      <c r="B574" s="9" t="str">
        <f aca="false">IF(ISNUMBER(SEARCH("-DUP",A574)),"Duplicate ID","")</f>
        <v/>
      </c>
      <c r="C574" s="9" t="n">
        <f aca="false">Raw_Donors!B574</f>
        <v>72003</v>
      </c>
      <c r="D574" s="9" t="n">
        <f aca="false">Raw_Donors!C574</f>
        <v>0</v>
      </c>
      <c r="E574" s="9" t="str">
        <f aca="false">IFERROR(IF(Raw_Donors!D574="","Unknown",Raw_Donors!D574),"Unknown")</f>
        <v>Unknown</v>
      </c>
      <c r="F574" s="9" t="str">
        <f aca="false">IFERROR(IF(Raw_Donors!E574="","Unknown",Raw_Donors!E574),"Unknown")</f>
        <v>Female</v>
      </c>
      <c r="G574" s="9" t="str">
        <f aca="false">PROPER(TRIM(Raw_Donors!F574))</f>
        <v>Individual Donor</v>
      </c>
      <c r="H574" s="9" t="str">
        <f aca="false">IFERROR(IF(Raw_Donors!G574="","N",Raw_Donors!G574),"N")</f>
        <v>N</v>
      </c>
      <c r="I574" s="9" t="str">
        <f aca="false">IF(Raw_Donors!H574="","Not Rated",Raw_Donors!H574)</f>
        <v>Not Rated</v>
      </c>
      <c r="J574" s="9" t="str">
        <f aca="false">IF(TRIM(Raw_Donors!I574)="","Unknown",TRIM(Raw_Donors!I574))</f>
        <v>HOME</v>
      </c>
      <c r="K574" s="9" t="str">
        <f aca="false">Raw_Donors!J574</f>
        <v>N</v>
      </c>
      <c r="L574" s="9" t="n">
        <f aca="false">Raw_Donors!K574</f>
        <v>10</v>
      </c>
      <c r="M574" s="10" t="n">
        <f aca="false">IFERROR(VALUE(SUBSTITUTE(SUBSTITUTE(Raw_Donors!L574,"$",""),",","")),0)</f>
        <v>0</v>
      </c>
      <c r="N574" s="10" t="n">
        <f aca="false">IFERROR(VALUE(SUBSTITUTE(SUBSTITUTE(Raw_Donors!M574,"$",""),",","")),0)</f>
        <v>0</v>
      </c>
      <c r="O574" s="10" t="n">
        <f aca="false">IFERROR(VALUE(SUBSTITUTE(SUBSTITUTE(Raw_Donors!N574,"$",""),",","")),0)</f>
        <v>70</v>
      </c>
      <c r="P574" s="10" t="n">
        <f aca="false">IFERROR(VALUE(SUBSTITUTE(SUBSTITUTE(Raw_Donors!O574,"$",""),",","")),0)</f>
        <v>0</v>
      </c>
      <c r="Q574" s="10" t="n">
        <f aca="false">IFERROR(VALUE(SUBSTITUTE(SUBSTITUTE(Raw_Donors!P574,"$",""),",","")),0)</f>
        <v>0</v>
      </c>
      <c r="R574" s="10" t="n">
        <f aca="false">Raw_Donors!Q574</f>
        <v>724</v>
      </c>
      <c r="S574" s="9" t="str">
        <f aca="false">Raw_Donors!R574</f>
        <v>Y</v>
      </c>
      <c r="T574" s="9" t="str">
        <f aca="false">IF(Raw_Donors!S574="","",Raw_Donors!S574)</f>
        <v/>
      </c>
      <c r="U574" s="9" t="str">
        <f aca="false">IF(AND((O574+P574)&gt;0,Q574=0),"Lapsed - Follow Up","")</f>
        <v>Lapsed - Follow Up</v>
      </c>
      <c r="V574" s="9" t="n">
        <f aca="false">RANK(R574,$R$2:$R$759)+COUNTIF($R$2:R574,R574)-1</f>
        <v>70</v>
      </c>
      <c r="W574" s="9" t="n">
        <f aca="false">IF(U574="Lapsed - Follow Up",COUNTIF($U$2:U574,"Lapsed - Follow Up"),"")</f>
        <v>81</v>
      </c>
    </row>
    <row r="575" customFormat="false" ht="15" hidden="false" customHeight="true" outlineLevel="0" collapsed="false">
      <c r="A575" s="9" t="str">
        <f aca="false">Raw_Donors!A575</f>
        <v>D1573</v>
      </c>
      <c r="B575" s="9" t="str">
        <f aca="false">IF(ISNUMBER(SEARCH("-DUP",A575)),"Duplicate ID","")</f>
        <v/>
      </c>
      <c r="C575" s="9" t="n">
        <f aca="false">Raw_Donors!B575</f>
        <v>77471</v>
      </c>
      <c r="D575" s="9" t="n">
        <f aca="false">Raw_Donors!C575</f>
        <v>0</v>
      </c>
      <c r="E575" s="9" t="str">
        <f aca="false">IFERROR(IF(Raw_Donors!D575="","Unknown",Raw_Donors!D575),"Unknown")</f>
        <v>Unknown</v>
      </c>
      <c r="F575" s="9" t="str">
        <f aca="false">IFERROR(IF(Raw_Donors!E575="","Unknown",Raw_Donors!E575),"Unknown")</f>
        <v>Female</v>
      </c>
      <c r="G575" s="9" t="str">
        <f aca="false">PROPER(TRIM(Raw_Donors!F575))</f>
        <v>Individual Donor</v>
      </c>
      <c r="H575" s="9" t="str">
        <f aca="false">IFERROR(IF(Raw_Donors!G575="","N",Raw_Donors!G575),"N")</f>
        <v>N</v>
      </c>
      <c r="I575" s="9" t="str">
        <f aca="false">IF(Raw_Donors!H575="","Not Rated",Raw_Donors!H575)</f>
        <v>Not Rated</v>
      </c>
      <c r="J575" s="9" t="str">
        <f aca="false">IF(TRIM(Raw_Donors!I575)="","Unknown",TRIM(Raw_Donors!I575))</f>
        <v>Unknown</v>
      </c>
      <c r="K575" s="9" t="str">
        <f aca="false">Raw_Donors!J575</f>
        <v>N</v>
      </c>
      <c r="L575" s="9" t="n">
        <f aca="false">Raw_Donors!K575</f>
        <v>3</v>
      </c>
      <c r="M575" s="10" t="n">
        <f aca="false">IFERROR(VALUE(SUBSTITUTE(SUBSTITUTE(Raw_Donors!L575,"$",""),",","")),0)</f>
        <v>0</v>
      </c>
      <c r="N575" s="10" t="n">
        <f aca="false">IFERROR(VALUE(SUBSTITUTE(SUBSTITUTE(Raw_Donors!M575,"$",""),",","")),0)</f>
        <v>0</v>
      </c>
      <c r="O575" s="10" t="n">
        <f aca="false">IFERROR(VALUE(SUBSTITUTE(SUBSTITUTE(Raw_Donors!N575,"$",""),",","")),0)</f>
        <v>0</v>
      </c>
      <c r="P575" s="10" t="n">
        <f aca="false">IFERROR(VALUE(SUBSTITUTE(SUBSTITUTE(Raw_Donors!O575,"$",""),",","")),0)</f>
        <v>0</v>
      </c>
      <c r="Q575" s="10" t="n">
        <f aca="false">IFERROR(VALUE(SUBSTITUTE(SUBSTITUTE(Raw_Donors!P575,"$",""),",","")),0)</f>
        <v>0</v>
      </c>
      <c r="R575" s="10" t="n">
        <f aca="false">Raw_Donors!Q575</f>
        <v>100</v>
      </c>
      <c r="S575" s="9" t="str">
        <f aca="false">Raw_Donors!R575</f>
        <v>Y</v>
      </c>
      <c r="T575" s="9" t="str">
        <f aca="false">IF(Raw_Donors!S575="","",Raw_Donors!S575)</f>
        <v/>
      </c>
      <c r="U575" s="9" t="str">
        <f aca="false">IF(AND((O575+P575)&gt;0,Q575=0),"Lapsed - Follow Up","")</f>
        <v/>
      </c>
      <c r="V575" s="9" t="n">
        <f aca="false">RANK(R575,$R$2:$R$759)+COUNTIF($R$2:R575,R575)-1</f>
        <v>294</v>
      </c>
      <c r="W575" s="9" t="str">
        <f aca="false">IF(U575="Lapsed - Follow Up",COUNTIF($U$2:U575,"Lapsed - Follow Up"),"")</f>
        <v/>
      </c>
    </row>
    <row r="576" customFormat="false" ht="15" hidden="false" customHeight="true" outlineLevel="0" collapsed="false">
      <c r="A576" s="9" t="str">
        <f aca="false">Raw_Donors!A576</f>
        <v>D1574</v>
      </c>
      <c r="B576" s="9" t="str">
        <f aca="false">IF(ISNUMBER(SEARCH("-DUP",A576)),"Duplicate ID","")</f>
        <v/>
      </c>
      <c r="C576" s="9" t="n">
        <f aca="false">Raw_Donors!B576</f>
        <v>90265</v>
      </c>
      <c r="D576" s="9" t="n">
        <f aca="false">Raw_Donors!C576</f>
        <v>0</v>
      </c>
      <c r="E576" s="9" t="str">
        <f aca="false">IFERROR(IF(Raw_Donors!D576="","Unknown",Raw_Donors!D576),"Unknown")</f>
        <v>Single</v>
      </c>
      <c r="F576" s="9" t="str">
        <f aca="false">IFERROR(IF(Raw_Donors!E576="","Unknown",Raw_Donors!E576),"Unknown")</f>
        <v>Male</v>
      </c>
      <c r="G576" s="9" t="str">
        <f aca="false">PROPER(TRIM(Raw_Donors!F576))</f>
        <v>Individual Donor</v>
      </c>
      <c r="H576" s="9" t="str">
        <f aca="false">IFERROR(IF(Raw_Donors!G576="","N",Raw_Donors!G576),"N")</f>
        <v>N</v>
      </c>
      <c r="I576" s="9" t="str">
        <f aca="false">IF(Raw_Donors!H576="","Not Rated",Raw_Donors!H576)</f>
        <v>Not Rated</v>
      </c>
      <c r="J576" s="9" t="str">
        <f aca="false">IF(TRIM(Raw_Donors!I576)="","Unknown",TRIM(Raw_Donors!I576))</f>
        <v>HOME</v>
      </c>
      <c r="K576" s="9" t="str">
        <f aca="false">Raw_Donors!J576</f>
        <v>N</v>
      </c>
      <c r="L576" s="9" t="n">
        <f aca="false">Raw_Donors!K576</f>
        <v>1</v>
      </c>
      <c r="M576" s="10" t="n">
        <f aca="false">IFERROR(VALUE(SUBSTITUTE(SUBSTITUTE(Raw_Donors!L576,"$",""),",","")),0)</f>
        <v>0</v>
      </c>
      <c r="N576" s="10" t="n">
        <f aca="false">IFERROR(VALUE(SUBSTITUTE(SUBSTITUTE(Raw_Donors!M576,"$",""),",","")),0)</f>
        <v>0</v>
      </c>
      <c r="O576" s="10" t="n">
        <f aca="false">IFERROR(VALUE(SUBSTITUTE(SUBSTITUTE(Raw_Donors!N576,"$",""),",","")),0)</f>
        <v>0</v>
      </c>
      <c r="P576" s="10" t="n">
        <f aca="false">IFERROR(VALUE(SUBSTITUTE(SUBSTITUTE(Raw_Donors!O576,"$",""),",","")),0)</f>
        <v>1</v>
      </c>
      <c r="Q576" s="10" t="n">
        <f aca="false">IFERROR(VALUE(SUBSTITUTE(SUBSTITUTE(Raw_Donors!P576,"$",""),",","")),0)</f>
        <v>0</v>
      </c>
      <c r="R576" s="10" t="n">
        <f aca="false">Raw_Donors!Q576</f>
        <v>1</v>
      </c>
      <c r="S576" s="9" t="str">
        <f aca="false">Raw_Donors!R576</f>
        <v>Y</v>
      </c>
      <c r="T576" s="9" t="str">
        <f aca="false">IF(Raw_Donors!S576="","",Raw_Donors!S576)</f>
        <v/>
      </c>
      <c r="U576" s="9" t="str">
        <f aca="false">IF(AND((O576+P576)&gt;0,Q576=0),"Lapsed - Follow Up","")</f>
        <v>Lapsed - Follow Up</v>
      </c>
      <c r="V576" s="9" t="n">
        <f aca="false">RANK(R576,$R$2:$R$759)+COUNTIF($R$2:R576,R576)-1</f>
        <v>552</v>
      </c>
      <c r="W576" s="9" t="n">
        <f aca="false">IF(U576="Lapsed - Follow Up",COUNTIF($U$2:U576,"Lapsed - Follow Up"),"")</f>
        <v>82</v>
      </c>
    </row>
    <row r="577" customFormat="false" ht="15" hidden="false" customHeight="true" outlineLevel="0" collapsed="false">
      <c r="A577" s="9" t="str">
        <f aca="false">Raw_Donors!A577</f>
        <v>D1575</v>
      </c>
      <c r="B577" s="9" t="str">
        <f aca="false">IF(ISNUMBER(SEARCH("-DUP",A577)),"Duplicate ID","")</f>
        <v/>
      </c>
      <c r="C577" s="9" t="n">
        <f aca="false">Raw_Donors!B577</f>
        <v>67752</v>
      </c>
      <c r="D577" s="9" t="n">
        <f aca="false">Raw_Donors!C577</f>
        <v>0</v>
      </c>
      <c r="E577" s="9" t="str">
        <f aca="false">IFERROR(IF(Raw_Donors!D577="","Unknown",Raw_Donors!D577),"Unknown")</f>
        <v>Unknown</v>
      </c>
      <c r="F577" s="9" t="str">
        <f aca="false">IFERROR(IF(Raw_Donors!E577="","Unknown",Raw_Donors!E577),"Unknown")</f>
        <v>Female</v>
      </c>
      <c r="G577" s="9" t="str">
        <f aca="false">PROPER(TRIM(Raw_Donors!F577))</f>
        <v>Individual Donor</v>
      </c>
      <c r="H577" s="9" t="str">
        <f aca="false">IFERROR(IF(Raw_Donors!G577="","N",Raw_Donors!G577),"N")</f>
        <v>N</v>
      </c>
      <c r="I577" s="9" t="str">
        <f aca="false">IF(Raw_Donors!H577="","Not Rated",Raw_Donors!H577)</f>
        <v>Not Rated</v>
      </c>
      <c r="J577" s="9" t="str">
        <f aca="false">IF(TRIM(Raw_Donors!I577)="","Unknown",TRIM(Raw_Donors!I577))</f>
        <v>Unknown</v>
      </c>
      <c r="K577" s="9" t="str">
        <f aca="false">Raw_Donors!J577</f>
        <v>N</v>
      </c>
      <c r="L577" s="9" t="n">
        <f aca="false">Raw_Donors!K577</f>
        <v>9</v>
      </c>
      <c r="M577" s="10" t="n">
        <f aca="false">IFERROR(VALUE(SUBSTITUTE(SUBSTITUTE(Raw_Donors!L577,"$",""),",","")),0)</f>
        <v>25</v>
      </c>
      <c r="N577" s="10" t="n">
        <f aca="false">IFERROR(VALUE(SUBSTITUTE(SUBSTITUTE(Raw_Donors!M577,"$",""),",","")),0)</f>
        <v>0</v>
      </c>
      <c r="O577" s="10" t="n">
        <f aca="false">IFERROR(VALUE(SUBSTITUTE(SUBSTITUTE(Raw_Donors!N577,"$",""),",","")),0)</f>
        <v>0</v>
      </c>
      <c r="P577" s="10" t="n">
        <f aca="false">IFERROR(VALUE(SUBSTITUTE(SUBSTITUTE(Raw_Donors!O577,"$",""),",","")),0)</f>
        <v>0</v>
      </c>
      <c r="Q577" s="10" t="n">
        <f aca="false">IFERROR(VALUE(SUBSTITUTE(SUBSTITUTE(Raw_Donors!P577,"$",""),",","")),0)</f>
        <v>0</v>
      </c>
      <c r="R577" s="10" t="n">
        <f aca="false">Raw_Donors!Q577</f>
        <v>3864</v>
      </c>
      <c r="S577" s="9" t="str">
        <f aca="false">Raw_Donors!R577</f>
        <v>Y</v>
      </c>
      <c r="T577" s="9" t="str">
        <f aca="false">IF(Raw_Donors!S577="","",Raw_Donors!S577)</f>
        <v/>
      </c>
      <c r="U577" s="9" t="str">
        <f aca="false">IF(AND((O577+P577)&gt;0,Q577=0),"Lapsed - Follow Up","")</f>
        <v/>
      </c>
      <c r="V577" s="9" t="n">
        <f aca="false">RANK(R577,$R$2:$R$759)+COUNTIF($R$2:R577,R577)-1</f>
        <v>17</v>
      </c>
      <c r="W577" s="9" t="str">
        <f aca="false">IF(U577="Lapsed - Follow Up",COUNTIF($U$2:U577,"Lapsed - Follow Up"),"")</f>
        <v/>
      </c>
    </row>
    <row r="578" customFormat="false" ht="15" hidden="false" customHeight="true" outlineLevel="0" collapsed="false">
      <c r="A578" s="9" t="str">
        <f aca="false">Raw_Donors!A578</f>
        <v>D1576</v>
      </c>
      <c r="B578" s="9" t="str">
        <f aca="false">IF(ISNUMBER(SEARCH("-DUP",A578)),"Duplicate ID","")</f>
        <v/>
      </c>
      <c r="C578" s="9" t="n">
        <f aca="false">Raw_Donors!B578</f>
        <v>48832</v>
      </c>
      <c r="D578" s="9" t="n">
        <f aca="false">Raw_Donors!C578</f>
        <v>0</v>
      </c>
      <c r="E578" s="9" t="str">
        <f aca="false">IFERROR(IF(Raw_Donors!D578="","Unknown",Raw_Donors!D578),"Unknown")</f>
        <v>Married</v>
      </c>
      <c r="F578" s="9" t="str">
        <f aca="false">IFERROR(IF(Raw_Donors!E578="","Unknown",Raw_Donors!E578),"Unknown")</f>
        <v>Male</v>
      </c>
      <c r="G578" s="9" t="str">
        <f aca="false">PROPER(TRIM(Raw_Donors!F578))</f>
        <v>Individual Donor</v>
      </c>
      <c r="H578" s="9" t="str">
        <f aca="false">IFERROR(IF(Raw_Donors!G578="","N",Raw_Donors!G578),"N")</f>
        <v>N</v>
      </c>
      <c r="I578" s="9" t="str">
        <f aca="false">IF(Raw_Donors!H578="","Not Rated",Raw_Donors!H578)</f>
        <v>Not Rated</v>
      </c>
      <c r="J578" s="9" t="str">
        <f aca="false">IF(TRIM(Raw_Donors!I578)="","Unknown",TRIM(Raw_Donors!I578))</f>
        <v>HOME</v>
      </c>
      <c r="K578" s="9" t="str">
        <f aca="false">Raw_Donors!J578</f>
        <v>N</v>
      </c>
      <c r="L578" s="9" t="n">
        <f aca="false">Raw_Donors!K578</f>
        <v>0</v>
      </c>
      <c r="M578" s="10" t="n">
        <f aca="false">IFERROR(VALUE(SUBSTITUTE(SUBSTITUTE(Raw_Donors!L578,"$",""),",","")),0)</f>
        <v>0</v>
      </c>
      <c r="N578" s="10" t="n">
        <f aca="false">IFERROR(VALUE(SUBSTITUTE(SUBSTITUTE(Raw_Donors!M578,"$",""),",","")),0)</f>
        <v>0</v>
      </c>
      <c r="O578" s="10" t="n">
        <f aca="false">IFERROR(VALUE(SUBSTITUTE(SUBSTITUTE(Raw_Donors!N578,"$",""),",","")),0)</f>
        <v>0</v>
      </c>
      <c r="P578" s="10" t="n">
        <f aca="false">IFERROR(VALUE(SUBSTITUTE(SUBSTITUTE(Raw_Donors!O578,"$",""),",","")),0)</f>
        <v>0</v>
      </c>
      <c r="Q578" s="10" t="n">
        <f aca="false">IFERROR(VALUE(SUBSTITUTE(SUBSTITUTE(Raw_Donors!P578,"$",""),",","")),0)</f>
        <v>0</v>
      </c>
      <c r="R578" s="10" t="n">
        <f aca="false">Raw_Donors!Q578</f>
        <v>65</v>
      </c>
      <c r="S578" s="9" t="str">
        <f aca="false">Raw_Donors!R578</f>
        <v>Y</v>
      </c>
      <c r="T578" s="9" t="str">
        <f aca="false">IF(Raw_Donors!S578="","",Raw_Donors!S578)</f>
        <v/>
      </c>
      <c r="U578" s="9" t="str">
        <f aca="false">IF(AND((O578+P578)&gt;0,Q578=0),"Lapsed - Follow Up","")</f>
        <v/>
      </c>
      <c r="V578" s="9" t="n">
        <f aca="false">RANK(R578,$R$2:$R$759)+COUNTIF($R$2:R578,R578)-1</f>
        <v>346</v>
      </c>
      <c r="W578" s="9" t="str">
        <f aca="false">IF(U578="Lapsed - Follow Up",COUNTIF($U$2:U578,"Lapsed - Follow Up"),"")</f>
        <v/>
      </c>
    </row>
    <row r="579" customFormat="false" ht="15" hidden="false" customHeight="true" outlineLevel="0" collapsed="false">
      <c r="A579" s="9" t="str">
        <f aca="false">Raw_Donors!A579</f>
        <v>D1577</v>
      </c>
      <c r="B579" s="9" t="str">
        <f aca="false">IF(ISNUMBER(SEARCH("-DUP",A579)),"Duplicate ID","")</f>
        <v/>
      </c>
      <c r="C579" s="9" t="n">
        <f aca="false">Raw_Donors!B579</f>
        <v>65756</v>
      </c>
      <c r="D579" s="9" t="n">
        <f aca="false">Raw_Donors!C579</f>
        <v>33</v>
      </c>
      <c r="E579" s="9" t="str">
        <f aca="false">IFERROR(IF(Raw_Donors!D579="","Unknown",Raw_Donors!D579),"Unknown")</f>
        <v>Unknown</v>
      </c>
      <c r="F579" s="9" t="str">
        <f aca="false">IFERROR(IF(Raw_Donors!E579="","Unknown",Raw_Donors!E579),"Unknown")</f>
        <v>Female</v>
      </c>
      <c r="G579" s="9" t="str">
        <f aca="false">PROPER(TRIM(Raw_Donors!F579))</f>
        <v>Individual Donor</v>
      </c>
      <c r="H579" s="9" t="str">
        <f aca="false">IFERROR(IF(Raw_Donors!G579="","N",Raw_Donors!G579),"N")</f>
        <v>N</v>
      </c>
      <c r="I579" s="9" t="str">
        <f aca="false">IF(Raw_Donors!H579="","Not Rated",Raw_Donors!H579)</f>
        <v>Not Rated</v>
      </c>
      <c r="J579" s="9" t="str">
        <f aca="false">IF(TRIM(Raw_Donors!I579)="","Unknown",TRIM(Raw_Donors!I579))</f>
        <v>HOME</v>
      </c>
      <c r="K579" s="9" t="str">
        <f aca="false">Raw_Donors!J579</f>
        <v>Y</v>
      </c>
      <c r="L579" s="9" t="n">
        <f aca="false">Raw_Donors!K579</f>
        <v>0</v>
      </c>
      <c r="M579" s="10" t="n">
        <f aca="false">IFERROR(VALUE(SUBSTITUTE(SUBSTITUTE(Raw_Donors!L579,"$",""),",","")),0)</f>
        <v>0</v>
      </c>
      <c r="N579" s="10" t="n">
        <f aca="false">IFERROR(VALUE(SUBSTITUTE(SUBSTITUTE(Raw_Donors!M579,"$",""),",","")),0)</f>
        <v>0</v>
      </c>
      <c r="O579" s="10" t="n">
        <f aca="false">IFERROR(VALUE(SUBSTITUTE(SUBSTITUTE(Raw_Donors!N579,"$",""),",","")),0)</f>
        <v>0</v>
      </c>
      <c r="P579" s="10" t="n">
        <f aca="false">IFERROR(VALUE(SUBSTITUTE(SUBSTITUTE(Raw_Donors!O579,"$",""),",","")),0)</f>
        <v>0</v>
      </c>
      <c r="Q579" s="10" t="n">
        <f aca="false">IFERROR(VALUE(SUBSTITUTE(SUBSTITUTE(Raw_Donors!P579,"$",""),",","")),0)</f>
        <v>0</v>
      </c>
      <c r="R579" s="10" t="n">
        <f aca="false">Raw_Donors!Q579</f>
        <v>325</v>
      </c>
      <c r="S579" s="9" t="str">
        <f aca="false">Raw_Donors!R579</f>
        <v>Y</v>
      </c>
      <c r="T579" s="9" t="str">
        <f aca="false">IF(Raw_Donors!S579="","",Raw_Donors!S579)</f>
        <v>1984-09-20</v>
      </c>
      <c r="U579" s="9" t="str">
        <f aca="false">IF(AND((O579+P579)&gt;0,Q579=0),"Lapsed - Follow Up","")</f>
        <v/>
      </c>
      <c r="V579" s="9" t="n">
        <f aca="false">RANK(R579,$R$2:$R$759)+COUNTIF($R$2:R579,R579)-1</f>
        <v>135</v>
      </c>
      <c r="W579" s="9" t="str">
        <f aca="false">IF(U579="Lapsed - Follow Up",COUNTIF($U$2:U579,"Lapsed - Follow Up"),"")</f>
        <v/>
      </c>
    </row>
    <row r="580" customFormat="false" ht="15" hidden="false" customHeight="true" outlineLevel="0" collapsed="false">
      <c r="A580" s="9" t="str">
        <f aca="false">Raw_Donors!A580</f>
        <v>D1578</v>
      </c>
      <c r="B580" s="9" t="str">
        <f aca="false">IF(ISNUMBER(SEARCH("-DUP",A580)),"Duplicate ID","")</f>
        <v/>
      </c>
      <c r="C580" s="9" t="n">
        <f aca="false">Raw_Donors!B580</f>
        <v>90265</v>
      </c>
      <c r="D580" s="9" t="n">
        <f aca="false">Raw_Donors!C580</f>
        <v>46</v>
      </c>
      <c r="E580" s="9" t="str">
        <f aca="false">IFERROR(IF(Raw_Donors!D580="","Unknown",Raw_Donors!D580),"Unknown")</f>
        <v>Unknown</v>
      </c>
      <c r="F580" s="9" t="str">
        <f aca="false">IFERROR(IF(Raw_Donors!E580="","Unknown",Raw_Donors!E580),"Unknown")</f>
        <v>Male</v>
      </c>
      <c r="G580" s="9" t="str">
        <f aca="false">PROPER(TRIM(Raw_Donors!F580))</f>
        <v>Community Partner</v>
      </c>
      <c r="H580" s="9" t="str">
        <f aca="false">IFERROR(IF(Raw_Donors!G580="","N",Raw_Donors!G580),"N")</f>
        <v>Y</v>
      </c>
      <c r="I580" s="9" t="str">
        <f aca="false">IF(Raw_Donors!H580="","Not Rated",Raw_Donors!H580)</f>
        <v>Not Rated</v>
      </c>
      <c r="J580" s="9" t="str">
        <f aca="false">IF(TRIM(Raw_Donors!I580)="","Unknown",TRIM(Raw_Donors!I580))</f>
        <v>HOME</v>
      </c>
      <c r="K580" s="9" t="str">
        <f aca="false">Raw_Donors!J580</f>
        <v>Y</v>
      </c>
      <c r="L580" s="9" t="n">
        <f aca="false">Raw_Donors!K580</f>
        <v>0</v>
      </c>
      <c r="M580" s="10" t="n">
        <f aca="false">IFERROR(VALUE(SUBSTITUTE(SUBSTITUTE(Raw_Donors!L580,"$",""),",","")),0)</f>
        <v>0</v>
      </c>
      <c r="N580" s="10" t="n">
        <f aca="false">IFERROR(VALUE(SUBSTITUTE(SUBSTITUTE(Raw_Donors!M580,"$",""),",","")),0)</f>
        <v>0</v>
      </c>
      <c r="O580" s="10" t="n">
        <f aca="false">IFERROR(VALUE(SUBSTITUTE(SUBSTITUTE(Raw_Donors!N580,"$",""),",","")),0)</f>
        <v>0</v>
      </c>
      <c r="P580" s="10" t="n">
        <f aca="false">IFERROR(VALUE(SUBSTITUTE(SUBSTITUTE(Raw_Donors!O580,"$",""),",","")),0)</f>
        <v>0</v>
      </c>
      <c r="Q580" s="10" t="n">
        <f aca="false">IFERROR(VALUE(SUBSTITUTE(SUBSTITUTE(Raw_Donors!P580,"$",""),",","")),0)</f>
        <v>0</v>
      </c>
      <c r="R580" s="10" t="n">
        <f aca="false">Raw_Donors!Q580</f>
        <v>0</v>
      </c>
      <c r="S580" s="9" t="str">
        <f aca="false">Raw_Donors!R580</f>
        <v>N</v>
      </c>
      <c r="T580" s="9" t="str">
        <f aca="false">IF(Raw_Donors!S580="","",Raw_Donors!S580)</f>
        <v>1971-09-01</v>
      </c>
      <c r="U580" s="9" t="str">
        <f aca="false">IF(AND((O580+P580)&gt;0,Q580=0),"Lapsed - Follow Up","")</f>
        <v/>
      </c>
      <c r="V580" s="9" t="n">
        <f aca="false">RANK(R580,$R$2:$R$759)+COUNTIF($R$2:R580,R580)-1</f>
        <v>707</v>
      </c>
      <c r="W580" s="9" t="str">
        <f aca="false">IF(U580="Lapsed - Follow Up",COUNTIF($U$2:U580,"Lapsed - Follow Up"),"")</f>
        <v/>
      </c>
    </row>
    <row r="581" customFormat="false" ht="15" hidden="false" customHeight="true" outlineLevel="0" collapsed="false">
      <c r="A581" s="9" t="str">
        <f aca="false">Raw_Donors!A581</f>
        <v>D1579</v>
      </c>
      <c r="B581" s="9" t="str">
        <f aca="false">IF(ISNUMBER(SEARCH("-DUP",A581)),"Duplicate ID","")</f>
        <v/>
      </c>
      <c r="C581" s="9" t="n">
        <f aca="false">Raw_Donors!B581</f>
        <v>33510</v>
      </c>
      <c r="D581" s="9" t="n">
        <f aca="false">Raw_Donors!C581</f>
        <v>0</v>
      </c>
      <c r="E581" s="9" t="str">
        <f aca="false">IFERROR(IF(Raw_Donors!D581="","Unknown",Raw_Donors!D581),"Unknown")</f>
        <v>Unknown</v>
      </c>
      <c r="F581" s="9" t="str">
        <f aca="false">IFERROR(IF(Raw_Donors!E581="","Unknown",Raw_Donors!E581),"Unknown")</f>
        <v>Male</v>
      </c>
      <c r="G581" s="9" t="str">
        <f aca="false">PROPER(TRIM(Raw_Donors!F581))</f>
        <v>Individual Donor</v>
      </c>
      <c r="H581" s="9" t="str">
        <f aca="false">IFERROR(IF(Raw_Donors!G581="","N",Raw_Donors!G581),"N")</f>
        <v>N</v>
      </c>
      <c r="I581" s="9" t="str">
        <f aca="false">IF(Raw_Donors!H581="","Not Rated",Raw_Donors!H581)</f>
        <v>Not Rated</v>
      </c>
      <c r="J581" s="9" t="str">
        <f aca="false">IF(TRIM(Raw_Donors!I581)="","Unknown",TRIM(Raw_Donors!I581))</f>
        <v>HOME</v>
      </c>
      <c r="K581" s="9" t="str">
        <f aca="false">Raw_Donors!J581</f>
        <v>N</v>
      </c>
      <c r="L581" s="9" t="n">
        <f aca="false">Raw_Donors!K581</f>
        <v>1</v>
      </c>
      <c r="M581" s="10" t="n">
        <f aca="false">IFERROR(VALUE(SUBSTITUTE(SUBSTITUTE(Raw_Donors!L581,"$",""),",","")),0)</f>
        <v>0</v>
      </c>
      <c r="N581" s="10" t="n">
        <f aca="false">IFERROR(VALUE(SUBSTITUTE(SUBSTITUTE(Raw_Donors!M581,"$",""),",","")),0)</f>
        <v>0</v>
      </c>
      <c r="O581" s="10" t="n">
        <f aca="false">IFERROR(VALUE(SUBSTITUTE(SUBSTITUTE(Raw_Donors!N581,"$",""),",","")),0)</f>
        <v>0</v>
      </c>
      <c r="P581" s="10" t="n">
        <f aca="false">IFERROR(VALUE(SUBSTITUTE(SUBSTITUTE(Raw_Donors!O581,"$",""),",","")),0)</f>
        <v>625</v>
      </c>
      <c r="Q581" s="10" t="n">
        <f aca="false">IFERROR(VALUE(SUBSTITUTE(SUBSTITUTE(Raw_Donors!P581,"$",""),",","")),0)</f>
        <v>0</v>
      </c>
      <c r="R581" s="10" t="n">
        <f aca="false">Raw_Donors!Q581</f>
        <v>625</v>
      </c>
      <c r="S581" s="9" t="str">
        <f aca="false">Raw_Donors!R581</f>
        <v>Y</v>
      </c>
      <c r="T581" s="9" t="str">
        <f aca="false">IF(Raw_Donors!S581="","",Raw_Donors!S581)</f>
        <v/>
      </c>
      <c r="U581" s="9" t="str">
        <f aca="false">IF(AND((O581+P581)&gt;0,Q581=0),"Lapsed - Follow Up","")</f>
        <v>Lapsed - Follow Up</v>
      </c>
      <c r="V581" s="9" t="n">
        <f aca="false">RANK(R581,$R$2:$R$759)+COUNTIF($R$2:R581,R581)-1</f>
        <v>76</v>
      </c>
      <c r="W581" s="9" t="n">
        <f aca="false">IF(U581="Lapsed - Follow Up",COUNTIF($U$2:U581,"Lapsed - Follow Up"),"")</f>
        <v>83</v>
      </c>
    </row>
    <row r="582" customFormat="false" ht="15" hidden="false" customHeight="true" outlineLevel="0" collapsed="false">
      <c r="A582" s="9" t="str">
        <f aca="false">Raw_Donors!A582</f>
        <v>D1580</v>
      </c>
      <c r="B582" s="9" t="str">
        <f aca="false">IF(ISNUMBER(SEARCH("-DUP",A582)),"Duplicate ID","")</f>
        <v/>
      </c>
      <c r="C582" s="9" t="n">
        <f aca="false">Raw_Donors!B582</f>
        <v>47713</v>
      </c>
      <c r="D582" s="9" t="n">
        <f aca="false">Raw_Donors!C582</f>
        <v>55</v>
      </c>
      <c r="E582" s="9" t="str">
        <f aca="false">IFERROR(IF(Raw_Donors!D582="","Unknown",Raw_Donors!D582),"Unknown")</f>
        <v>Single</v>
      </c>
      <c r="F582" s="9" t="str">
        <f aca="false">IFERROR(IF(Raw_Donors!E582="","Unknown",Raw_Donors!E582),"Unknown")</f>
        <v>Male</v>
      </c>
      <c r="G582" s="9" t="str">
        <f aca="false">PROPER(TRIM(Raw_Donors!F582))</f>
        <v>Community Partner</v>
      </c>
      <c r="H582" s="9" t="str">
        <f aca="false">IFERROR(IF(Raw_Donors!G582="","N",Raw_Donors!G582),"N")</f>
        <v>N</v>
      </c>
      <c r="I582" s="9" t="str">
        <f aca="false">IF(Raw_Donors!H582="","Not Rated",Raw_Donors!H582)</f>
        <v>Not Rated</v>
      </c>
      <c r="J582" s="9" t="str">
        <f aca="false">IF(TRIM(Raw_Donors!I582)="","Unknown",TRIM(Raw_Donors!I582))</f>
        <v>HOME</v>
      </c>
      <c r="K582" s="9" t="str">
        <f aca="false">Raw_Donors!J582</f>
        <v>Y</v>
      </c>
      <c r="L582" s="9" t="n">
        <f aca="false">Raw_Donors!K582</f>
        <v>0</v>
      </c>
      <c r="M582" s="10" t="n">
        <f aca="false">IFERROR(VALUE(SUBSTITUTE(SUBSTITUTE(Raw_Donors!L582,"$",""),",","")),0)</f>
        <v>0</v>
      </c>
      <c r="N582" s="10" t="n">
        <f aca="false">IFERROR(VALUE(SUBSTITUTE(SUBSTITUTE(Raw_Donors!M582,"$",""),",","")),0)</f>
        <v>0</v>
      </c>
      <c r="O582" s="10" t="n">
        <f aca="false">IFERROR(VALUE(SUBSTITUTE(SUBSTITUTE(Raw_Donors!N582,"$",""),",","")),0)</f>
        <v>0</v>
      </c>
      <c r="P582" s="10" t="n">
        <f aca="false">IFERROR(VALUE(SUBSTITUTE(SUBSTITUTE(Raw_Donors!O582,"$",""),",","")),0)</f>
        <v>0</v>
      </c>
      <c r="Q582" s="10" t="n">
        <f aca="false">IFERROR(VALUE(SUBSTITUTE(SUBSTITUTE(Raw_Donors!P582,"$",""),",","")),0)</f>
        <v>0</v>
      </c>
      <c r="R582" s="10" t="n">
        <f aca="false">Raw_Donors!Q582</f>
        <v>250</v>
      </c>
      <c r="S582" s="9" t="str">
        <f aca="false">Raw_Donors!R582</f>
        <v>Y</v>
      </c>
      <c r="T582" s="9" t="str">
        <f aca="false">IF(Raw_Donors!S582="","",Raw_Donors!S582)</f>
        <v>1962-01-09</v>
      </c>
      <c r="U582" s="9" t="str">
        <f aca="false">IF(AND((O582+P582)&gt;0,Q582=0),"Lapsed - Follow Up","")</f>
        <v/>
      </c>
      <c r="V582" s="9" t="n">
        <f aca="false">RANK(R582,$R$2:$R$759)+COUNTIF($R$2:R582,R582)-1</f>
        <v>169</v>
      </c>
      <c r="W582" s="9" t="str">
        <f aca="false">IF(U582="Lapsed - Follow Up",COUNTIF($U$2:U582,"Lapsed - Follow Up"),"")</f>
        <v/>
      </c>
    </row>
    <row r="583" customFormat="false" ht="15" hidden="false" customHeight="true" outlineLevel="0" collapsed="false">
      <c r="A583" s="9" t="str">
        <f aca="false">Raw_Donors!A583</f>
        <v>D1581</v>
      </c>
      <c r="B583" s="9" t="str">
        <f aca="false">IF(ISNUMBER(SEARCH("-DUP",A583)),"Duplicate ID","")</f>
        <v/>
      </c>
      <c r="C583" s="9" t="n">
        <f aca="false">Raw_Donors!B583</f>
        <v>0</v>
      </c>
      <c r="D583" s="9" t="n">
        <f aca="false">Raw_Donors!C583</f>
        <v>0</v>
      </c>
      <c r="E583" s="9" t="str">
        <f aca="false">IFERROR(IF(Raw_Donors!D583="","Unknown",Raw_Donors!D583),"Unknown")</f>
        <v>Unknown</v>
      </c>
      <c r="F583" s="9" t="str">
        <f aca="false">IFERROR(IF(Raw_Donors!E583="","Unknown",Raw_Donors!E583),"Unknown")</f>
        <v>Male</v>
      </c>
      <c r="G583" s="9" t="str">
        <f aca="false">PROPER(TRIM(Raw_Donors!F583))</f>
        <v>Community Partner</v>
      </c>
      <c r="H583" s="9" t="str">
        <f aca="false">IFERROR(IF(Raw_Donors!G583="","N",Raw_Donors!G583),"N")</f>
        <v>Y</v>
      </c>
      <c r="I583" s="9" t="str">
        <f aca="false">IF(Raw_Donors!H583="","Not Rated",Raw_Donors!H583)</f>
        <v>Not Rated</v>
      </c>
      <c r="J583" s="9" t="str">
        <f aca="false">IF(TRIM(Raw_Donors!I583)="","Unknown",TRIM(Raw_Donors!I583))</f>
        <v>HOME</v>
      </c>
      <c r="K583" s="9" t="str">
        <f aca="false">Raw_Donors!J583</f>
        <v>Y</v>
      </c>
      <c r="L583" s="9" t="n">
        <f aca="false">Raw_Donors!K583</f>
        <v>0</v>
      </c>
      <c r="M583" s="10" t="n">
        <f aca="false">IFERROR(VALUE(SUBSTITUTE(SUBSTITUTE(Raw_Donors!L583,"$",""),",","")),0)</f>
        <v>0</v>
      </c>
      <c r="N583" s="10" t="n">
        <f aca="false">IFERROR(VALUE(SUBSTITUTE(SUBSTITUTE(Raw_Donors!M583,"$",""),",","")),0)</f>
        <v>0</v>
      </c>
      <c r="O583" s="10" t="n">
        <f aca="false">IFERROR(VALUE(SUBSTITUTE(SUBSTITUTE(Raw_Donors!N583,"$",""),",","")),0)</f>
        <v>0</v>
      </c>
      <c r="P583" s="10" t="n">
        <f aca="false">IFERROR(VALUE(SUBSTITUTE(SUBSTITUTE(Raw_Donors!O583,"$",""),",","")),0)</f>
        <v>0</v>
      </c>
      <c r="Q583" s="10" t="n">
        <f aca="false">IFERROR(VALUE(SUBSTITUTE(SUBSTITUTE(Raw_Donors!P583,"$",""),",","")),0)</f>
        <v>0</v>
      </c>
      <c r="R583" s="10" t="n">
        <f aca="false">Raw_Donors!Q583</f>
        <v>0</v>
      </c>
      <c r="S583" s="9" t="str">
        <f aca="false">Raw_Donors!R583</f>
        <v>N</v>
      </c>
      <c r="T583" s="9" t="str">
        <f aca="false">IF(Raw_Donors!S583="","",Raw_Donors!S583)</f>
        <v/>
      </c>
      <c r="U583" s="9" t="str">
        <f aca="false">IF(AND((O583+P583)&gt;0,Q583=0),"Lapsed - Follow Up","")</f>
        <v/>
      </c>
      <c r="V583" s="9" t="n">
        <f aca="false">RANK(R583,$R$2:$R$759)+COUNTIF($R$2:R583,R583)-1</f>
        <v>708</v>
      </c>
      <c r="W583" s="9" t="str">
        <f aca="false">IF(U583="Lapsed - Follow Up",COUNTIF($U$2:U583,"Lapsed - Follow Up"),"")</f>
        <v/>
      </c>
    </row>
    <row r="584" customFormat="false" ht="15" hidden="false" customHeight="true" outlineLevel="0" collapsed="false">
      <c r="A584" s="9" t="str">
        <f aca="false">Raw_Donors!A584</f>
        <v>D1582</v>
      </c>
      <c r="B584" s="9" t="str">
        <f aca="false">IF(ISNUMBER(SEARCH("-DUP",A584)),"Duplicate ID","")</f>
        <v/>
      </c>
      <c r="C584" s="9" t="n">
        <f aca="false">Raw_Donors!B584</f>
        <v>90888</v>
      </c>
      <c r="D584" s="9" t="n">
        <f aca="false">Raw_Donors!C584</f>
        <v>0</v>
      </c>
      <c r="E584" s="9" t="str">
        <f aca="false">IFERROR(IF(Raw_Donors!D584="","Unknown",Raw_Donors!D584),"Unknown")</f>
        <v>Unknown</v>
      </c>
      <c r="F584" s="9" t="str">
        <f aca="false">IFERROR(IF(Raw_Donors!E584="","Unknown",Raw_Donors!E584),"Unknown")</f>
        <v>Female</v>
      </c>
      <c r="G584" s="9" t="str">
        <f aca="false">PROPER(TRIM(Raw_Donors!F584))</f>
        <v>Individual Donor</v>
      </c>
      <c r="H584" s="9" t="str">
        <f aca="false">IFERROR(IF(Raw_Donors!G584="","N",Raw_Donors!G584),"N")</f>
        <v>N</v>
      </c>
      <c r="I584" s="9" t="str">
        <f aca="false">IF(Raw_Donors!H584="","Not Rated",Raw_Donors!H584)</f>
        <v>Not Rated</v>
      </c>
      <c r="J584" s="9" t="str">
        <f aca="false">IF(TRIM(Raw_Donors!I584)="","Unknown",TRIM(Raw_Donors!I584))</f>
        <v>HOME</v>
      </c>
      <c r="K584" s="9" t="str">
        <f aca="false">Raw_Donors!J584</f>
        <v>N</v>
      </c>
      <c r="L584" s="9" t="n">
        <f aca="false">Raw_Donors!K584</f>
        <v>1</v>
      </c>
      <c r="M584" s="10" t="n">
        <f aca="false">IFERROR(VALUE(SUBSTITUTE(SUBSTITUTE(Raw_Donors!L584,"$",""),",","")),0)</f>
        <v>0</v>
      </c>
      <c r="N584" s="10" t="n">
        <f aca="false">IFERROR(VALUE(SUBSTITUTE(SUBSTITUTE(Raw_Donors!M584,"$",""),",","")),0)</f>
        <v>0</v>
      </c>
      <c r="O584" s="10" t="n">
        <f aca="false">IFERROR(VALUE(SUBSTITUTE(SUBSTITUTE(Raw_Donors!N584,"$",""),",","")),0)</f>
        <v>0</v>
      </c>
      <c r="P584" s="10" t="n">
        <f aca="false">IFERROR(VALUE(SUBSTITUTE(SUBSTITUTE(Raw_Donors!O584,"$",""),",","")),0)</f>
        <v>0</v>
      </c>
      <c r="Q584" s="10" t="n">
        <f aca="false">IFERROR(VALUE(SUBSTITUTE(SUBSTITUTE(Raw_Donors!P584,"$",""),",","")),0)</f>
        <v>0</v>
      </c>
      <c r="R584" s="10" t="n">
        <f aca="false">Raw_Donors!Q584</f>
        <v>30</v>
      </c>
      <c r="S584" s="9" t="str">
        <f aca="false">Raw_Donors!R584</f>
        <v>Y</v>
      </c>
      <c r="T584" s="9" t="str">
        <f aca="false">IF(Raw_Donors!S584="","",Raw_Donors!S584)</f>
        <v/>
      </c>
      <c r="U584" s="9" t="str">
        <f aca="false">IF(AND((O584+P584)&gt;0,Q584=0),"Lapsed - Follow Up","")</f>
        <v/>
      </c>
      <c r="V584" s="9" t="n">
        <f aca="false">RANK(R584,$R$2:$R$759)+COUNTIF($R$2:R584,R584)-1</f>
        <v>422</v>
      </c>
      <c r="W584" s="9" t="str">
        <f aca="false">IF(U584="Lapsed - Follow Up",COUNTIF($U$2:U584,"Lapsed - Follow Up"),"")</f>
        <v/>
      </c>
    </row>
    <row r="585" customFormat="false" ht="15" hidden="false" customHeight="true" outlineLevel="0" collapsed="false">
      <c r="A585" s="9" t="str">
        <f aca="false">Raw_Donors!A585</f>
        <v>D1583</v>
      </c>
      <c r="B585" s="9" t="str">
        <f aca="false">IF(ISNUMBER(SEARCH("-DUP",A585)),"Duplicate ID","")</f>
        <v/>
      </c>
      <c r="C585" s="9" t="n">
        <f aca="false">Raw_Donors!B585</f>
        <v>98294</v>
      </c>
      <c r="D585" s="9" t="n">
        <f aca="false">Raw_Donors!C585</f>
        <v>70</v>
      </c>
      <c r="E585" s="9" t="str">
        <f aca="false">IFERROR(IF(Raw_Donors!D585="","Unknown",Raw_Donors!D585),"Unknown")</f>
        <v>Unknown</v>
      </c>
      <c r="F585" s="9" t="str">
        <f aca="false">IFERROR(IF(Raw_Donors!E585="","Unknown",Raw_Donors!E585),"Unknown")</f>
        <v>Unknown</v>
      </c>
      <c r="G585" s="9" t="str">
        <f aca="false">PROPER(TRIM(Raw_Donors!F585))</f>
        <v>Community Partner</v>
      </c>
      <c r="H585" s="9" t="str">
        <f aca="false">IFERROR(IF(Raw_Donors!G585="","N",Raw_Donors!G585),"N")</f>
        <v>N</v>
      </c>
      <c r="I585" s="9" t="str">
        <f aca="false">IF(Raw_Donors!H585="","Not Rated",Raw_Donors!H585)</f>
        <v>Not Rated</v>
      </c>
      <c r="J585" s="9" t="str">
        <f aca="false">IF(TRIM(Raw_Donors!I585)="","Unknown",TRIM(Raw_Donors!I585))</f>
        <v>Unknown</v>
      </c>
      <c r="K585" s="9" t="str">
        <f aca="false">Raw_Donors!J585</f>
        <v>N</v>
      </c>
      <c r="L585" s="9" t="n">
        <f aca="false">Raw_Donors!K585</f>
        <v>0</v>
      </c>
      <c r="M585" s="10" t="n">
        <f aca="false">IFERROR(VALUE(SUBSTITUTE(SUBSTITUTE(Raw_Donors!L585,"$",""),",","")),0)</f>
        <v>0</v>
      </c>
      <c r="N585" s="10" t="n">
        <f aca="false">IFERROR(VALUE(SUBSTITUTE(SUBSTITUTE(Raw_Donors!M585,"$",""),",","")),0)</f>
        <v>0</v>
      </c>
      <c r="O585" s="10" t="n">
        <f aca="false">IFERROR(VALUE(SUBSTITUTE(SUBSTITUTE(Raw_Donors!N585,"$",""),",","")),0)</f>
        <v>0</v>
      </c>
      <c r="P585" s="10" t="n">
        <f aca="false">IFERROR(VALUE(SUBSTITUTE(SUBSTITUTE(Raw_Donors!O585,"$",""),",","")),0)</f>
        <v>0</v>
      </c>
      <c r="Q585" s="10" t="n">
        <f aca="false">IFERROR(VALUE(SUBSTITUTE(SUBSTITUTE(Raw_Donors!P585,"$",""),",","")),0)</f>
        <v>0</v>
      </c>
      <c r="R585" s="10" t="n">
        <f aca="false">Raw_Donors!Q585</f>
        <v>0</v>
      </c>
      <c r="S585" s="9" t="str">
        <f aca="false">Raw_Donors!R585</f>
        <v>N</v>
      </c>
      <c r="T585" s="9" t="str">
        <f aca="false">IF(Raw_Donors!S585="","",Raw_Donors!S585)</f>
        <v>1947-09-13</v>
      </c>
      <c r="U585" s="9" t="str">
        <f aca="false">IF(AND((O585+P585)&gt;0,Q585=0),"Lapsed - Follow Up","")</f>
        <v/>
      </c>
      <c r="V585" s="9" t="n">
        <f aca="false">RANK(R585,$R$2:$R$759)+COUNTIF($R$2:R585,R585)-1</f>
        <v>709</v>
      </c>
      <c r="W585" s="9" t="str">
        <f aca="false">IF(U585="Lapsed - Follow Up",COUNTIF($U$2:U585,"Lapsed - Follow Up"),"")</f>
        <v/>
      </c>
    </row>
    <row r="586" customFormat="false" ht="15" hidden="false" customHeight="true" outlineLevel="0" collapsed="false">
      <c r="A586" s="9" t="str">
        <f aca="false">Raw_Donors!A586</f>
        <v>D1584</v>
      </c>
      <c r="B586" s="9" t="str">
        <f aca="false">IF(ISNUMBER(SEARCH("-DUP",A586)),"Duplicate ID","")</f>
        <v/>
      </c>
      <c r="C586" s="9" t="n">
        <f aca="false">Raw_Donors!B586</f>
        <v>60911</v>
      </c>
      <c r="D586" s="9" t="n">
        <f aca="false">Raw_Donors!C586</f>
        <v>0</v>
      </c>
      <c r="E586" s="9" t="str">
        <f aca="false">IFERROR(IF(Raw_Donors!D586="","Unknown",Raw_Donors!D586),"Unknown")</f>
        <v>Married</v>
      </c>
      <c r="F586" s="9" t="str">
        <f aca="false">IFERROR(IF(Raw_Donors!E586="","Unknown",Raw_Donors!E586),"Unknown")</f>
        <v>Female</v>
      </c>
      <c r="G586" s="9" t="str">
        <f aca="false">PROPER(TRIM(Raw_Donors!F586))</f>
        <v>Individual Donor</v>
      </c>
      <c r="H586" s="9" t="str">
        <f aca="false">IFERROR(IF(Raw_Donors!G586="","N",Raw_Donors!G586),"N")</f>
        <v>N</v>
      </c>
      <c r="I586" s="9" t="str">
        <f aca="false">IF(Raw_Donors!H586="","Not Rated",Raw_Donors!H586)</f>
        <v>Not Rated</v>
      </c>
      <c r="J586" s="9" t="str">
        <f aca="false">IF(TRIM(Raw_Donors!I586)="","Unknown",TRIM(Raw_Donors!I586))</f>
        <v>HOME</v>
      </c>
      <c r="K586" s="9" t="str">
        <f aca="false">Raw_Donors!J586</f>
        <v>N</v>
      </c>
      <c r="L586" s="9" t="n">
        <f aca="false">Raw_Donors!K586</f>
        <v>1</v>
      </c>
      <c r="M586" s="10" t="n">
        <f aca="false">IFERROR(VALUE(SUBSTITUTE(SUBSTITUTE(Raw_Donors!L586,"$",""),",","")),0)</f>
        <v>0</v>
      </c>
      <c r="N586" s="10" t="n">
        <f aca="false">IFERROR(VALUE(SUBSTITUTE(SUBSTITUTE(Raw_Donors!M586,"$",""),",","")),0)</f>
        <v>0</v>
      </c>
      <c r="O586" s="10" t="n">
        <f aca="false">IFERROR(VALUE(SUBSTITUTE(SUBSTITUTE(Raw_Donors!N586,"$",""),",","")),0)</f>
        <v>0</v>
      </c>
      <c r="P586" s="10" t="n">
        <f aca="false">IFERROR(VALUE(SUBSTITUTE(SUBSTITUTE(Raw_Donors!O586,"$",""),",","")),0)</f>
        <v>150</v>
      </c>
      <c r="Q586" s="10" t="n">
        <f aca="false">IFERROR(VALUE(SUBSTITUTE(SUBSTITUTE(Raw_Donors!P586,"$",""),",","")),0)</f>
        <v>0</v>
      </c>
      <c r="R586" s="10" t="n">
        <f aca="false">Raw_Donors!Q586</f>
        <v>360</v>
      </c>
      <c r="S586" s="9" t="str">
        <f aca="false">Raw_Donors!R586</f>
        <v>Y</v>
      </c>
      <c r="T586" s="9" t="str">
        <f aca="false">IF(Raw_Donors!S586="","",Raw_Donors!S586)</f>
        <v/>
      </c>
      <c r="U586" s="9" t="str">
        <f aca="false">IF(AND((O586+P586)&gt;0,Q586=0),"Lapsed - Follow Up","")</f>
        <v>Lapsed - Follow Up</v>
      </c>
      <c r="V586" s="9" t="n">
        <f aca="false">RANK(R586,$R$2:$R$759)+COUNTIF($R$2:R586,R586)-1</f>
        <v>121</v>
      </c>
      <c r="W586" s="9" t="n">
        <f aca="false">IF(U586="Lapsed - Follow Up",COUNTIF($U$2:U586,"Lapsed - Follow Up"),"")</f>
        <v>84</v>
      </c>
    </row>
    <row r="587" customFormat="false" ht="15" hidden="false" customHeight="true" outlineLevel="0" collapsed="false">
      <c r="A587" s="9" t="str">
        <f aca="false">Raw_Donors!A587</f>
        <v>D1585</v>
      </c>
      <c r="B587" s="9" t="str">
        <f aca="false">IF(ISNUMBER(SEARCH("-DUP",A587)),"Duplicate ID","")</f>
        <v/>
      </c>
      <c r="C587" s="9" t="n">
        <f aca="false">Raw_Donors!B587</f>
        <v>62361</v>
      </c>
      <c r="D587" s="9" t="n">
        <f aca="false">Raw_Donors!C587</f>
        <v>27</v>
      </c>
      <c r="E587" s="9" t="str">
        <f aca="false">IFERROR(IF(Raw_Donors!D587="","Unknown",Raw_Donors!D587),"Unknown")</f>
        <v>Unknown</v>
      </c>
      <c r="F587" s="9" t="str">
        <f aca="false">IFERROR(IF(Raw_Donors!E587="","Unknown",Raw_Donors!E587),"Unknown")</f>
        <v>Male</v>
      </c>
      <c r="G587" s="9" t="str">
        <f aca="false">PROPER(TRIM(Raw_Donors!F587))</f>
        <v>Community Partner</v>
      </c>
      <c r="H587" s="9" t="str">
        <f aca="false">IFERROR(IF(Raw_Donors!G587="","N",Raw_Donors!G587),"N")</f>
        <v>Y</v>
      </c>
      <c r="I587" s="9" t="str">
        <f aca="false">IF(Raw_Donors!H587="","Not Rated",Raw_Donors!H587)</f>
        <v>Not Rated</v>
      </c>
      <c r="J587" s="9" t="str">
        <f aca="false">IF(TRIM(Raw_Donors!I587)="","Unknown",TRIM(Raw_Donors!I587))</f>
        <v>HOME</v>
      </c>
      <c r="K587" s="9" t="str">
        <f aca="false">Raw_Donors!J587</f>
        <v>Y</v>
      </c>
      <c r="L587" s="9" t="n">
        <f aca="false">Raw_Donors!K587</f>
        <v>0</v>
      </c>
      <c r="M587" s="10" t="n">
        <f aca="false">IFERROR(VALUE(SUBSTITUTE(SUBSTITUTE(Raw_Donors!L587,"$",""),",","")),0)</f>
        <v>0</v>
      </c>
      <c r="N587" s="10" t="n">
        <f aca="false">IFERROR(VALUE(SUBSTITUTE(SUBSTITUTE(Raw_Donors!M587,"$",""),",","")),0)</f>
        <v>0</v>
      </c>
      <c r="O587" s="10" t="n">
        <f aca="false">IFERROR(VALUE(SUBSTITUTE(SUBSTITUTE(Raw_Donors!N587,"$",""),",","")),0)</f>
        <v>0</v>
      </c>
      <c r="P587" s="10" t="n">
        <f aca="false">IFERROR(VALUE(SUBSTITUTE(SUBSTITUTE(Raw_Donors!O587,"$",""),",","")),0)</f>
        <v>0</v>
      </c>
      <c r="Q587" s="10" t="n">
        <f aca="false">IFERROR(VALUE(SUBSTITUTE(SUBSTITUTE(Raw_Donors!P587,"$",""),",","")),0)</f>
        <v>0</v>
      </c>
      <c r="R587" s="10" t="n">
        <f aca="false">Raw_Donors!Q587</f>
        <v>76500</v>
      </c>
      <c r="S587" s="9" t="str">
        <f aca="false">Raw_Donors!R587</f>
        <v>Y</v>
      </c>
      <c r="T587" s="9" t="str">
        <f aca="false">IF(Raw_Donors!S587="","",Raw_Donors!S587)</f>
        <v>1990-03-19</v>
      </c>
      <c r="U587" s="9" t="str">
        <f aca="false">IF(AND((O587+P587)&gt;0,Q587=0),"Lapsed - Follow Up","")</f>
        <v/>
      </c>
      <c r="V587" s="9" t="n">
        <f aca="false">RANK(R587,$R$2:$R$759)+COUNTIF($R$2:R587,R587)-1</f>
        <v>5</v>
      </c>
      <c r="W587" s="9" t="str">
        <f aca="false">IF(U587="Lapsed - Follow Up",COUNTIF($U$2:U587,"Lapsed - Follow Up"),"")</f>
        <v/>
      </c>
    </row>
    <row r="588" customFormat="false" ht="15" hidden="false" customHeight="true" outlineLevel="0" collapsed="false">
      <c r="A588" s="9" t="str">
        <f aca="false">Raw_Donors!A588</f>
        <v>D1586</v>
      </c>
      <c r="B588" s="9" t="str">
        <f aca="false">IF(ISNUMBER(SEARCH("-DUP",A588)),"Duplicate ID","")</f>
        <v/>
      </c>
      <c r="C588" s="9" t="n">
        <f aca="false">Raw_Donors!B588</f>
        <v>57235</v>
      </c>
      <c r="D588" s="9" t="n">
        <f aca="false">Raw_Donors!C588</f>
        <v>33</v>
      </c>
      <c r="E588" s="9" t="str">
        <f aca="false">IFERROR(IF(Raw_Donors!D588="","Unknown",Raw_Donors!D588),"Unknown")</f>
        <v>Unknown</v>
      </c>
      <c r="F588" s="9" t="str">
        <f aca="false">IFERROR(IF(Raw_Donors!E588="","Unknown",Raw_Donors!E588),"Unknown")</f>
        <v>Female</v>
      </c>
      <c r="G588" s="9" t="str">
        <f aca="false">PROPER(TRIM(Raw_Donors!F588))</f>
        <v>Community Partner</v>
      </c>
      <c r="H588" s="9" t="str">
        <f aca="false">IFERROR(IF(Raw_Donors!G588="","N",Raw_Donors!G588),"N")</f>
        <v>Y</v>
      </c>
      <c r="I588" s="9" t="str">
        <f aca="false">IF(Raw_Donors!H588="","Not Rated",Raw_Donors!H588)</f>
        <v>Not Rated</v>
      </c>
      <c r="J588" s="9" t="str">
        <f aca="false">IF(TRIM(Raw_Donors!I588)="","Unknown",TRIM(Raw_Donors!I588))</f>
        <v>HOME</v>
      </c>
      <c r="K588" s="9" t="str">
        <f aca="false">Raw_Donors!J588</f>
        <v>Y</v>
      </c>
      <c r="L588" s="9" t="n">
        <f aca="false">Raw_Donors!K588</f>
        <v>3</v>
      </c>
      <c r="M588" s="10" t="n">
        <f aca="false">IFERROR(VALUE(SUBSTITUTE(SUBSTITUTE(Raw_Donors!L588,"$",""),",","")),0)</f>
        <v>0</v>
      </c>
      <c r="N588" s="10" t="n">
        <f aca="false">IFERROR(VALUE(SUBSTITUTE(SUBSTITUTE(Raw_Donors!M588,"$",""),",","")),0)</f>
        <v>0</v>
      </c>
      <c r="O588" s="10" t="n">
        <f aca="false">IFERROR(VALUE(SUBSTITUTE(SUBSTITUTE(Raw_Donors!N588,"$",""),",","")),0)</f>
        <v>0</v>
      </c>
      <c r="P588" s="10" t="n">
        <f aca="false">IFERROR(VALUE(SUBSTITUTE(SUBSTITUTE(Raw_Donors!O588,"$",""),",","")),0)</f>
        <v>0</v>
      </c>
      <c r="Q588" s="10" t="n">
        <f aca="false">IFERROR(VALUE(SUBSTITUTE(SUBSTITUTE(Raw_Donors!P588,"$",""),",","")),0)</f>
        <v>0</v>
      </c>
      <c r="R588" s="10" t="n">
        <f aca="false">Raw_Donors!Q588</f>
        <v>0</v>
      </c>
      <c r="S588" s="9" t="str">
        <f aca="false">Raw_Donors!R588</f>
        <v>N</v>
      </c>
      <c r="T588" s="9" t="str">
        <f aca="false">IF(Raw_Donors!S588="","",Raw_Donors!S588)</f>
        <v>1984-01-05</v>
      </c>
      <c r="U588" s="9" t="str">
        <f aca="false">IF(AND((O588+P588)&gt;0,Q588=0),"Lapsed - Follow Up","")</f>
        <v/>
      </c>
      <c r="V588" s="9" t="n">
        <f aca="false">RANK(R588,$R$2:$R$759)+COUNTIF($R$2:R588,R588)-1</f>
        <v>710</v>
      </c>
      <c r="W588" s="9" t="str">
        <f aca="false">IF(U588="Lapsed - Follow Up",COUNTIF($U$2:U588,"Lapsed - Follow Up"),"")</f>
        <v/>
      </c>
    </row>
    <row r="589" customFormat="false" ht="15" hidden="false" customHeight="true" outlineLevel="0" collapsed="false">
      <c r="A589" s="9" t="str">
        <f aca="false">Raw_Donors!A589</f>
        <v>D1587</v>
      </c>
      <c r="B589" s="9" t="str">
        <f aca="false">IF(ISNUMBER(SEARCH("-DUP",A589)),"Duplicate ID","")</f>
        <v/>
      </c>
      <c r="C589" s="9" t="n">
        <f aca="false">Raw_Donors!B589</f>
        <v>47223</v>
      </c>
      <c r="D589" s="9" t="n">
        <f aca="false">Raw_Donors!C589</f>
        <v>78</v>
      </c>
      <c r="E589" s="9" t="str">
        <f aca="false">IFERROR(IF(Raw_Donors!D589="","Unknown",Raw_Donors!D589),"Unknown")</f>
        <v>Unknown</v>
      </c>
      <c r="F589" s="9" t="str">
        <f aca="false">IFERROR(IF(Raw_Donors!E589="","Unknown",Raw_Donors!E589),"Unknown")</f>
        <v>Female</v>
      </c>
      <c r="G589" s="9" t="str">
        <f aca="false">PROPER(TRIM(Raw_Donors!F589))</f>
        <v>Individual Donor</v>
      </c>
      <c r="H589" s="9" t="str">
        <f aca="false">IFERROR(IF(Raw_Donors!G589="","N",Raw_Donors!G589),"N")</f>
        <v>N</v>
      </c>
      <c r="I589" s="9" t="str">
        <f aca="false">IF(Raw_Donors!H589="","Not Rated",Raw_Donors!H589)</f>
        <v>Not Rated</v>
      </c>
      <c r="J589" s="9" t="str">
        <f aca="false">IF(TRIM(Raw_Donors!I589)="","Unknown",TRIM(Raw_Donors!I589))</f>
        <v>HOME</v>
      </c>
      <c r="K589" s="9" t="str">
        <f aca="false">Raw_Donors!J589</f>
        <v>N</v>
      </c>
      <c r="L589" s="9" t="n">
        <f aca="false">Raw_Donors!K589</f>
        <v>0</v>
      </c>
      <c r="M589" s="10" t="n">
        <f aca="false">IFERROR(VALUE(SUBSTITUTE(SUBSTITUTE(Raw_Donors!L589,"$",""),",","")),0)</f>
        <v>0</v>
      </c>
      <c r="N589" s="10" t="n">
        <f aca="false">IFERROR(VALUE(SUBSTITUTE(SUBSTITUTE(Raw_Donors!M589,"$",""),",","")),0)</f>
        <v>25</v>
      </c>
      <c r="O589" s="10" t="n">
        <f aca="false">IFERROR(VALUE(SUBSTITUTE(SUBSTITUTE(Raw_Donors!N589,"$",""),",","")),0)</f>
        <v>0</v>
      </c>
      <c r="P589" s="10" t="n">
        <f aca="false">IFERROR(VALUE(SUBSTITUTE(SUBSTITUTE(Raw_Donors!O589,"$",""),",","")),0)</f>
        <v>0</v>
      </c>
      <c r="Q589" s="10" t="n">
        <f aca="false">IFERROR(VALUE(SUBSTITUTE(SUBSTITUTE(Raw_Donors!P589,"$",""),",","")),0)</f>
        <v>0</v>
      </c>
      <c r="R589" s="10" t="n">
        <f aca="false">Raw_Donors!Q589</f>
        <v>25</v>
      </c>
      <c r="S589" s="9" t="str">
        <f aca="false">Raw_Donors!R589</f>
        <v>Y</v>
      </c>
      <c r="T589" s="9" t="str">
        <f aca="false">IF(Raw_Donors!S589="","",Raw_Donors!S589)</f>
        <v>1939-03-21</v>
      </c>
      <c r="U589" s="9" t="str">
        <f aca="false">IF(AND((O589+P589)&gt;0,Q589=0),"Lapsed - Follow Up","")</f>
        <v/>
      </c>
      <c r="V589" s="9" t="n">
        <f aca="false">RANK(R589,$R$2:$R$759)+COUNTIF($R$2:R589,R589)-1</f>
        <v>459</v>
      </c>
      <c r="W589" s="9" t="str">
        <f aca="false">IF(U589="Lapsed - Follow Up",COUNTIF($U$2:U589,"Lapsed - Follow Up"),"")</f>
        <v/>
      </c>
    </row>
    <row r="590" customFormat="false" ht="15" hidden="false" customHeight="true" outlineLevel="0" collapsed="false">
      <c r="A590" s="9" t="str">
        <f aca="false">Raw_Donors!A590</f>
        <v>D1588</v>
      </c>
      <c r="B590" s="9" t="str">
        <f aca="false">IF(ISNUMBER(SEARCH("-DUP",A590)),"Duplicate ID","")</f>
        <v/>
      </c>
      <c r="C590" s="9" t="n">
        <f aca="false">Raw_Donors!B590</f>
        <v>90265</v>
      </c>
      <c r="D590" s="9" t="n">
        <f aca="false">Raw_Donors!C590</f>
        <v>0</v>
      </c>
      <c r="E590" s="9" t="str">
        <f aca="false">IFERROR(IF(Raw_Donors!D590="","Unknown",Raw_Donors!D590),"Unknown")</f>
        <v>Single</v>
      </c>
      <c r="F590" s="9" t="str">
        <f aca="false">IFERROR(IF(Raw_Donors!E590="","Unknown",Raw_Donors!E590),"Unknown")</f>
        <v>Uknown</v>
      </c>
      <c r="G590" s="9" t="str">
        <f aca="false">PROPER(TRIM(Raw_Donors!F590))</f>
        <v>Individual Donor</v>
      </c>
      <c r="H590" s="9" t="str">
        <f aca="false">IFERROR(IF(Raw_Donors!G590="","N",Raw_Donors!G590),"N")</f>
        <v>Y</v>
      </c>
      <c r="I590" s="9" t="str">
        <f aca="false">IF(Raw_Donors!H590="","Not Rated",Raw_Donors!H590)</f>
        <v>Not Rated</v>
      </c>
      <c r="J590" s="9" t="str">
        <f aca="false">IF(TRIM(Raw_Donors!I590)="","Unknown",TRIM(Raw_Donors!I590))</f>
        <v>HOME</v>
      </c>
      <c r="K590" s="9" t="str">
        <f aca="false">Raw_Donors!J590</f>
        <v>Y</v>
      </c>
      <c r="L590" s="9" t="n">
        <f aca="false">Raw_Donors!K590</f>
        <v>0</v>
      </c>
      <c r="M590" s="10" t="n">
        <f aca="false">IFERROR(VALUE(SUBSTITUTE(SUBSTITUTE(Raw_Donors!L590,"$",""),",","")),0)</f>
        <v>0</v>
      </c>
      <c r="N590" s="10" t="n">
        <f aca="false">IFERROR(VALUE(SUBSTITUTE(SUBSTITUTE(Raw_Donors!M590,"$",""),",","")),0)</f>
        <v>0</v>
      </c>
      <c r="O590" s="10" t="n">
        <f aca="false">IFERROR(VALUE(SUBSTITUTE(SUBSTITUTE(Raw_Donors!N590,"$",""),",","")),0)</f>
        <v>0</v>
      </c>
      <c r="P590" s="10" t="n">
        <f aca="false">IFERROR(VALUE(SUBSTITUTE(SUBSTITUTE(Raw_Donors!O590,"$",""),",","")),0)</f>
        <v>0</v>
      </c>
      <c r="Q590" s="10" t="n">
        <f aca="false">IFERROR(VALUE(SUBSTITUTE(SUBSTITUTE(Raw_Donors!P590,"$",""),",","")),0)</f>
        <v>0</v>
      </c>
      <c r="R590" s="10" t="n">
        <f aca="false">Raw_Donors!Q590</f>
        <v>0</v>
      </c>
      <c r="S590" s="9" t="str">
        <f aca="false">Raw_Donors!R590</f>
        <v>N</v>
      </c>
      <c r="T590" s="9" t="str">
        <f aca="false">IF(Raw_Donors!S590="","",Raw_Donors!S590)</f>
        <v/>
      </c>
      <c r="U590" s="9" t="str">
        <f aca="false">IF(AND((O590+P590)&gt;0,Q590=0),"Lapsed - Follow Up","")</f>
        <v/>
      </c>
      <c r="V590" s="9" t="n">
        <f aca="false">RANK(R590,$R$2:$R$759)+COUNTIF($R$2:R590,R590)-1</f>
        <v>711</v>
      </c>
      <c r="W590" s="9" t="str">
        <f aca="false">IF(U590="Lapsed - Follow Up",COUNTIF($U$2:U590,"Lapsed - Follow Up"),"")</f>
        <v/>
      </c>
    </row>
    <row r="591" customFormat="false" ht="15" hidden="false" customHeight="true" outlineLevel="0" collapsed="false">
      <c r="A591" s="9" t="str">
        <f aca="false">Raw_Donors!A591</f>
        <v>D1589</v>
      </c>
      <c r="B591" s="9" t="str">
        <f aca="false">IF(ISNUMBER(SEARCH("-DUP",A591)),"Duplicate ID","")</f>
        <v/>
      </c>
      <c r="C591" s="9" t="n">
        <f aca="false">Raw_Donors!B591</f>
        <v>9808</v>
      </c>
      <c r="D591" s="9" t="n">
        <f aca="false">Raw_Donors!C591</f>
        <v>0</v>
      </c>
      <c r="E591" s="9" t="str">
        <f aca="false">IFERROR(IF(Raw_Donors!D591="","Unknown",Raw_Donors!D591),"Unknown")</f>
        <v>Unknown</v>
      </c>
      <c r="F591" s="9" t="str">
        <f aca="false">IFERROR(IF(Raw_Donors!E591="","Unknown",Raw_Donors!E591),"Unknown")</f>
        <v>Male</v>
      </c>
      <c r="G591" s="9" t="str">
        <f aca="false">PROPER(TRIM(Raw_Donors!F591))</f>
        <v>Individual Donor</v>
      </c>
      <c r="H591" s="9" t="str">
        <f aca="false">IFERROR(IF(Raw_Donors!G591="","N",Raw_Donors!G591),"N")</f>
        <v>N</v>
      </c>
      <c r="I591" s="9" t="str">
        <f aca="false">IF(Raw_Donors!H591="","Not Rated",Raw_Donors!H591)</f>
        <v>Not Rated</v>
      </c>
      <c r="J591" s="9" t="str">
        <f aca="false">IF(TRIM(Raw_Donors!I591)="","Unknown",TRIM(Raw_Donors!I591))</f>
        <v>HOME</v>
      </c>
      <c r="K591" s="9" t="str">
        <f aca="false">Raw_Donors!J591</f>
        <v>N</v>
      </c>
      <c r="L591" s="9" t="n">
        <f aca="false">Raw_Donors!K591</f>
        <v>1</v>
      </c>
      <c r="M591" s="10" t="n">
        <f aca="false">IFERROR(VALUE(SUBSTITUTE(SUBSTITUTE(Raw_Donors!L591,"$",""),",","")),0)</f>
        <v>0</v>
      </c>
      <c r="N591" s="10" t="n">
        <f aca="false">IFERROR(VALUE(SUBSTITUTE(SUBSTITUTE(Raw_Donors!M591,"$",""),",","")),0)</f>
        <v>0</v>
      </c>
      <c r="O591" s="10" t="n">
        <f aca="false">IFERROR(VALUE(SUBSTITUTE(SUBSTITUTE(Raw_Donors!N591,"$",""),",","")),0)</f>
        <v>0</v>
      </c>
      <c r="P591" s="10" t="n">
        <f aca="false">IFERROR(VALUE(SUBSTITUTE(SUBSTITUTE(Raw_Donors!O591,"$",""),",","")),0)</f>
        <v>0</v>
      </c>
      <c r="Q591" s="10" t="n">
        <f aca="false">IFERROR(VALUE(SUBSTITUTE(SUBSTITUTE(Raw_Donors!P591,"$",""),",","")),0)</f>
        <v>0</v>
      </c>
      <c r="R591" s="10" t="n">
        <f aca="false">Raw_Donors!Q591</f>
        <v>100000</v>
      </c>
      <c r="S591" s="9" t="str">
        <f aca="false">Raw_Donors!R591</f>
        <v>Y</v>
      </c>
      <c r="T591" s="9" t="str">
        <f aca="false">IF(Raw_Donors!S591="","",Raw_Donors!S591)</f>
        <v/>
      </c>
      <c r="U591" s="9" t="str">
        <f aca="false">IF(AND((O591+P591)&gt;0,Q591=0),"Lapsed - Follow Up","")</f>
        <v/>
      </c>
      <c r="V591" s="9" t="n">
        <f aca="false">RANK(R591,$R$2:$R$759)+COUNTIF($R$2:R591,R591)-1</f>
        <v>4</v>
      </c>
      <c r="W591" s="9" t="str">
        <f aca="false">IF(U591="Lapsed - Follow Up",COUNTIF($U$2:U591,"Lapsed - Follow Up"),"")</f>
        <v/>
      </c>
    </row>
    <row r="592" customFormat="false" ht="15" hidden="false" customHeight="true" outlineLevel="0" collapsed="false">
      <c r="A592" s="9" t="str">
        <f aca="false">Raw_Donors!A592</f>
        <v>D1590</v>
      </c>
      <c r="B592" s="9" t="str">
        <f aca="false">IF(ISNUMBER(SEARCH("-DUP",A592)),"Duplicate ID","")</f>
        <v/>
      </c>
      <c r="C592" s="9" t="n">
        <f aca="false">Raw_Donors!B592</f>
        <v>46616</v>
      </c>
      <c r="D592" s="9" t="n">
        <f aca="false">Raw_Donors!C592</f>
        <v>0</v>
      </c>
      <c r="E592" s="9" t="str">
        <f aca="false">IFERROR(IF(Raw_Donors!D592="","Unknown",Raw_Donors!D592),"Unknown")</f>
        <v>Unknown</v>
      </c>
      <c r="F592" s="9" t="str">
        <f aca="false">IFERROR(IF(Raw_Donors!E592="","Unknown",Raw_Donors!E592),"Unknown")</f>
        <v>Male</v>
      </c>
      <c r="G592" s="9" t="str">
        <f aca="false">PROPER(TRIM(Raw_Donors!F592))</f>
        <v>Individual Donor</v>
      </c>
      <c r="H592" s="9" t="str">
        <f aca="false">IFERROR(IF(Raw_Donors!G592="","N",Raw_Donors!G592),"N")</f>
        <v>Y</v>
      </c>
      <c r="I592" s="9" t="str">
        <f aca="false">IF(Raw_Donors!H592="","Not Rated",Raw_Donors!H592)</f>
        <v>Not Rated</v>
      </c>
      <c r="J592" s="9" t="str">
        <f aca="false">IF(TRIM(Raw_Donors!I592)="","Unknown",TRIM(Raw_Donors!I592))</f>
        <v>HOME</v>
      </c>
      <c r="K592" s="9" t="str">
        <f aca="false">Raw_Donors!J592</f>
        <v>N</v>
      </c>
      <c r="L592" s="9" t="n">
        <f aca="false">Raw_Donors!K592</f>
        <v>2</v>
      </c>
      <c r="M592" s="10" t="n">
        <f aca="false">IFERROR(VALUE(SUBSTITUTE(SUBSTITUTE(Raw_Donors!L592,"$",""),",","")),0)</f>
        <v>0</v>
      </c>
      <c r="N592" s="10" t="n">
        <f aca="false">IFERROR(VALUE(SUBSTITUTE(SUBSTITUTE(Raw_Donors!M592,"$",""),",","")),0)</f>
        <v>0</v>
      </c>
      <c r="O592" s="10" t="n">
        <f aca="false">IFERROR(VALUE(SUBSTITUTE(SUBSTITUTE(Raw_Donors!N592,"$",""),",","")),0)</f>
        <v>0</v>
      </c>
      <c r="P592" s="10" t="n">
        <f aca="false">IFERROR(VALUE(SUBSTITUTE(SUBSTITUTE(Raw_Donors!O592,"$",""),",","")),0)</f>
        <v>0</v>
      </c>
      <c r="Q592" s="10" t="n">
        <f aca="false">IFERROR(VALUE(SUBSTITUTE(SUBSTITUTE(Raw_Donors!P592,"$",""),",","")),0)</f>
        <v>0</v>
      </c>
      <c r="R592" s="10" t="n">
        <f aca="false">Raw_Donors!Q592</f>
        <v>0</v>
      </c>
      <c r="S592" s="9" t="str">
        <f aca="false">Raw_Donors!R592</f>
        <v>N</v>
      </c>
      <c r="T592" s="9" t="str">
        <f aca="false">IF(Raw_Donors!S592="","",Raw_Donors!S592)</f>
        <v/>
      </c>
      <c r="U592" s="9" t="str">
        <f aca="false">IF(AND((O592+P592)&gt;0,Q592=0),"Lapsed - Follow Up","")</f>
        <v/>
      </c>
      <c r="V592" s="9" t="n">
        <f aca="false">RANK(R592,$R$2:$R$759)+COUNTIF($R$2:R592,R592)-1</f>
        <v>712</v>
      </c>
      <c r="W592" s="9" t="str">
        <f aca="false">IF(U592="Lapsed - Follow Up",COUNTIF($U$2:U592,"Lapsed - Follow Up"),"")</f>
        <v/>
      </c>
    </row>
    <row r="593" customFormat="false" ht="15" hidden="false" customHeight="true" outlineLevel="0" collapsed="false">
      <c r="A593" s="9" t="str">
        <f aca="false">Raw_Donors!A593</f>
        <v>D1591</v>
      </c>
      <c r="B593" s="9" t="str">
        <f aca="false">IF(ISNUMBER(SEARCH("-DUP",A593)),"Duplicate ID","")</f>
        <v/>
      </c>
      <c r="C593" s="9" t="n">
        <f aca="false">Raw_Donors!B593</f>
        <v>44599</v>
      </c>
      <c r="D593" s="9" t="n">
        <f aca="false">Raw_Donors!C593</f>
        <v>0</v>
      </c>
      <c r="E593" s="9" t="str">
        <f aca="false">IFERROR(IF(Raw_Donors!D593="","Unknown",Raw_Donors!D593),"Unknown")</f>
        <v>Unknown</v>
      </c>
      <c r="F593" s="9" t="str">
        <f aca="false">IFERROR(IF(Raw_Donors!E593="","Unknown",Raw_Donors!E593),"Unknown")</f>
        <v>Female</v>
      </c>
      <c r="G593" s="9" t="str">
        <f aca="false">PROPER(TRIM(Raw_Donors!F593))</f>
        <v>Community Partner</v>
      </c>
      <c r="H593" s="9" t="str">
        <f aca="false">IFERROR(IF(Raw_Donors!G593="","N",Raw_Donors!G593),"N")</f>
        <v>Y</v>
      </c>
      <c r="I593" s="9" t="str">
        <f aca="false">IF(Raw_Donors!H593="","Not Rated",Raw_Donors!H593)</f>
        <v>Not Rated</v>
      </c>
      <c r="J593" s="9" t="str">
        <f aca="false">IF(TRIM(Raw_Donors!I593)="","Unknown",TRIM(Raw_Donors!I593))</f>
        <v>HOME</v>
      </c>
      <c r="K593" s="9" t="str">
        <f aca="false">Raw_Donors!J593</f>
        <v>Y</v>
      </c>
      <c r="L593" s="9" t="n">
        <f aca="false">Raw_Donors!K593</f>
        <v>1</v>
      </c>
      <c r="M593" s="10" t="n">
        <f aca="false">IFERROR(VALUE(SUBSTITUTE(SUBSTITUTE(Raw_Donors!L593,"$",""),",","")),0)</f>
        <v>0</v>
      </c>
      <c r="N593" s="10" t="n">
        <f aca="false">IFERROR(VALUE(SUBSTITUTE(SUBSTITUTE(Raw_Donors!M593,"$",""),",","")),0)</f>
        <v>0</v>
      </c>
      <c r="O593" s="10" t="n">
        <f aca="false">IFERROR(VALUE(SUBSTITUTE(SUBSTITUTE(Raw_Donors!N593,"$",""),",","")),0)</f>
        <v>0</v>
      </c>
      <c r="P593" s="10" t="n">
        <f aca="false">IFERROR(VALUE(SUBSTITUTE(SUBSTITUTE(Raw_Donors!O593,"$",""),",","")),0)</f>
        <v>25</v>
      </c>
      <c r="Q593" s="10" t="n">
        <f aca="false">IFERROR(VALUE(SUBSTITUTE(SUBSTITUTE(Raw_Donors!P593,"$",""),",","")),0)</f>
        <v>0</v>
      </c>
      <c r="R593" s="10" t="n">
        <f aca="false">Raw_Donors!Q593</f>
        <v>25</v>
      </c>
      <c r="S593" s="9" t="str">
        <f aca="false">Raw_Donors!R593</f>
        <v>Y</v>
      </c>
      <c r="T593" s="9" t="str">
        <f aca="false">IF(Raw_Donors!S593="","",Raw_Donors!S593)</f>
        <v/>
      </c>
      <c r="U593" s="9" t="str">
        <f aca="false">IF(AND((O593+P593)&gt;0,Q593=0),"Lapsed - Follow Up","")</f>
        <v>Lapsed - Follow Up</v>
      </c>
      <c r="V593" s="9" t="n">
        <f aca="false">RANK(R593,$R$2:$R$759)+COUNTIF($R$2:R593,R593)-1</f>
        <v>460</v>
      </c>
      <c r="W593" s="9" t="n">
        <f aca="false">IF(U593="Lapsed - Follow Up",COUNTIF($U$2:U593,"Lapsed - Follow Up"),"")</f>
        <v>85</v>
      </c>
    </row>
    <row r="594" customFormat="false" ht="15" hidden="false" customHeight="true" outlineLevel="0" collapsed="false">
      <c r="A594" s="9" t="str">
        <f aca="false">Raw_Donors!A594</f>
        <v>D1592</v>
      </c>
      <c r="B594" s="9" t="str">
        <f aca="false">IF(ISNUMBER(SEARCH("-DUP",A594)),"Duplicate ID","")</f>
        <v/>
      </c>
      <c r="C594" s="9" t="n">
        <f aca="false">Raw_Donors!B594</f>
        <v>90265</v>
      </c>
      <c r="D594" s="9" t="n">
        <f aca="false">Raw_Donors!C594</f>
        <v>0</v>
      </c>
      <c r="E594" s="9" t="str">
        <f aca="false">IFERROR(IF(Raw_Donors!D594="","Unknown",Raw_Donors!D594),"Unknown")</f>
        <v>Unknown</v>
      </c>
      <c r="F594" s="9" t="str">
        <f aca="false">IFERROR(IF(Raw_Donors!E594="","Unknown",Raw_Donors!E594),"Unknown")</f>
        <v>Male</v>
      </c>
      <c r="G594" s="9" t="str">
        <f aca="false">PROPER(TRIM(Raw_Donors!F594))</f>
        <v>Individual Donor</v>
      </c>
      <c r="H594" s="9" t="str">
        <f aca="false">IFERROR(IF(Raw_Donors!G594="","N",Raw_Donors!G594),"N")</f>
        <v>N</v>
      </c>
      <c r="I594" s="9" t="str">
        <f aca="false">IF(Raw_Donors!H594="","Not Rated",Raw_Donors!H594)</f>
        <v>Not Rated</v>
      </c>
      <c r="J594" s="9" t="str">
        <f aca="false">IF(TRIM(Raw_Donors!I594)="","Unknown",TRIM(Raw_Donors!I594))</f>
        <v>HOME</v>
      </c>
      <c r="K594" s="9" t="str">
        <f aca="false">Raw_Donors!J594</f>
        <v>N</v>
      </c>
      <c r="L594" s="9" t="n">
        <f aca="false">Raw_Donors!K594</f>
        <v>1</v>
      </c>
      <c r="M594" s="10" t="n">
        <f aca="false">IFERROR(VALUE(SUBSTITUTE(SUBSTITUTE(Raw_Donors!L594,"$",""),",","")),0)</f>
        <v>0</v>
      </c>
      <c r="N594" s="10" t="n">
        <f aca="false">IFERROR(VALUE(SUBSTITUTE(SUBSTITUTE(Raw_Donors!M594,"$",""),",","")),0)</f>
        <v>0</v>
      </c>
      <c r="O594" s="10" t="n">
        <f aca="false">IFERROR(VALUE(SUBSTITUTE(SUBSTITUTE(Raw_Donors!N594,"$",""),",","")),0)</f>
        <v>0</v>
      </c>
      <c r="P594" s="10" t="n">
        <f aca="false">IFERROR(VALUE(SUBSTITUTE(SUBSTITUTE(Raw_Donors!O594,"$",""),",","")),0)</f>
        <v>0</v>
      </c>
      <c r="Q594" s="10" t="n">
        <f aca="false">IFERROR(VALUE(SUBSTITUTE(SUBSTITUTE(Raw_Donors!P594,"$",""),",","")),0)</f>
        <v>0</v>
      </c>
      <c r="R594" s="10" t="n">
        <f aca="false">Raw_Donors!Q594</f>
        <v>85</v>
      </c>
      <c r="S594" s="9" t="str">
        <f aca="false">Raw_Donors!R594</f>
        <v>Y</v>
      </c>
      <c r="T594" s="9" t="str">
        <f aca="false">IF(Raw_Donors!S594="","",Raw_Donors!S594)</f>
        <v/>
      </c>
      <c r="U594" s="9" t="str">
        <f aca="false">IF(AND((O594+P594)&gt;0,Q594=0),"Lapsed - Follow Up","")</f>
        <v/>
      </c>
      <c r="V594" s="9" t="n">
        <f aca="false">RANK(R594,$R$2:$R$759)+COUNTIF($R$2:R594,R594)-1</f>
        <v>318</v>
      </c>
      <c r="W594" s="9" t="str">
        <f aca="false">IF(U594="Lapsed - Follow Up",COUNTIF($U$2:U594,"Lapsed - Follow Up"),"")</f>
        <v/>
      </c>
    </row>
    <row r="595" customFormat="false" ht="15" hidden="false" customHeight="true" outlineLevel="0" collapsed="false">
      <c r="A595" s="9" t="str">
        <f aca="false">Raw_Donors!A595</f>
        <v>D1593</v>
      </c>
      <c r="B595" s="9" t="str">
        <f aca="false">IF(ISNUMBER(SEARCH("-DUP",A595)),"Duplicate ID","")</f>
        <v/>
      </c>
      <c r="C595" s="9" t="n">
        <f aca="false">Raw_Donors!B595</f>
        <v>6156</v>
      </c>
      <c r="D595" s="9" t="n">
        <f aca="false">Raw_Donors!C595</f>
        <v>88</v>
      </c>
      <c r="E595" s="9" t="str">
        <f aca="false">IFERROR(IF(Raw_Donors!D595="","Unknown",Raw_Donors!D595),"Unknown")</f>
        <v>Married</v>
      </c>
      <c r="F595" s="9" t="str">
        <f aca="false">IFERROR(IF(Raw_Donors!E595="","Unknown",Raw_Donors!E595),"Unknown")</f>
        <v>Male</v>
      </c>
      <c r="G595" s="9" t="str">
        <f aca="false">PROPER(TRIM(Raw_Donors!F595))</f>
        <v>Individual Donor</v>
      </c>
      <c r="H595" s="9" t="str">
        <f aca="false">IFERROR(IF(Raw_Donors!G595="","N",Raw_Donors!G595),"N")</f>
        <v>N</v>
      </c>
      <c r="I595" s="9" t="str">
        <f aca="false">IF(Raw_Donors!H595="","Not Rated",Raw_Donors!H595)</f>
        <v>$500,000-$999,999</v>
      </c>
      <c r="J595" s="9" t="str">
        <f aca="false">IF(TRIM(Raw_Donors!I595)="","Unknown",TRIM(Raw_Donors!I595))</f>
        <v>HOME</v>
      </c>
      <c r="K595" s="9" t="str">
        <f aca="false">Raw_Donors!J595</f>
        <v>Y</v>
      </c>
      <c r="L595" s="9" t="n">
        <f aca="false">Raw_Donors!K595</f>
        <v>1</v>
      </c>
      <c r="M595" s="10" t="n">
        <f aca="false">IFERROR(VALUE(SUBSTITUTE(SUBSTITUTE(Raw_Donors!L595,"$",""),",","")),0)</f>
        <v>0</v>
      </c>
      <c r="N595" s="10" t="n">
        <f aca="false">IFERROR(VALUE(SUBSTITUTE(SUBSTITUTE(Raw_Donors!M595,"$",""),",","")),0)</f>
        <v>0</v>
      </c>
      <c r="O595" s="10" t="n">
        <f aca="false">IFERROR(VALUE(SUBSTITUTE(SUBSTITUTE(Raw_Donors!N595,"$",""),",","")),0)</f>
        <v>100</v>
      </c>
      <c r="P595" s="10" t="n">
        <f aca="false">IFERROR(VALUE(SUBSTITUTE(SUBSTITUTE(Raw_Donors!O595,"$",""),",","")),0)</f>
        <v>45100</v>
      </c>
      <c r="Q595" s="10" t="n">
        <f aca="false">IFERROR(VALUE(SUBSTITUTE(SUBSTITUTE(Raw_Donors!P595,"$",""),",","")),0)</f>
        <v>0</v>
      </c>
      <c r="R595" s="10" t="n">
        <f aca="false">Raw_Donors!Q595</f>
        <v>126500</v>
      </c>
      <c r="S595" s="9" t="str">
        <f aca="false">Raw_Donors!R595</f>
        <v>Y</v>
      </c>
      <c r="T595" s="9" t="str">
        <f aca="false">IF(Raw_Donors!S595="","",Raw_Donors!S595)</f>
        <v>1929-12-14</v>
      </c>
      <c r="U595" s="9" t="str">
        <f aca="false">IF(AND((O595+P595)&gt;0,Q595=0),"Lapsed - Follow Up","")</f>
        <v>Lapsed - Follow Up</v>
      </c>
      <c r="V595" s="9" t="n">
        <f aca="false">RANK(R595,$R$2:$R$759)+COUNTIF($R$2:R595,R595)-1</f>
        <v>3</v>
      </c>
      <c r="W595" s="9" t="n">
        <f aca="false">IF(U595="Lapsed - Follow Up",COUNTIF($U$2:U595,"Lapsed - Follow Up"),"")</f>
        <v>86</v>
      </c>
    </row>
    <row r="596" customFormat="false" ht="15" hidden="false" customHeight="true" outlineLevel="0" collapsed="false">
      <c r="A596" s="9" t="str">
        <f aca="false">Raw_Donors!A596</f>
        <v>D1594</v>
      </c>
      <c r="B596" s="9" t="str">
        <f aca="false">IF(ISNUMBER(SEARCH("-DUP",A596)),"Duplicate ID","")</f>
        <v/>
      </c>
      <c r="C596" s="9" t="n">
        <f aca="false">Raw_Donors!B596</f>
        <v>29112</v>
      </c>
      <c r="D596" s="9" t="n">
        <f aca="false">Raw_Donors!C596</f>
        <v>0</v>
      </c>
      <c r="E596" s="9" t="str">
        <f aca="false">IFERROR(IF(Raw_Donors!D596="","Unknown",Raw_Donors!D596),"Unknown")</f>
        <v>Unknown</v>
      </c>
      <c r="F596" s="9" t="str">
        <f aca="false">IFERROR(IF(Raw_Donors!E596="","Unknown",Raw_Donors!E596),"Unknown")</f>
        <v>Female</v>
      </c>
      <c r="G596" s="9" t="str">
        <f aca="false">PROPER(TRIM(Raw_Donors!F596))</f>
        <v>Individual Donor</v>
      </c>
      <c r="H596" s="9" t="str">
        <f aca="false">IFERROR(IF(Raw_Donors!G596="","N",Raw_Donors!G596),"N")</f>
        <v>N</v>
      </c>
      <c r="I596" s="9" t="str">
        <f aca="false">IF(Raw_Donors!H596="","Not Rated",Raw_Donors!H596)</f>
        <v>Not Rated</v>
      </c>
      <c r="J596" s="9" t="str">
        <f aca="false">IF(TRIM(Raw_Donors!I596)="","Unknown",TRIM(Raw_Donors!I596))</f>
        <v>HOME</v>
      </c>
      <c r="K596" s="9" t="str">
        <f aca="false">Raw_Donors!J596</f>
        <v>N</v>
      </c>
      <c r="L596" s="9" t="n">
        <f aca="false">Raw_Donors!K596</f>
        <v>4</v>
      </c>
      <c r="M596" s="10" t="n">
        <f aca="false">IFERROR(VALUE(SUBSTITUTE(SUBSTITUTE(Raw_Donors!L596,"$",""),",","")),0)</f>
        <v>0</v>
      </c>
      <c r="N596" s="10" t="n">
        <f aca="false">IFERROR(VALUE(SUBSTITUTE(SUBSTITUTE(Raw_Donors!M596,"$",""),",","")),0)</f>
        <v>0</v>
      </c>
      <c r="O596" s="10" t="n">
        <f aca="false">IFERROR(VALUE(SUBSTITUTE(SUBSTITUTE(Raw_Donors!N596,"$",""),",","")),0)</f>
        <v>0</v>
      </c>
      <c r="P596" s="10" t="n">
        <f aca="false">IFERROR(VALUE(SUBSTITUTE(SUBSTITUTE(Raw_Donors!O596,"$",""),",","")),0)</f>
        <v>0</v>
      </c>
      <c r="Q596" s="10" t="n">
        <f aca="false">IFERROR(VALUE(SUBSTITUTE(SUBSTITUTE(Raw_Donors!P596,"$",""),",","")),0)</f>
        <v>0</v>
      </c>
      <c r="R596" s="10" t="n">
        <f aca="false">Raw_Donors!Q596</f>
        <v>905</v>
      </c>
      <c r="S596" s="9" t="str">
        <f aca="false">Raw_Donors!R596</f>
        <v>Y</v>
      </c>
      <c r="T596" s="9" t="str">
        <f aca="false">IF(Raw_Donors!S596="","",Raw_Donors!S596)</f>
        <v/>
      </c>
      <c r="U596" s="9" t="str">
        <f aca="false">IF(AND((O596+P596)&gt;0,Q596=0),"Lapsed - Follow Up","")</f>
        <v/>
      </c>
      <c r="V596" s="9" t="n">
        <f aca="false">RANK(R596,$R$2:$R$759)+COUNTIF($R$2:R596,R596)-1</f>
        <v>62</v>
      </c>
      <c r="W596" s="9" t="str">
        <f aca="false">IF(U596="Lapsed - Follow Up",COUNTIF($U$2:U596,"Lapsed - Follow Up"),"")</f>
        <v/>
      </c>
    </row>
    <row r="597" customFormat="false" ht="15" hidden="false" customHeight="true" outlineLevel="0" collapsed="false">
      <c r="A597" s="9" t="str">
        <f aca="false">Raw_Donors!A597</f>
        <v>D1595</v>
      </c>
      <c r="B597" s="9" t="str">
        <f aca="false">IF(ISNUMBER(SEARCH("-DUP",A597)),"Duplicate ID","")</f>
        <v/>
      </c>
      <c r="C597" s="9" t="n">
        <f aca="false">Raw_Donors!B597</f>
        <v>23964</v>
      </c>
      <c r="D597" s="9" t="n">
        <f aca="false">Raw_Donors!C597</f>
        <v>0</v>
      </c>
      <c r="E597" s="9" t="str">
        <f aca="false">IFERROR(IF(Raw_Donors!D597="","Unknown",Raw_Donors!D597),"Unknown")</f>
        <v>Unknown</v>
      </c>
      <c r="F597" s="9" t="str">
        <f aca="false">IFERROR(IF(Raw_Donors!E597="","Unknown",Raw_Donors!E597),"Unknown")</f>
        <v>Male</v>
      </c>
      <c r="G597" s="9" t="str">
        <f aca="false">PROPER(TRIM(Raw_Donors!F597))</f>
        <v>Individual Donor</v>
      </c>
      <c r="H597" s="9" t="str">
        <f aca="false">IFERROR(IF(Raw_Donors!G597="","N",Raw_Donors!G597),"N")</f>
        <v>N</v>
      </c>
      <c r="I597" s="9" t="str">
        <f aca="false">IF(Raw_Donors!H597="","Not Rated",Raw_Donors!H597)</f>
        <v>Not Rated</v>
      </c>
      <c r="J597" s="9" t="str">
        <f aca="false">IF(TRIM(Raw_Donors!I597)="","Unknown",TRIM(Raw_Donors!I597))</f>
        <v>BUSN</v>
      </c>
      <c r="K597" s="9" t="str">
        <f aca="false">Raw_Donors!J597</f>
        <v>N</v>
      </c>
      <c r="L597" s="9" t="n">
        <f aca="false">Raw_Donors!K597</f>
        <v>1</v>
      </c>
      <c r="M597" s="10" t="n">
        <f aca="false">IFERROR(VALUE(SUBSTITUTE(SUBSTITUTE(Raw_Donors!L597,"$",""),",","")),0)</f>
        <v>0</v>
      </c>
      <c r="N597" s="10" t="n">
        <f aca="false">IFERROR(VALUE(SUBSTITUTE(SUBSTITUTE(Raw_Donors!M597,"$",""),",","")),0)</f>
        <v>0</v>
      </c>
      <c r="O597" s="10" t="n">
        <f aca="false">IFERROR(VALUE(SUBSTITUTE(SUBSTITUTE(Raw_Donors!N597,"$",""),",","")),0)</f>
        <v>0</v>
      </c>
      <c r="P597" s="10" t="n">
        <f aca="false">IFERROR(VALUE(SUBSTITUTE(SUBSTITUTE(Raw_Donors!O597,"$",""),",","")),0)</f>
        <v>0</v>
      </c>
      <c r="Q597" s="10" t="n">
        <f aca="false">IFERROR(VALUE(SUBSTITUTE(SUBSTITUTE(Raw_Donors!P597,"$",""),",","")),0)</f>
        <v>0</v>
      </c>
      <c r="R597" s="10" t="n">
        <f aca="false">Raw_Donors!Q597</f>
        <v>30</v>
      </c>
      <c r="S597" s="9" t="str">
        <f aca="false">Raw_Donors!R597</f>
        <v>Y</v>
      </c>
      <c r="T597" s="9" t="str">
        <f aca="false">IF(Raw_Donors!S597="","",Raw_Donors!S597)</f>
        <v/>
      </c>
      <c r="U597" s="9" t="str">
        <f aca="false">IF(AND((O597+P597)&gt;0,Q597=0),"Lapsed - Follow Up","")</f>
        <v/>
      </c>
      <c r="V597" s="9" t="n">
        <f aca="false">RANK(R597,$R$2:$R$759)+COUNTIF($R$2:R597,R597)-1</f>
        <v>423</v>
      </c>
      <c r="W597" s="9" t="str">
        <f aca="false">IF(U597="Lapsed - Follow Up",COUNTIF($U$2:U597,"Lapsed - Follow Up"),"")</f>
        <v/>
      </c>
    </row>
    <row r="598" customFormat="false" ht="15" hidden="false" customHeight="true" outlineLevel="0" collapsed="false">
      <c r="A598" s="9" t="str">
        <f aca="false">Raw_Donors!A598</f>
        <v>D1596</v>
      </c>
      <c r="B598" s="9" t="str">
        <f aca="false">IF(ISNUMBER(SEARCH("-DUP",A598)),"Duplicate ID","")</f>
        <v/>
      </c>
      <c r="C598" s="9" t="n">
        <f aca="false">Raw_Donors!B598</f>
        <v>67564</v>
      </c>
      <c r="D598" s="9" t="n">
        <f aca="false">Raw_Donors!C598</f>
        <v>0</v>
      </c>
      <c r="E598" s="9" t="str">
        <f aca="false">IFERROR(IF(Raw_Donors!D598="","Unknown",Raw_Donors!D598),"Unknown")</f>
        <v>Unknown</v>
      </c>
      <c r="F598" s="9" t="str">
        <f aca="false">IFERROR(IF(Raw_Donors!E598="","Unknown",Raw_Donors!E598),"Unknown")</f>
        <v>Male</v>
      </c>
      <c r="G598" s="9" t="str">
        <f aca="false">PROPER(TRIM(Raw_Donors!F598))</f>
        <v>Individual Donor</v>
      </c>
      <c r="H598" s="9" t="str">
        <f aca="false">IFERROR(IF(Raw_Donors!G598="","N",Raw_Donors!G598),"N")</f>
        <v>N</v>
      </c>
      <c r="I598" s="9" t="str">
        <f aca="false">IF(Raw_Donors!H598="","Not Rated",Raw_Donors!H598)</f>
        <v>Not Rated</v>
      </c>
      <c r="J598" s="9" t="str">
        <f aca="false">IF(TRIM(Raw_Donors!I598)="","Unknown",TRIM(Raw_Donors!I598))</f>
        <v>HOME</v>
      </c>
      <c r="K598" s="9" t="str">
        <f aca="false">Raw_Donors!J598</f>
        <v>N</v>
      </c>
      <c r="L598" s="9" t="n">
        <f aca="false">Raw_Donors!K598</f>
        <v>1</v>
      </c>
      <c r="M598" s="10" t="n">
        <f aca="false">IFERROR(VALUE(SUBSTITUTE(SUBSTITUTE(Raw_Donors!L598,"$",""),",","")),0)</f>
        <v>1</v>
      </c>
      <c r="N598" s="10" t="n">
        <f aca="false">IFERROR(VALUE(SUBSTITUTE(SUBSTITUTE(Raw_Donors!M598,"$",""),",","")),0)</f>
        <v>0</v>
      </c>
      <c r="O598" s="10" t="n">
        <f aca="false">IFERROR(VALUE(SUBSTITUTE(SUBSTITUTE(Raw_Donors!N598,"$",""),",","")),0)</f>
        <v>0</v>
      </c>
      <c r="P598" s="10" t="n">
        <f aca="false">IFERROR(VALUE(SUBSTITUTE(SUBSTITUTE(Raw_Donors!O598,"$",""),",","")),0)</f>
        <v>0</v>
      </c>
      <c r="Q598" s="10" t="n">
        <f aca="false">IFERROR(VALUE(SUBSTITUTE(SUBSTITUTE(Raw_Donors!P598,"$",""),",","")),0)</f>
        <v>0</v>
      </c>
      <c r="R598" s="10" t="n">
        <f aca="false">Raw_Donors!Q598</f>
        <v>405</v>
      </c>
      <c r="S598" s="9" t="str">
        <f aca="false">Raw_Donors!R598</f>
        <v>Y</v>
      </c>
      <c r="T598" s="9" t="str">
        <f aca="false">IF(Raw_Donors!S598="","",Raw_Donors!S598)</f>
        <v/>
      </c>
      <c r="U598" s="9" t="str">
        <f aca="false">IF(AND((O598+P598)&gt;0,Q598=0),"Lapsed - Follow Up","")</f>
        <v/>
      </c>
      <c r="V598" s="9" t="n">
        <f aca="false">RANK(R598,$R$2:$R$759)+COUNTIF($R$2:R598,R598)-1</f>
        <v>108</v>
      </c>
      <c r="W598" s="9" t="str">
        <f aca="false">IF(U598="Lapsed - Follow Up",COUNTIF($U$2:U598,"Lapsed - Follow Up"),"")</f>
        <v/>
      </c>
    </row>
    <row r="599" customFormat="false" ht="15" hidden="false" customHeight="true" outlineLevel="0" collapsed="false">
      <c r="A599" s="9" t="str">
        <f aca="false">Raw_Donors!A599</f>
        <v>D1597</v>
      </c>
      <c r="B599" s="9" t="str">
        <f aca="false">IF(ISNUMBER(SEARCH("-DUP",A599)),"Duplicate ID","")</f>
        <v/>
      </c>
      <c r="C599" s="9" t="n">
        <f aca="false">Raw_Donors!B599</f>
        <v>57216</v>
      </c>
      <c r="D599" s="9" t="n">
        <f aca="false">Raw_Donors!C599</f>
        <v>0</v>
      </c>
      <c r="E599" s="9" t="str">
        <f aca="false">IFERROR(IF(Raw_Donors!D599="","Unknown",Raw_Donors!D599),"Unknown")</f>
        <v>Unknown</v>
      </c>
      <c r="F599" s="9" t="str">
        <f aca="false">IFERROR(IF(Raw_Donors!E599="","Unknown",Raw_Donors!E599),"Unknown")</f>
        <v>Male</v>
      </c>
      <c r="G599" s="9" t="str">
        <f aca="false">PROPER(TRIM(Raw_Donors!F599))</f>
        <v>Individual Donor</v>
      </c>
      <c r="H599" s="9" t="str">
        <f aca="false">IFERROR(IF(Raw_Donors!G599="","N",Raw_Donors!G599),"N")</f>
        <v>N</v>
      </c>
      <c r="I599" s="9" t="str">
        <f aca="false">IF(Raw_Donors!H599="","Not Rated",Raw_Donors!H599)</f>
        <v>Not Rated</v>
      </c>
      <c r="J599" s="9" t="str">
        <f aca="false">IF(TRIM(Raw_Donors!I599)="","Unknown",TRIM(Raw_Donors!I599))</f>
        <v>HOME</v>
      </c>
      <c r="K599" s="9" t="str">
        <f aca="false">Raw_Donors!J599</f>
        <v>N</v>
      </c>
      <c r="L599" s="9" t="n">
        <f aca="false">Raw_Donors!K599</f>
        <v>1</v>
      </c>
      <c r="M599" s="10" t="n">
        <f aca="false">IFERROR(VALUE(SUBSTITUTE(SUBSTITUTE(Raw_Donors!L599,"$",""),",","")),0)</f>
        <v>0</v>
      </c>
      <c r="N599" s="10" t="n">
        <f aca="false">IFERROR(VALUE(SUBSTITUTE(SUBSTITUTE(Raw_Donors!M599,"$",""),",","")),0)</f>
        <v>0</v>
      </c>
      <c r="O599" s="10" t="n">
        <f aca="false">IFERROR(VALUE(SUBSTITUTE(SUBSTITUTE(Raw_Donors!N599,"$",""),",","")),0)</f>
        <v>0</v>
      </c>
      <c r="P599" s="10" t="n">
        <f aca="false">IFERROR(VALUE(SUBSTITUTE(SUBSTITUTE(Raw_Donors!O599,"$",""),",","")),0)</f>
        <v>1</v>
      </c>
      <c r="Q599" s="10" t="n">
        <f aca="false">IFERROR(VALUE(SUBSTITUTE(SUBSTITUTE(Raw_Donors!P599,"$",""),",","")),0)</f>
        <v>1</v>
      </c>
      <c r="R599" s="10" t="n">
        <f aca="false">Raw_Donors!Q599</f>
        <v>2</v>
      </c>
      <c r="S599" s="9" t="str">
        <f aca="false">Raw_Donors!R599</f>
        <v>Y</v>
      </c>
      <c r="T599" s="9" t="str">
        <f aca="false">IF(Raw_Donors!S599="","",Raw_Donors!S599)</f>
        <v/>
      </c>
      <c r="U599" s="9" t="str">
        <f aca="false">IF(AND((O599+P599)&gt;0,Q599=0),"Lapsed - Follow Up","")</f>
        <v/>
      </c>
      <c r="V599" s="9" t="n">
        <f aca="false">RANK(R599,$R$2:$R$759)+COUNTIF($R$2:R599,R599)-1</f>
        <v>525</v>
      </c>
      <c r="W599" s="9" t="str">
        <f aca="false">IF(U599="Lapsed - Follow Up",COUNTIF($U$2:U599,"Lapsed - Follow Up"),"")</f>
        <v/>
      </c>
    </row>
    <row r="600" customFormat="false" ht="15" hidden="false" customHeight="true" outlineLevel="0" collapsed="false">
      <c r="A600" s="9" t="str">
        <f aca="false">Raw_Donors!A600</f>
        <v>D1598</v>
      </c>
      <c r="B600" s="9" t="str">
        <f aca="false">IF(ISNUMBER(SEARCH("-DUP",A600)),"Duplicate ID","")</f>
        <v/>
      </c>
      <c r="C600" s="9" t="n">
        <f aca="false">Raw_Donors!B600</f>
        <v>81135</v>
      </c>
      <c r="D600" s="9" t="n">
        <f aca="false">Raw_Donors!C600</f>
        <v>0</v>
      </c>
      <c r="E600" s="9" t="str">
        <f aca="false">IFERROR(IF(Raw_Donors!D600="","Unknown",Raw_Donors!D600),"Unknown")</f>
        <v>Unknown</v>
      </c>
      <c r="F600" s="9" t="str">
        <f aca="false">IFERROR(IF(Raw_Donors!E600="","Unknown",Raw_Donors!E600),"Unknown")</f>
        <v>Female</v>
      </c>
      <c r="G600" s="9" t="str">
        <f aca="false">PROPER(TRIM(Raw_Donors!F600))</f>
        <v>Individual Donor</v>
      </c>
      <c r="H600" s="9" t="str">
        <f aca="false">IFERROR(IF(Raw_Donors!G600="","N",Raw_Donors!G600),"N")</f>
        <v>N</v>
      </c>
      <c r="I600" s="9" t="str">
        <f aca="false">IF(Raw_Donors!H600="","Not Rated",Raw_Donors!H600)</f>
        <v>Not Rated</v>
      </c>
      <c r="J600" s="9" t="str">
        <f aca="false">IF(TRIM(Raw_Donors!I600)="","Unknown",TRIM(Raw_Donors!I600))</f>
        <v>BUSN</v>
      </c>
      <c r="K600" s="9" t="str">
        <f aca="false">Raw_Donors!J600</f>
        <v>N</v>
      </c>
      <c r="L600" s="9" t="n">
        <f aca="false">Raw_Donors!K600</f>
        <v>0</v>
      </c>
      <c r="M600" s="10" t="n">
        <f aca="false">IFERROR(VALUE(SUBSTITUTE(SUBSTITUTE(Raw_Donors!L600,"$",""),",","")),0)</f>
        <v>0</v>
      </c>
      <c r="N600" s="10" t="n">
        <f aca="false">IFERROR(VALUE(SUBSTITUTE(SUBSTITUTE(Raw_Donors!M600,"$",""),",","")),0)</f>
        <v>0</v>
      </c>
      <c r="O600" s="10" t="n">
        <f aca="false">IFERROR(VALUE(SUBSTITUTE(SUBSTITUTE(Raw_Donors!N600,"$",""),",","")),0)</f>
        <v>0</v>
      </c>
      <c r="P600" s="10" t="n">
        <f aca="false">IFERROR(VALUE(SUBSTITUTE(SUBSTITUTE(Raw_Donors!O600,"$",""),",","")),0)</f>
        <v>0</v>
      </c>
      <c r="Q600" s="10" t="n">
        <f aca="false">IFERROR(VALUE(SUBSTITUTE(SUBSTITUTE(Raw_Donors!P600,"$",""),",","")),0)</f>
        <v>0</v>
      </c>
      <c r="R600" s="10" t="n">
        <f aca="false">Raw_Donors!Q600</f>
        <v>240</v>
      </c>
      <c r="S600" s="9" t="str">
        <f aca="false">Raw_Donors!R600</f>
        <v>Y</v>
      </c>
      <c r="T600" s="9" t="str">
        <f aca="false">IF(Raw_Donors!S600="","",Raw_Donors!S600)</f>
        <v/>
      </c>
      <c r="U600" s="9" t="str">
        <f aca="false">IF(AND((O600+P600)&gt;0,Q600=0),"Lapsed - Follow Up","")</f>
        <v/>
      </c>
      <c r="V600" s="9" t="n">
        <f aca="false">RANK(R600,$R$2:$R$759)+COUNTIF($R$2:R600,R600)-1</f>
        <v>178</v>
      </c>
      <c r="W600" s="9" t="str">
        <f aca="false">IF(U600="Lapsed - Follow Up",COUNTIF($U$2:U600,"Lapsed - Follow Up"),"")</f>
        <v/>
      </c>
    </row>
    <row r="601" customFormat="false" ht="15" hidden="false" customHeight="true" outlineLevel="0" collapsed="false">
      <c r="A601" s="9" t="str">
        <f aca="false">Raw_Donors!A601</f>
        <v>D1599</v>
      </c>
      <c r="B601" s="9" t="str">
        <f aca="false">IF(ISNUMBER(SEARCH("-DUP",A601)),"Duplicate ID","")</f>
        <v/>
      </c>
      <c r="C601" s="9" t="n">
        <f aca="false">Raw_Donors!B601</f>
        <v>56212</v>
      </c>
      <c r="D601" s="9" t="n">
        <f aca="false">Raw_Donors!C601</f>
        <v>0</v>
      </c>
      <c r="E601" s="9" t="str">
        <f aca="false">IFERROR(IF(Raw_Donors!D601="","Unknown",Raw_Donors!D601),"Unknown")</f>
        <v>Unknown</v>
      </c>
      <c r="F601" s="9" t="str">
        <f aca="false">IFERROR(IF(Raw_Donors!E601="","Unknown",Raw_Donors!E601),"Unknown")</f>
        <v>Male</v>
      </c>
      <c r="G601" s="9" t="str">
        <f aca="false">PROPER(TRIM(Raw_Donors!F601))</f>
        <v>Individual Donor</v>
      </c>
      <c r="H601" s="9" t="str">
        <f aca="false">IFERROR(IF(Raw_Donors!G601="","N",Raw_Donors!G601),"N")</f>
        <v>N</v>
      </c>
      <c r="I601" s="9" t="str">
        <f aca="false">IF(Raw_Donors!H601="","Not Rated",Raw_Donors!H601)</f>
        <v>Not Rated</v>
      </c>
      <c r="J601" s="9" t="str">
        <f aca="false">IF(TRIM(Raw_Donors!I601)="","Unknown",TRIM(Raw_Donors!I601))</f>
        <v>Unknown</v>
      </c>
      <c r="K601" s="9" t="str">
        <f aca="false">Raw_Donors!J601</f>
        <v>N</v>
      </c>
      <c r="L601" s="9" t="n">
        <f aca="false">Raw_Donors!K601</f>
        <v>1</v>
      </c>
      <c r="M601" s="10" t="n">
        <f aca="false">IFERROR(VALUE(SUBSTITUTE(SUBSTITUTE(Raw_Donors!L601,"$",""),",","")),0)</f>
        <v>0</v>
      </c>
      <c r="N601" s="10" t="n">
        <f aca="false">IFERROR(VALUE(SUBSTITUTE(SUBSTITUTE(Raw_Donors!M601,"$",""),",","")),0)</f>
        <v>0</v>
      </c>
      <c r="O601" s="10" t="n">
        <f aca="false">IFERROR(VALUE(SUBSTITUTE(SUBSTITUTE(Raw_Donors!N601,"$",""),",","")),0)</f>
        <v>0</v>
      </c>
      <c r="P601" s="10" t="n">
        <f aca="false">IFERROR(VALUE(SUBSTITUTE(SUBSTITUTE(Raw_Donors!O601,"$",""),",","")),0)</f>
        <v>0</v>
      </c>
      <c r="Q601" s="10" t="n">
        <f aca="false">IFERROR(VALUE(SUBSTITUTE(SUBSTITUTE(Raw_Donors!P601,"$",""),",","")),0)</f>
        <v>0</v>
      </c>
      <c r="R601" s="10" t="n">
        <f aca="false">Raw_Donors!Q601</f>
        <v>509</v>
      </c>
      <c r="S601" s="9" t="str">
        <f aca="false">Raw_Donors!R601</f>
        <v>Y</v>
      </c>
      <c r="T601" s="9" t="str">
        <f aca="false">IF(Raw_Donors!S601="","",Raw_Donors!S601)</f>
        <v/>
      </c>
      <c r="U601" s="9" t="str">
        <f aca="false">IF(AND((O601+P601)&gt;0,Q601=0),"Lapsed - Follow Up","")</f>
        <v/>
      </c>
      <c r="V601" s="9" t="n">
        <f aca="false">RANK(R601,$R$2:$R$759)+COUNTIF($R$2:R601,R601)-1</f>
        <v>87</v>
      </c>
      <c r="W601" s="9" t="str">
        <f aca="false">IF(U601="Lapsed - Follow Up",COUNTIF($U$2:U601,"Lapsed - Follow Up"),"")</f>
        <v/>
      </c>
    </row>
    <row r="602" customFormat="false" ht="15" hidden="false" customHeight="true" outlineLevel="0" collapsed="false">
      <c r="A602" s="9" t="str">
        <f aca="false">Raw_Donors!A602</f>
        <v>D1600</v>
      </c>
      <c r="B602" s="9" t="str">
        <f aca="false">IF(ISNUMBER(SEARCH("-DUP",A602)),"Duplicate ID","")</f>
        <v/>
      </c>
      <c r="C602" s="9" t="n">
        <f aca="false">Raw_Donors!B602</f>
        <v>33807</v>
      </c>
      <c r="D602" s="9" t="n">
        <f aca="false">Raw_Donors!C602</f>
        <v>0</v>
      </c>
      <c r="E602" s="9" t="str">
        <f aca="false">IFERROR(IF(Raw_Donors!D602="","Unknown",Raw_Donors!D602),"Unknown")</f>
        <v>Unknown</v>
      </c>
      <c r="F602" s="9" t="str">
        <f aca="false">IFERROR(IF(Raw_Donors!E602="","Unknown",Raw_Donors!E602),"Unknown")</f>
        <v>Male</v>
      </c>
      <c r="G602" s="9" t="str">
        <f aca="false">PROPER(TRIM(Raw_Donors!F602))</f>
        <v>Community Partner</v>
      </c>
      <c r="H602" s="9" t="str">
        <f aca="false">IFERROR(IF(Raw_Donors!G602="","N",Raw_Donors!G602),"N")</f>
        <v>N</v>
      </c>
      <c r="I602" s="9" t="str">
        <f aca="false">IF(Raw_Donors!H602="","Not Rated",Raw_Donors!H602)</f>
        <v>Not Rated</v>
      </c>
      <c r="J602" s="9" t="str">
        <f aca="false">IF(TRIM(Raw_Donors!I602)="","Unknown",TRIM(Raw_Donors!I602))</f>
        <v>Unknown</v>
      </c>
      <c r="K602" s="9" t="str">
        <f aca="false">Raw_Donors!J602</f>
        <v>N</v>
      </c>
      <c r="L602" s="9" t="n">
        <f aca="false">Raw_Donors!K602</f>
        <v>0</v>
      </c>
      <c r="M602" s="10" t="n">
        <f aca="false">IFERROR(VALUE(SUBSTITUTE(SUBSTITUTE(Raw_Donors!L602,"$",""),",","")),0)</f>
        <v>0</v>
      </c>
      <c r="N602" s="10" t="n">
        <f aca="false">IFERROR(VALUE(SUBSTITUTE(SUBSTITUTE(Raw_Donors!M602,"$",""),",","")),0)</f>
        <v>0</v>
      </c>
      <c r="O602" s="10" t="n">
        <f aca="false">IFERROR(VALUE(SUBSTITUTE(SUBSTITUTE(Raw_Donors!N602,"$",""),",","")),0)</f>
        <v>0</v>
      </c>
      <c r="P602" s="10" t="n">
        <f aca="false">IFERROR(VALUE(SUBSTITUTE(SUBSTITUTE(Raw_Donors!O602,"$",""),",","")),0)</f>
        <v>0</v>
      </c>
      <c r="Q602" s="10" t="n">
        <f aca="false">IFERROR(VALUE(SUBSTITUTE(SUBSTITUTE(Raw_Donors!P602,"$",""),",","")),0)</f>
        <v>0</v>
      </c>
      <c r="R602" s="10" t="n">
        <f aca="false">Raw_Donors!Q602</f>
        <v>0</v>
      </c>
      <c r="S602" s="9" t="str">
        <f aca="false">Raw_Donors!R602</f>
        <v>N</v>
      </c>
      <c r="T602" s="9" t="str">
        <f aca="false">IF(Raw_Donors!S602="","",Raw_Donors!S602)</f>
        <v/>
      </c>
      <c r="U602" s="9" t="str">
        <f aca="false">IF(AND((O602+P602)&gt;0,Q602=0),"Lapsed - Follow Up","")</f>
        <v/>
      </c>
      <c r="V602" s="9" t="n">
        <f aca="false">RANK(R602,$R$2:$R$759)+COUNTIF($R$2:R602,R602)-1</f>
        <v>713</v>
      </c>
      <c r="W602" s="9" t="str">
        <f aca="false">IF(U602="Lapsed - Follow Up",COUNTIF($U$2:U602,"Lapsed - Follow Up"),"")</f>
        <v/>
      </c>
    </row>
    <row r="603" customFormat="false" ht="15" hidden="false" customHeight="true" outlineLevel="0" collapsed="false">
      <c r="A603" s="9" t="str">
        <f aca="false">Raw_Donors!A603</f>
        <v>D1601</v>
      </c>
      <c r="B603" s="9" t="str">
        <f aca="false">IF(ISNUMBER(SEARCH("-DUP",A603)),"Duplicate ID","")</f>
        <v/>
      </c>
      <c r="C603" s="9" t="n">
        <f aca="false">Raw_Donors!B603</f>
        <v>97486</v>
      </c>
      <c r="D603" s="9" t="n">
        <f aca="false">Raw_Donors!C603</f>
        <v>0</v>
      </c>
      <c r="E603" s="9" t="str">
        <f aca="false">IFERROR(IF(Raw_Donors!D603="","Unknown",Raw_Donors!D603),"Unknown")</f>
        <v>Married</v>
      </c>
      <c r="F603" s="9" t="str">
        <f aca="false">IFERROR(IF(Raw_Donors!E603="","Unknown",Raw_Donors!E603),"Unknown")</f>
        <v>Male</v>
      </c>
      <c r="G603" s="9" t="str">
        <f aca="false">PROPER(TRIM(Raw_Donors!F603))</f>
        <v>Community Partner</v>
      </c>
      <c r="H603" s="9" t="str">
        <f aca="false">IFERROR(IF(Raw_Donors!G603="","N",Raw_Donors!G603),"N")</f>
        <v>Y</v>
      </c>
      <c r="I603" s="9" t="str">
        <f aca="false">IF(Raw_Donors!H603="","Not Rated",Raw_Donors!H603)</f>
        <v>Not Rated</v>
      </c>
      <c r="J603" s="9" t="str">
        <f aca="false">IF(TRIM(Raw_Donors!I603)="","Unknown",TRIM(Raw_Donors!I603))</f>
        <v>HOME</v>
      </c>
      <c r="K603" s="9" t="str">
        <f aca="false">Raw_Donors!J603</f>
        <v>N</v>
      </c>
      <c r="L603" s="9" t="n">
        <f aca="false">Raw_Donors!K603</f>
        <v>4</v>
      </c>
      <c r="M603" s="10" t="n">
        <f aca="false">IFERROR(VALUE(SUBSTITUTE(SUBSTITUTE(Raw_Donors!L603,"$",""),",","")),0)</f>
        <v>0</v>
      </c>
      <c r="N603" s="10" t="n">
        <f aca="false">IFERROR(VALUE(SUBSTITUTE(SUBSTITUTE(Raw_Donors!M603,"$",""),",","")),0)</f>
        <v>0</v>
      </c>
      <c r="O603" s="10" t="n">
        <f aca="false">IFERROR(VALUE(SUBSTITUTE(SUBSTITUTE(Raw_Donors!N603,"$",""),",","")),0)</f>
        <v>0</v>
      </c>
      <c r="P603" s="10" t="n">
        <f aca="false">IFERROR(VALUE(SUBSTITUTE(SUBSTITUTE(Raw_Donors!O603,"$",""),",","")),0)</f>
        <v>0</v>
      </c>
      <c r="Q603" s="10" t="n">
        <f aca="false">IFERROR(VALUE(SUBSTITUTE(SUBSTITUTE(Raw_Donors!P603,"$",""),",","")),0)</f>
        <v>0</v>
      </c>
      <c r="R603" s="10" t="n">
        <f aca="false">Raw_Donors!Q603</f>
        <v>0</v>
      </c>
      <c r="S603" s="9" t="str">
        <f aca="false">Raw_Donors!R603</f>
        <v>N</v>
      </c>
      <c r="T603" s="9" t="str">
        <f aca="false">IF(Raw_Donors!S603="","",Raw_Donors!S603)</f>
        <v/>
      </c>
      <c r="U603" s="9" t="str">
        <f aca="false">IF(AND((O603+P603)&gt;0,Q603=0),"Lapsed - Follow Up","")</f>
        <v/>
      </c>
      <c r="V603" s="9" t="n">
        <f aca="false">RANK(R603,$R$2:$R$759)+COUNTIF($R$2:R603,R603)-1</f>
        <v>714</v>
      </c>
      <c r="W603" s="9" t="str">
        <f aca="false">IF(U603="Lapsed - Follow Up",COUNTIF($U$2:U603,"Lapsed - Follow Up"),"")</f>
        <v/>
      </c>
    </row>
    <row r="604" customFormat="false" ht="15" hidden="false" customHeight="true" outlineLevel="0" collapsed="false">
      <c r="A604" s="9" t="str">
        <f aca="false">Raw_Donors!A604</f>
        <v>D1602</v>
      </c>
      <c r="B604" s="9" t="str">
        <f aca="false">IF(ISNUMBER(SEARCH("-DUP",A604)),"Duplicate ID","")</f>
        <v/>
      </c>
      <c r="C604" s="9" t="n">
        <f aca="false">Raw_Donors!B604</f>
        <v>90265</v>
      </c>
      <c r="D604" s="9" t="n">
        <f aca="false">Raw_Donors!C604</f>
        <v>0</v>
      </c>
      <c r="E604" s="9" t="str">
        <f aca="false">IFERROR(IF(Raw_Donors!D604="","Unknown",Raw_Donors!D604),"Unknown")</f>
        <v>Unknown</v>
      </c>
      <c r="F604" s="9" t="str">
        <f aca="false">IFERROR(IF(Raw_Donors!E604="","Unknown",Raw_Donors!E604),"Unknown")</f>
        <v>Male</v>
      </c>
      <c r="G604" s="9" t="str">
        <f aca="false">PROPER(TRIM(Raw_Donors!F604))</f>
        <v>Individual Donor</v>
      </c>
      <c r="H604" s="9" t="str">
        <f aca="false">IFERROR(IF(Raw_Donors!G604="","N",Raw_Donors!G604),"N")</f>
        <v>N</v>
      </c>
      <c r="I604" s="9" t="str">
        <f aca="false">IF(Raw_Donors!H604="","Not Rated",Raw_Donors!H604)</f>
        <v>Not Rated</v>
      </c>
      <c r="J604" s="9" t="str">
        <f aca="false">IF(TRIM(Raw_Donors!I604)="","Unknown",TRIM(Raw_Donors!I604))</f>
        <v>HOME</v>
      </c>
      <c r="K604" s="9" t="str">
        <f aca="false">Raw_Donors!J604</f>
        <v>N</v>
      </c>
      <c r="L604" s="9" t="n">
        <f aca="false">Raw_Donors!K604</f>
        <v>1</v>
      </c>
      <c r="M604" s="10" t="n">
        <f aca="false">IFERROR(VALUE(SUBSTITUTE(SUBSTITUTE(Raw_Donors!L604,"$",""),",","")),0)</f>
        <v>0</v>
      </c>
      <c r="N604" s="10" t="n">
        <f aca="false">IFERROR(VALUE(SUBSTITUTE(SUBSTITUTE(Raw_Donors!M604,"$",""),",","")),0)</f>
        <v>0</v>
      </c>
      <c r="O604" s="10" t="n">
        <f aca="false">IFERROR(VALUE(SUBSTITUTE(SUBSTITUTE(Raw_Donors!N604,"$",""),",","")),0)</f>
        <v>0</v>
      </c>
      <c r="P604" s="10" t="n">
        <f aca="false">IFERROR(VALUE(SUBSTITUTE(SUBSTITUTE(Raw_Donors!O604,"$",""),",","")),0)</f>
        <v>0</v>
      </c>
      <c r="Q604" s="10" t="n">
        <f aca="false">IFERROR(VALUE(SUBSTITUTE(SUBSTITUTE(Raw_Donors!P604,"$",""),",","")),0)</f>
        <v>0</v>
      </c>
      <c r="R604" s="10" t="n">
        <f aca="false">Raw_Donors!Q604</f>
        <v>0</v>
      </c>
      <c r="S604" s="9" t="str">
        <f aca="false">Raw_Donors!R604</f>
        <v>N</v>
      </c>
      <c r="T604" s="9" t="str">
        <f aca="false">IF(Raw_Donors!S604="","",Raw_Donors!S604)</f>
        <v/>
      </c>
      <c r="U604" s="9" t="str">
        <f aca="false">IF(AND((O604+P604)&gt;0,Q604=0),"Lapsed - Follow Up","")</f>
        <v/>
      </c>
      <c r="V604" s="9" t="n">
        <f aca="false">RANK(R604,$R$2:$R$759)+COUNTIF($R$2:R604,R604)-1</f>
        <v>715</v>
      </c>
      <c r="W604" s="9" t="str">
        <f aca="false">IF(U604="Lapsed - Follow Up",COUNTIF($U$2:U604,"Lapsed - Follow Up"),"")</f>
        <v/>
      </c>
    </row>
    <row r="605" customFormat="false" ht="15" hidden="false" customHeight="true" outlineLevel="0" collapsed="false">
      <c r="A605" s="9" t="str">
        <f aca="false">Raw_Donors!A605</f>
        <v>D1603</v>
      </c>
      <c r="B605" s="9" t="str">
        <f aca="false">IF(ISNUMBER(SEARCH("-DUP",A605)),"Duplicate ID","")</f>
        <v/>
      </c>
      <c r="C605" s="9" t="n">
        <f aca="false">Raw_Donors!B605</f>
        <v>71642</v>
      </c>
      <c r="D605" s="9" t="n">
        <f aca="false">Raw_Donors!C605</f>
        <v>70</v>
      </c>
      <c r="E605" s="9" t="str">
        <f aca="false">IFERROR(IF(Raw_Donors!D605="","Unknown",Raw_Donors!D605),"Unknown")</f>
        <v>Unknown</v>
      </c>
      <c r="F605" s="9" t="str">
        <f aca="false">IFERROR(IF(Raw_Donors!E605="","Unknown",Raw_Donors!E605),"Unknown")</f>
        <v>Male</v>
      </c>
      <c r="G605" s="9" t="str">
        <f aca="false">PROPER(TRIM(Raw_Donors!F605))</f>
        <v>Individual Donor</v>
      </c>
      <c r="H605" s="9" t="str">
        <f aca="false">IFERROR(IF(Raw_Donors!G605="","N",Raw_Donors!G605),"N")</f>
        <v>N</v>
      </c>
      <c r="I605" s="9" t="str">
        <f aca="false">IF(Raw_Donors!H605="","Not Rated",Raw_Donors!H605)</f>
        <v>Not Rated</v>
      </c>
      <c r="J605" s="9" t="str">
        <f aca="false">IF(TRIM(Raw_Donors!I605)="","Unknown",TRIM(Raw_Donors!I605))</f>
        <v>HOME</v>
      </c>
      <c r="K605" s="9" t="str">
        <f aca="false">Raw_Donors!J605</f>
        <v>Y</v>
      </c>
      <c r="L605" s="9" t="n">
        <f aca="false">Raw_Donors!K605</f>
        <v>0</v>
      </c>
      <c r="M605" s="10" t="n">
        <f aca="false">IFERROR(VALUE(SUBSTITUTE(SUBSTITUTE(Raw_Donors!L605,"$",""),",","")),0)</f>
        <v>0</v>
      </c>
      <c r="N605" s="10" t="n">
        <f aca="false">IFERROR(VALUE(SUBSTITUTE(SUBSTITUTE(Raw_Donors!M605,"$",""),",","")),0)</f>
        <v>0</v>
      </c>
      <c r="O605" s="10" t="n">
        <f aca="false">IFERROR(VALUE(SUBSTITUTE(SUBSTITUTE(Raw_Donors!N605,"$",""),",","")),0)</f>
        <v>0</v>
      </c>
      <c r="P605" s="10" t="n">
        <f aca="false">IFERROR(VALUE(SUBSTITUTE(SUBSTITUTE(Raw_Donors!O605,"$",""),",","")),0)</f>
        <v>0</v>
      </c>
      <c r="Q605" s="10" t="n">
        <f aca="false">IFERROR(VALUE(SUBSTITUTE(SUBSTITUTE(Raw_Donors!P605,"$",""),",","")),0)</f>
        <v>0</v>
      </c>
      <c r="R605" s="10" t="n">
        <f aca="false">Raw_Donors!Q605</f>
        <v>100</v>
      </c>
      <c r="S605" s="9" t="str">
        <f aca="false">Raw_Donors!R605</f>
        <v>Y</v>
      </c>
      <c r="T605" s="9" t="str">
        <f aca="false">IF(Raw_Donors!S605="","",Raw_Donors!S605)</f>
        <v>1947-09-11</v>
      </c>
      <c r="U605" s="9" t="str">
        <f aca="false">IF(AND((O605+P605)&gt;0,Q605=0),"Lapsed - Follow Up","")</f>
        <v/>
      </c>
      <c r="V605" s="9" t="n">
        <f aca="false">RANK(R605,$R$2:$R$759)+COUNTIF($R$2:R605,R605)-1</f>
        <v>295</v>
      </c>
      <c r="W605" s="9" t="str">
        <f aca="false">IF(U605="Lapsed - Follow Up",COUNTIF($U$2:U605,"Lapsed - Follow Up"),"")</f>
        <v/>
      </c>
    </row>
    <row r="606" customFormat="false" ht="15" hidden="false" customHeight="true" outlineLevel="0" collapsed="false">
      <c r="A606" s="9" t="str">
        <f aca="false">Raw_Donors!A606</f>
        <v>D1604</v>
      </c>
      <c r="B606" s="9" t="str">
        <f aca="false">IF(ISNUMBER(SEARCH("-DUP",A606)),"Duplicate ID","")</f>
        <v/>
      </c>
      <c r="C606" s="9" t="n">
        <f aca="false">Raw_Donors!B606</f>
        <v>9252</v>
      </c>
      <c r="D606" s="9" t="n">
        <f aca="false">Raw_Donors!C606</f>
        <v>0</v>
      </c>
      <c r="E606" s="9" t="str">
        <f aca="false">IFERROR(IF(Raw_Donors!D606="","Unknown",Raw_Donors!D606),"Unknown")</f>
        <v>Unknown</v>
      </c>
      <c r="F606" s="9" t="str">
        <f aca="false">IFERROR(IF(Raw_Donors!E606="","Unknown",Raw_Donors!E606),"Unknown")</f>
        <v>Female</v>
      </c>
      <c r="G606" s="9" t="str">
        <f aca="false">PROPER(TRIM(Raw_Donors!F606))</f>
        <v>Individual Donor</v>
      </c>
      <c r="H606" s="9" t="str">
        <f aca="false">IFERROR(IF(Raw_Donors!G606="","N",Raw_Donors!G606),"N")</f>
        <v>N</v>
      </c>
      <c r="I606" s="9" t="str">
        <f aca="false">IF(Raw_Donors!H606="","Not Rated",Raw_Donors!H606)</f>
        <v>Not Rated</v>
      </c>
      <c r="J606" s="9" t="str">
        <f aca="false">IF(TRIM(Raw_Donors!I606)="","Unknown",TRIM(Raw_Donors!I606))</f>
        <v>HOME</v>
      </c>
      <c r="K606" s="9" t="str">
        <f aca="false">Raw_Donors!J606</f>
        <v>N</v>
      </c>
      <c r="L606" s="9" t="n">
        <f aca="false">Raw_Donors!K606</f>
        <v>2</v>
      </c>
      <c r="M606" s="10" t="n">
        <f aca="false">IFERROR(VALUE(SUBSTITUTE(SUBSTITUTE(Raw_Donors!L606,"$",""),",","")),0)</f>
        <v>0</v>
      </c>
      <c r="N606" s="10" t="n">
        <f aca="false">IFERROR(VALUE(SUBSTITUTE(SUBSTITUTE(Raw_Donors!M606,"$",""),",","")),0)</f>
        <v>0</v>
      </c>
      <c r="O606" s="10" t="n">
        <f aca="false">IFERROR(VALUE(SUBSTITUTE(SUBSTITUTE(Raw_Donors!N606,"$",""),",","")),0)</f>
        <v>0</v>
      </c>
      <c r="P606" s="10" t="n">
        <f aca="false">IFERROR(VALUE(SUBSTITUTE(SUBSTITUTE(Raw_Donors!O606,"$",""),",","")),0)</f>
        <v>0</v>
      </c>
      <c r="Q606" s="10" t="n">
        <f aca="false">IFERROR(VALUE(SUBSTITUTE(SUBSTITUTE(Raw_Donors!P606,"$",""),",","")),0)</f>
        <v>0</v>
      </c>
      <c r="R606" s="10" t="n">
        <f aca="false">Raw_Donors!Q606</f>
        <v>0</v>
      </c>
      <c r="S606" s="9" t="str">
        <f aca="false">Raw_Donors!R606</f>
        <v>N</v>
      </c>
      <c r="T606" s="9" t="str">
        <f aca="false">IF(Raw_Donors!S606="","",Raw_Donors!S606)</f>
        <v/>
      </c>
      <c r="U606" s="9" t="str">
        <f aca="false">IF(AND((O606+P606)&gt;0,Q606=0),"Lapsed - Follow Up","")</f>
        <v/>
      </c>
      <c r="V606" s="9" t="n">
        <f aca="false">RANK(R606,$R$2:$R$759)+COUNTIF($R$2:R606,R606)-1</f>
        <v>716</v>
      </c>
      <c r="W606" s="9" t="str">
        <f aca="false">IF(U606="Lapsed - Follow Up",COUNTIF($U$2:U606,"Lapsed - Follow Up"),"")</f>
        <v/>
      </c>
    </row>
    <row r="607" customFormat="false" ht="15" hidden="false" customHeight="true" outlineLevel="0" collapsed="false">
      <c r="A607" s="9" t="str">
        <f aca="false">Raw_Donors!A607</f>
        <v>D1605</v>
      </c>
      <c r="B607" s="9" t="str">
        <f aca="false">IF(ISNUMBER(SEARCH("-DUP",A607)),"Duplicate ID","")</f>
        <v/>
      </c>
      <c r="C607" s="9" t="n">
        <f aca="false">Raw_Donors!B607</f>
        <v>90265</v>
      </c>
      <c r="D607" s="9" t="n">
        <f aca="false">Raw_Donors!C607</f>
        <v>0</v>
      </c>
      <c r="E607" s="9" t="str">
        <f aca="false">IFERROR(IF(Raw_Donors!D607="","Unknown",Raw_Donors!D607),"Unknown")</f>
        <v>Single</v>
      </c>
      <c r="F607" s="9" t="str">
        <f aca="false">IFERROR(IF(Raw_Donors!E607="","Unknown",Raw_Donors!E607),"Unknown")</f>
        <v>Uknown</v>
      </c>
      <c r="G607" s="9" t="str">
        <f aca="false">PROPER(TRIM(Raw_Donors!F607))</f>
        <v>Individual Donor</v>
      </c>
      <c r="H607" s="9" t="str">
        <f aca="false">IFERROR(IF(Raw_Donors!G607="","N",Raw_Donors!G607),"N")</f>
        <v>Y</v>
      </c>
      <c r="I607" s="9" t="str">
        <f aca="false">IF(Raw_Donors!H607="","Not Rated",Raw_Donors!H607)</f>
        <v>Not Rated</v>
      </c>
      <c r="J607" s="9" t="str">
        <f aca="false">IF(TRIM(Raw_Donors!I607)="","Unknown",TRIM(Raw_Donors!I607))</f>
        <v>HOME</v>
      </c>
      <c r="K607" s="9" t="str">
        <f aca="false">Raw_Donors!J607</f>
        <v>N</v>
      </c>
      <c r="L607" s="9" t="n">
        <f aca="false">Raw_Donors!K607</f>
        <v>0</v>
      </c>
      <c r="M607" s="10" t="n">
        <f aca="false">IFERROR(VALUE(SUBSTITUTE(SUBSTITUTE(Raw_Donors!L607,"$",""),",","")),0)</f>
        <v>0</v>
      </c>
      <c r="N607" s="10" t="n">
        <f aca="false">IFERROR(VALUE(SUBSTITUTE(SUBSTITUTE(Raw_Donors!M607,"$",""),",","")),0)</f>
        <v>0</v>
      </c>
      <c r="O607" s="10" t="n">
        <f aca="false">IFERROR(VALUE(SUBSTITUTE(SUBSTITUTE(Raw_Donors!N607,"$",""),",","")),0)</f>
        <v>0</v>
      </c>
      <c r="P607" s="10" t="n">
        <f aca="false">IFERROR(VALUE(SUBSTITUTE(SUBSTITUTE(Raw_Donors!O607,"$",""),",","")),0)</f>
        <v>0</v>
      </c>
      <c r="Q607" s="10" t="n">
        <f aca="false">IFERROR(VALUE(SUBSTITUTE(SUBSTITUTE(Raw_Donors!P607,"$",""),",","")),0)</f>
        <v>100</v>
      </c>
      <c r="R607" s="10" t="n">
        <f aca="false">Raw_Donors!Q607</f>
        <v>100</v>
      </c>
      <c r="S607" s="9" t="str">
        <f aca="false">Raw_Donors!R607</f>
        <v>Y</v>
      </c>
      <c r="T607" s="9" t="str">
        <f aca="false">IF(Raw_Donors!S607="","",Raw_Donors!S607)</f>
        <v/>
      </c>
      <c r="U607" s="9" t="str">
        <f aca="false">IF(AND((O607+P607)&gt;0,Q607=0),"Lapsed - Follow Up","")</f>
        <v/>
      </c>
      <c r="V607" s="9" t="n">
        <f aca="false">RANK(R607,$R$2:$R$759)+COUNTIF($R$2:R607,R607)-1</f>
        <v>296</v>
      </c>
      <c r="W607" s="9" t="str">
        <f aca="false">IF(U607="Lapsed - Follow Up",COUNTIF($U$2:U607,"Lapsed - Follow Up"),"")</f>
        <v/>
      </c>
    </row>
    <row r="608" customFormat="false" ht="15" hidden="false" customHeight="true" outlineLevel="0" collapsed="false">
      <c r="A608" s="9" t="str">
        <f aca="false">Raw_Donors!A608</f>
        <v>D1606</v>
      </c>
      <c r="B608" s="9" t="str">
        <f aca="false">IF(ISNUMBER(SEARCH("-DUP",A608)),"Duplicate ID","")</f>
        <v/>
      </c>
      <c r="C608" s="9" t="n">
        <f aca="false">Raw_Donors!B608</f>
        <v>20711</v>
      </c>
      <c r="D608" s="9" t="n">
        <f aca="false">Raw_Donors!C608</f>
        <v>0</v>
      </c>
      <c r="E608" s="9" t="str">
        <f aca="false">IFERROR(IF(Raw_Donors!D608="","Unknown",Raw_Donors!D608),"Unknown")</f>
        <v>Single</v>
      </c>
      <c r="F608" s="9" t="str">
        <f aca="false">IFERROR(IF(Raw_Donors!E608="","Unknown",Raw_Donors!E608),"Unknown")</f>
        <v>Male</v>
      </c>
      <c r="G608" s="9" t="str">
        <f aca="false">PROPER(TRIM(Raw_Donors!F608))</f>
        <v>Individual Donor</v>
      </c>
      <c r="H608" s="9" t="str">
        <f aca="false">IFERROR(IF(Raw_Donors!G608="","N",Raw_Donors!G608),"N")</f>
        <v>N</v>
      </c>
      <c r="I608" s="9" t="str">
        <f aca="false">IF(Raw_Donors!H608="","Not Rated",Raw_Donors!H608)</f>
        <v>Not Rated</v>
      </c>
      <c r="J608" s="9" t="str">
        <f aca="false">IF(TRIM(Raw_Donors!I608)="","Unknown",TRIM(Raw_Donors!I608))</f>
        <v>HOME</v>
      </c>
      <c r="K608" s="9" t="str">
        <f aca="false">Raw_Donors!J608</f>
        <v>N</v>
      </c>
      <c r="L608" s="9" t="n">
        <f aca="false">Raw_Donors!K608</f>
        <v>0</v>
      </c>
      <c r="M608" s="10" t="n">
        <f aca="false">IFERROR(VALUE(SUBSTITUTE(SUBSTITUTE(Raw_Donors!L608,"$",""),",","")),0)</f>
        <v>0</v>
      </c>
      <c r="N608" s="10" t="n">
        <f aca="false">IFERROR(VALUE(SUBSTITUTE(SUBSTITUTE(Raw_Donors!M608,"$",""),",","")),0)</f>
        <v>0</v>
      </c>
      <c r="O608" s="10" t="n">
        <f aca="false">IFERROR(VALUE(SUBSTITUTE(SUBSTITUTE(Raw_Donors!N608,"$",""),",","")),0)</f>
        <v>0</v>
      </c>
      <c r="P608" s="10" t="n">
        <f aca="false">IFERROR(VALUE(SUBSTITUTE(SUBSTITUTE(Raw_Donors!O608,"$",""),",","")),0)</f>
        <v>1</v>
      </c>
      <c r="Q608" s="10" t="n">
        <f aca="false">IFERROR(VALUE(SUBSTITUTE(SUBSTITUTE(Raw_Donors!P608,"$",""),",","")),0)</f>
        <v>0</v>
      </c>
      <c r="R608" s="10" t="n">
        <f aca="false">Raw_Donors!Q608</f>
        <v>1</v>
      </c>
      <c r="S608" s="9" t="str">
        <f aca="false">Raw_Donors!R608</f>
        <v>Y</v>
      </c>
      <c r="T608" s="9" t="str">
        <f aca="false">IF(Raw_Donors!S608="","",Raw_Donors!S608)</f>
        <v/>
      </c>
      <c r="U608" s="9" t="str">
        <f aca="false">IF(AND((O608+P608)&gt;0,Q608=0),"Lapsed - Follow Up","")</f>
        <v>Lapsed - Follow Up</v>
      </c>
      <c r="V608" s="9" t="n">
        <f aca="false">RANK(R608,$R$2:$R$759)+COUNTIF($R$2:R608,R608)-1</f>
        <v>553</v>
      </c>
      <c r="W608" s="9" t="n">
        <f aca="false">IF(U608="Lapsed - Follow Up",COUNTIF($U$2:U608,"Lapsed - Follow Up"),"")</f>
        <v>87</v>
      </c>
    </row>
    <row r="609" customFormat="false" ht="15" hidden="false" customHeight="true" outlineLevel="0" collapsed="false">
      <c r="A609" s="9" t="str">
        <f aca="false">Raw_Donors!A609</f>
        <v>D1607</v>
      </c>
      <c r="B609" s="9" t="str">
        <f aca="false">IF(ISNUMBER(SEARCH("-DUP",A609)),"Duplicate ID","")</f>
        <v/>
      </c>
      <c r="C609" s="9" t="n">
        <f aca="false">Raw_Donors!B609</f>
        <v>18435</v>
      </c>
      <c r="D609" s="9" t="n">
        <f aca="false">Raw_Donors!C609</f>
        <v>0</v>
      </c>
      <c r="E609" s="9" t="str">
        <f aca="false">IFERROR(IF(Raw_Donors!D609="","Unknown",Raw_Donors!D609),"Unknown")</f>
        <v>Married</v>
      </c>
      <c r="F609" s="9" t="str">
        <f aca="false">IFERROR(IF(Raw_Donors!E609="","Unknown",Raw_Donors!E609),"Unknown")</f>
        <v>Female</v>
      </c>
      <c r="G609" s="9" t="str">
        <f aca="false">PROPER(TRIM(Raw_Donors!F609))</f>
        <v>Family Donor</v>
      </c>
      <c r="H609" s="9" t="str">
        <f aca="false">IFERROR(IF(Raw_Donors!G609="","N",Raw_Donors!G609),"N")</f>
        <v>N</v>
      </c>
      <c r="I609" s="9" t="str">
        <f aca="false">IF(Raw_Donors!H609="","Not Rated",Raw_Donors!H609)</f>
        <v>Not Rated</v>
      </c>
      <c r="J609" s="9" t="str">
        <f aca="false">IF(TRIM(Raw_Donors!I609)="","Unknown",TRIM(Raw_Donors!I609))</f>
        <v>HOME</v>
      </c>
      <c r="K609" s="9" t="str">
        <f aca="false">Raw_Donors!J609</f>
        <v>N</v>
      </c>
      <c r="L609" s="9" t="n">
        <f aca="false">Raw_Donors!K609</f>
        <v>0</v>
      </c>
      <c r="M609" s="10" t="n">
        <f aca="false">IFERROR(VALUE(SUBSTITUTE(SUBSTITUTE(Raw_Donors!L609,"$",""),",","")),0)</f>
        <v>0</v>
      </c>
      <c r="N609" s="10" t="n">
        <f aca="false">IFERROR(VALUE(SUBSTITUTE(SUBSTITUTE(Raw_Donors!M609,"$",""),",","")),0)</f>
        <v>0</v>
      </c>
      <c r="O609" s="10" t="n">
        <f aca="false">IFERROR(VALUE(SUBSTITUTE(SUBSTITUTE(Raw_Donors!N609,"$",""),",","")),0)</f>
        <v>0</v>
      </c>
      <c r="P609" s="10" t="n">
        <f aca="false">IFERROR(VALUE(SUBSTITUTE(SUBSTITUTE(Raw_Donors!O609,"$",""),",","")),0)</f>
        <v>0</v>
      </c>
      <c r="Q609" s="10" t="n">
        <f aca="false">IFERROR(VALUE(SUBSTITUTE(SUBSTITUTE(Raw_Donors!P609,"$",""),",","")),0)</f>
        <v>0</v>
      </c>
      <c r="R609" s="10" t="n">
        <f aca="false">Raw_Donors!Q609</f>
        <v>0</v>
      </c>
      <c r="S609" s="9" t="str">
        <f aca="false">Raw_Donors!R609</f>
        <v>N</v>
      </c>
      <c r="T609" s="9" t="str">
        <f aca="false">IF(Raw_Donors!S609="","",Raw_Donors!S609)</f>
        <v/>
      </c>
      <c r="U609" s="9" t="str">
        <f aca="false">IF(AND((O609+P609)&gt;0,Q609=0),"Lapsed - Follow Up","")</f>
        <v/>
      </c>
      <c r="V609" s="9" t="n">
        <f aca="false">RANK(R609,$R$2:$R$759)+COUNTIF($R$2:R609,R609)-1</f>
        <v>717</v>
      </c>
      <c r="W609" s="9" t="str">
        <f aca="false">IF(U609="Lapsed - Follow Up",COUNTIF($U$2:U609,"Lapsed - Follow Up"),"")</f>
        <v/>
      </c>
    </row>
    <row r="610" customFormat="false" ht="15" hidden="false" customHeight="true" outlineLevel="0" collapsed="false">
      <c r="A610" s="9" t="str">
        <f aca="false">Raw_Donors!A610</f>
        <v>D1608</v>
      </c>
      <c r="B610" s="9" t="str">
        <f aca="false">IF(ISNUMBER(SEARCH("-DUP",A610)),"Duplicate ID","")</f>
        <v/>
      </c>
      <c r="C610" s="9" t="n">
        <f aca="false">Raw_Donors!B610</f>
        <v>81020</v>
      </c>
      <c r="D610" s="9" t="n">
        <f aca="false">Raw_Donors!C610</f>
        <v>0</v>
      </c>
      <c r="E610" s="9" t="str">
        <f aca="false">IFERROR(IF(Raw_Donors!D610="","Unknown",Raw_Donors!D610),"Unknown")</f>
        <v>Married</v>
      </c>
      <c r="F610" s="9" t="str">
        <f aca="false">IFERROR(IF(Raw_Donors!E610="","Unknown",Raw_Donors!E610),"Unknown")</f>
        <v>Male</v>
      </c>
      <c r="G610" s="9" t="str">
        <f aca="false">PROPER(TRIM(Raw_Donors!F610))</f>
        <v>Individual Donor</v>
      </c>
      <c r="H610" s="9" t="str">
        <f aca="false">IFERROR(IF(Raw_Donors!G610="","N",Raw_Donors!G610),"N")</f>
        <v>N</v>
      </c>
      <c r="I610" s="9" t="str">
        <f aca="false">IF(Raw_Donors!H610="","Not Rated",Raw_Donors!H610)</f>
        <v>Not Rated</v>
      </c>
      <c r="J610" s="9" t="str">
        <f aca="false">IF(TRIM(Raw_Donors!I610)="","Unknown",TRIM(Raw_Donors!I610))</f>
        <v>HOME</v>
      </c>
      <c r="K610" s="9" t="str">
        <f aca="false">Raw_Donors!J610</f>
        <v>N</v>
      </c>
      <c r="L610" s="9" t="n">
        <f aca="false">Raw_Donors!K610</f>
        <v>0</v>
      </c>
      <c r="M610" s="10" t="n">
        <f aca="false">IFERROR(VALUE(SUBSTITUTE(SUBSTITUTE(Raw_Donors!L610,"$",""),",","")),0)</f>
        <v>0</v>
      </c>
      <c r="N610" s="10" t="n">
        <f aca="false">IFERROR(VALUE(SUBSTITUTE(SUBSTITUTE(Raw_Donors!M610,"$",""),",","")),0)</f>
        <v>0</v>
      </c>
      <c r="O610" s="10" t="n">
        <f aca="false">IFERROR(VALUE(SUBSTITUTE(SUBSTITUTE(Raw_Donors!N610,"$",""),",","")),0)</f>
        <v>0</v>
      </c>
      <c r="P610" s="10" t="n">
        <f aca="false">IFERROR(VALUE(SUBSTITUTE(SUBSTITUTE(Raw_Donors!O610,"$",""),",","")),0)</f>
        <v>60</v>
      </c>
      <c r="Q610" s="10" t="n">
        <f aca="false">IFERROR(VALUE(SUBSTITUTE(SUBSTITUTE(Raw_Donors!P610,"$",""),",","")),0)</f>
        <v>0</v>
      </c>
      <c r="R610" s="10" t="n">
        <f aca="false">Raw_Donors!Q610</f>
        <v>60</v>
      </c>
      <c r="S610" s="9" t="str">
        <f aca="false">Raw_Donors!R610</f>
        <v>Y</v>
      </c>
      <c r="T610" s="9" t="str">
        <f aca="false">IF(Raw_Donors!S610="","",Raw_Donors!S610)</f>
        <v/>
      </c>
      <c r="U610" s="9" t="str">
        <f aca="false">IF(AND((O610+P610)&gt;0,Q610=0),"Lapsed - Follow Up","")</f>
        <v>Lapsed - Follow Up</v>
      </c>
      <c r="V610" s="9" t="n">
        <f aca="false">RANK(R610,$R$2:$R$759)+COUNTIF($R$2:R610,R610)-1</f>
        <v>359</v>
      </c>
      <c r="W610" s="9" t="n">
        <f aca="false">IF(U610="Lapsed - Follow Up",COUNTIF($U$2:U610,"Lapsed - Follow Up"),"")</f>
        <v>88</v>
      </c>
    </row>
    <row r="611" customFormat="false" ht="15" hidden="false" customHeight="true" outlineLevel="0" collapsed="false">
      <c r="A611" s="9" t="str">
        <f aca="false">Raw_Donors!A611</f>
        <v>D1609</v>
      </c>
      <c r="B611" s="9" t="str">
        <f aca="false">IF(ISNUMBER(SEARCH("-DUP",A611)),"Duplicate ID","")</f>
        <v/>
      </c>
      <c r="C611" s="9" t="n">
        <f aca="false">Raw_Donors!B611</f>
        <v>82631</v>
      </c>
      <c r="D611" s="9" t="n">
        <f aca="false">Raw_Donors!C611</f>
        <v>0</v>
      </c>
      <c r="E611" s="9" t="str">
        <f aca="false">IFERROR(IF(Raw_Donors!D611="","Unknown",Raw_Donors!D611),"Unknown")</f>
        <v>Married</v>
      </c>
      <c r="F611" s="9" t="str">
        <f aca="false">IFERROR(IF(Raw_Donors!E611="","Unknown",Raw_Donors!E611),"Unknown")</f>
        <v>Female</v>
      </c>
      <c r="G611" s="9" t="str">
        <f aca="false">PROPER(TRIM(Raw_Donors!F611))</f>
        <v>Family Donor</v>
      </c>
      <c r="H611" s="9" t="str">
        <f aca="false">IFERROR(IF(Raw_Donors!G611="","N",Raw_Donors!G611),"N")</f>
        <v>Y</v>
      </c>
      <c r="I611" s="9" t="str">
        <f aca="false">IF(Raw_Donors!H611="","Not Rated",Raw_Donors!H611)</f>
        <v>Not Rated</v>
      </c>
      <c r="J611" s="9" t="str">
        <f aca="false">IF(TRIM(Raw_Donors!I611)="","Unknown",TRIM(Raw_Donors!I611))</f>
        <v>HOME</v>
      </c>
      <c r="K611" s="9" t="str">
        <f aca="false">Raw_Donors!J611</f>
        <v>N</v>
      </c>
      <c r="L611" s="9" t="n">
        <f aca="false">Raw_Donors!K611</f>
        <v>0</v>
      </c>
      <c r="M611" s="10" t="n">
        <f aca="false">IFERROR(VALUE(SUBSTITUTE(SUBSTITUTE(Raw_Donors!L611,"$",""),",","")),0)</f>
        <v>0</v>
      </c>
      <c r="N611" s="10" t="n">
        <f aca="false">IFERROR(VALUE(SUBSTITUTE(SUBSTITUTE(Raw_Donors!M611,"$",""),",","")),0)</f>
        <v>0</v>
      </c>
      <c r="O611" s="10" t="n">
        <f aca="false">IFERROR(VALUE(SUBSTITUTE(SUBSTITUTE(Raw_Donors!N611,"$",""),",","")),0)</f>
        <v>0</v>
      </c>
      <c r="P611" s="10" t="n">
        <f aca="false">IFERROR(VALUE(SUBSTITUTE(SUBSTITUTE(Raw_Donors!O611,"$",""),",","")),0)</f>
        <v>0</v>
      </c>
      <c r="Q611" s="10" t="n">
        <f aca="false">IFERROR(VALUE(SUBSTITUTE(SUBSTITUTE(Raw_Donors!P611,"$",""),",","")),0)</f>
        <v>0</v>
      </c>
      <c r="R611" s="10" t="n">
        <f aca="false">Raw_Donors!Q611</f>
        <v>123</v>
      </c>
      <c r="S611" s="9" t="str">
        <f aca="false">Raw_Donors!R611</f>
        <v>Y</v>
      </c>
      <c r="T611" s="9" t="str">
        <f aca="false">IF(Raw_Donors!S611="","",Raw_Donors!S611)</f>
        <v/>
      </c>
      <c r="U611" s="9" t="str">
        <f aca="false">IF(AND((O611+P611)&gt;0,Q611=0),"Lapsed - Follow Up","")</f>
        <v/>
      </c>
      <c r="V611" s="9" t="n">
        <f aca="false">RANK(R611,$R$2:$R$759)+COUNTIF($R$2:R611,R611)-1</f>
        <v>246</v>
      </c>
      <c r="W611" s="9" t="str">
        <f aca="false">IF(U611="Lapsed - Follow Up",COUNTIF($U$2:U611,"Lapsed - Follow Up"),"")</f>
        <v/>
      </c>
    </row>
    <row r="612" customFormat="false" ht="15" hidden="false" customHeight="true" outlineLevel="0" collapsed="false">
      <c r="A612" s="9" t="str">
        <f aca="false">Raw_Donors!A612</f>
        <v>D1610</v>
      </c>
      <c r="B612" s="9" t="str">
        <f aca="false">IF(ISNUMBER(SEARCH("-DUP",A612)),"Duplicate ID","")</f>
        <v/>
      </c>
      <c r="C612" s="9" t="n">
        <f aca="false">Raw_Donors!B612</f>
        <v>45280</v>
      </c>
      <c r="D612" s="9" t="n">
        <f aca="false">Raw_Donors!C612</f>
        <v>32</v>
      </c>
      <c r="E612" s="9" t="str">
        <f aca="false">IFERROR(IF(Raw_Donors!D612="","Unknown",Raw_Donors!D612),"Unknown")</f>
        <v>Unknown</v>
      </c>
      <c r="F612" s="9" t="str">
        <f aca="false">IFERROR(IF(Raw_Donors!E612="","Unknown",Raw_Donors!E612),"Unknown")</f>
        <v>Female</v>
      </c>
      <c r="G612" s="9" t="str">
        <f aca="false">PROPER(TRIM(Raw_Donors!F612))</f>
        <v>Individual Donor</v>
      </c>
      <c r="H612" s="9" t="str">
        <f aca="false">IFERROR(IF(Raw_Donors!G612="","N",Raw_Donors!G612),"N")</f>
        <v>N</v>
      </c>
      <c r="I612" s="9" t="str">
        <f aca="false">IF(Raw_Donors!H612="","Not Rated",Raw_Donors!H612)</f>
        <v>Not Rated</v>
      </c>
      <c r="J612" s="9" t="str">
        <f aca="false">IF(TRIM(Raw_Donors!I612)="","Unknown",TRIM(Raw_Donors!I612))</f>
        <v>HOME</v>
      </c>
      <c r="K612" s="9" t="str">
        <f aca="false">Raw_Donors!J612</f>
        <v>N</v>
      </c>
      <c r="L612" s="9" t="n">
        <f aca="false">Raw_Donors!K612</f>
        <v>0</v>
      </c>
      <c r="M612" s="10" t="n">
        <f aca="false">IFERROR(VALUE(SUBSTITUTE(SUBSTITUTE(Raw_Donors!L612,"$",""),",","")),0)</f>
        <v>0</v>
      </c>
      <c r="N612" s="10" t="n">
        <f aca="false">IFERROR(VALUE(SUBSTITUTE(SUBSTITUTE(Raw_Donors!M612,"$",""),",","")),0)</f>
        <v>0</v>
      </c>
      <c r="O612" s="10" t="n">
        <f aca="false">IFERROR(VALUE(SUBSTITUTE(SUBSTITUTE(Raw_Donors!N612,"$",""),",","")),0)</f>
        <v>0</v>
      </c>
      <c r="P612" s="10" t="n">
        <f aca="false">IFERROR(VALUE(SUBSTITUTE(SUBSTITUTE(Raw_Donors!O612,"$",""),",","")),0)</f>
        <v>0</v>
      </c>
      <c r="Q612" s="10" t="n">
        <f aca="false">IFERROR(VALUE(SUBSTITUTE(SUBSTITUTE(Raw_Donors!P612,"$",""),",","")),0)</f>
        <v>0</v>
      </c>
      <c r="R612" s="10" t="n">
        <f aca="false">Raw_Donors!Q612</f>
        <v>0</v>
      </c>
      <c r="S612" s="9" t="str">
        <f aca="false">Raw_Donors!R612</f>
        <v>N</v>
      </c>
      <c r="T612" s="9" t="str">
        <f aca="false">IF(Raw_Donors!S612="","",Raw_Donors!S612)</f>
        <v>1985-12-21</v>
      </c>
      <c r="U612" s="9" t="str">
        <f aca="false">IF(AND((O612+P612)&gt;0,Q612=0),"Lapsed - Follow Up","")</f>
        <v/>
      </c>
      <c r="V612" s="9" t="n">
        <f aca="false">RANK(R612,$R$2:$R$759)+COUNTIF($R$2:R612,R612)-1</f>
        <v>718</v>
      </c>
      <c r="W612" s="9" t="str">
        <f aca="false">IF(U612="Lapsed - Follow Up",COUNTIF($U$2:U612,"Lapsed - Follow Up"),"")</f>
        <v/>
      </c>
    </row>
    <row r="613" customFormat="false" ht="15" hidden="false" customHeight="true" outlineLevel="0" collapsed="false">
      <c r="A613" s="9" t="str">
        <f aca="false">Raw_Donors!A613</f>
        <v>D1611</v>
      </c>
      <c r="B613" s="9" t="str">
        <f aca="false">IF(ISNUMBER(SEARCH("-DUP",A613)),"Duplicate ID","")</f>
        <v/>
      </c>
      <c r="C613" s="9" t="n">
        <f aca="false">Raw_Donors!B613</f>
        <v>49502</v>
      </c>
      <c r="D613" s="9" t="n">
        <f aca="false">Raw_Donors!C613</f>
        <v>0</v>
      </c>
      <c r="E613" s="9" t="str">
        <f aca="false">IFERROR(IF(Raw_Donors!D613="","Unknown",Raw_Donors!D613),"Unknown")</f>
        <v>Married</v>
      </c>
      <c r="F613" s="9" t="str">
        <f aca="false">IFERROR(IF(Raw_Donors!E613="","Unknown",Raw_Donors!E613),"Unknown")</f>
        <v>Female</v>
      </c>
      <c r="G613" s="9" t="str">
        <f aca="false">PROPER(TRIM(Raw_Donors!F613))</f>
        <v>Individual Donor</v>
      </c>
      <c r="H613" s="9" t="str">
        <f aca="false">IFERROR(IF(Raw_Donors!G613="","N",Raw_Donors!G613),"N")</f>
        <v>N</v>
      </c>
      <c r="I613" s="9" t="str">
        <f aca="false">IF(Raw_Donors!H613="","Not Rated",Raw_Donors!H613)</f>
        <v>Not Rated</v>
      </c>
      <c r="J613" s="9" t="str">
        <f aca="false">IF(TRIM(Raw_Donors!I613)="","Unknown",TRIM(Raw_Donors!I613))</f>
        <v>BUSN</v>
      </c>
      <c r="K613" s="9" t="str">
        <f aca="false">Raw_Donors!J613</f>
        <v>Y</v>
      </c>
      <c r="L613" s="9" t="n">
        <f aca="false">Raw_Donors!K613</f>
        <v>0</v>
      </c>
      <c r="M613" s="10" t="n">
        <f aca="false">IFERROR(VALUE(SUBSTITUTE(SUBSTITUTE(Raw_Donors!L613,"$",""),",","")),0)</f>
        <v>0</v>
      </c>
      <c r="N613" s="10" t="n">
        <f aca="false">IFERROR(VALUE(SUBSTITUTE(SUBSTITUTE(Raw_Donors!M613,"$",""),",","")),0)</f>
        <v>0</v>
      </c>
      <c r="O613" s="10" t="n">
        <f aca="false">IFERROR(VALUE(SUBSTITUTE(SUBSTITUTE(Raw_Donors!N613,"$",""),",","")),0)</f>
        <v>0</v>
      </c>
      <c r="P613" s="10" t="n">
        <f aca="false">IFERROR(VALUE(SUBSTITUTE(SUBSTITUTE(Raw_Donors!O613,"$",""),",","")),0)</f>
        <v>0</v>
      </c>
      <c r="Q613" s="10" t="n">
        <f aca="false">IFERROR(VALUE(SUBSTITUTE(SUBSTITUTE(Raw_Donors!P613,"$",""),",","")),0)</f>
        <v>0</v>
      </c>
      <c r="R613" s="10" t="n">
        <f aca="false">Raw_Donors!Q613</f>
        <v>0</v>
      </c>
      <c r="S613" s="9" t="str">
        <f aca="false">Raw_Donors!R613</f>
        <v>N</v>
      </c>
      <c r="T613" s="9" t="str">
        <f aca="false">IF(Raw_Donors!S613="","",Raw_Donors!S613)</f>
        <v/>
      </c>
      <c r="U613" s="9" t="str">
        <f aca="false">IF(AND((O613+P613)&gt;0,Q613=0),"Lapsed - Follow Up","")</f>
        <v/>
      </c>
      <c r="V613" s="9" t="n">
        <f aca="false">RANK(R613,$R$2:$R$759)+COUNTIF($R$2:R613,R613)-1</f>
        <v>719</v>
      </c>
      <c r="W613" s="9" t="str">
        <f aca="false">IF(U613="Lapsed - Follow Up",COUNTIF($U$2:U613,"Lapsed - Follow Up"),"")</f>
        <v/>
      </c>
    </row>
    <row r="614" customFormat="false" ht="15" hidden="false" customHeight="true" outlineLevel="0" collapsed="false">
      <c r="A614" s="9" t="str">
        <f aca="false">Raw_Donors!A614</f>
        <v>D1612</v>
      </c>
      <c r="B614" s="9" t="str">
        <f aca="false">IF(ISNUMBER(SEARCH("-DUP",A614)),"Duplicate ID","")</f>
        <v/>
      </c>
      <c r="C614" s="9" t="n">
        <f aca="false">Raw_Donors!B614</f>
        <v>23501</v>
      </c>
      <c r="D614" s="9" t="n">
        <f aca="false">Raw_Donors!C614</f>
        <v>34</v>
      </c>
      <c r="E614" s="9" t="str">
        <f aca="false">IFERROR(IF(Raw_Donors!D614="","Unknown",Raw_Donors!D614),"Unknown")</f>
        <v>Unknown</v>
      </c>
      <c r="F614" s="9" t="str">
        <f aca="false">IFERROR(IF(Raw_Donors!E614="","Unknown",Raw_Donors!E614),"Unknown")</f>
        <v>Female</v>
      </c>
      <c r="G614" s="9" t="str">
        <f aca="false">PROPER(TRIM(Raw_Donors!F614))</f>
        <v>Community Partner</v>
      </c>
      <c r="H614" s="9" t="str">
        <f aca="false">IFERROR(IF(Raw_Donors!G614="","N",Raw_Donors!G614),"N")</f>
        <v>Y</v>
      </c>
      <c r="I614" s="9" t="str">
        <f aca="false">IF(Raw_Donors!H614="","Not Rated",Raw_Donors!H614)</f>
        <v>Not Rated</v>
      </c>
      <c r="J614" s="9" t="str">
        <f aca="false">IF(TRIM(Raw_Donors!I614)="","Unknown",TRIM(Raw_Donors!I614))</f>
        <v>HOME</v>
      </c>
      <c r="K614" s="9" t="str">
        <f aca="false">Raw_Donors!J614</f>
        <v>Y</v>
      </c>
      <c r="L614" s="9" t="n">
        <f aca="false">Raw_Donors!K614</f>
        <v>1</v>
      </c>
      <c r="M614" s="10" t="n">
        <f aca="false">IFERROR(VALUE(SUBSTITUTE(SUBSTITUTE(Raw_Donors!L614,"$",""),",","")),0)</f>
        <v>0</v>
      </c>
      <c r="N614" s="10" t="n">
        <f aca="false">IFERROR(VALUE(SUBSTITUTE(SUBSTITUTE(Raw_Donors!M614,"$",""),",","")),0)</f>
        <v>0</v>
      </c>
      <c r="O614" s="10" t="n">
        <f aca="false">IFERROR(VALUE(SUBSTITUTE(SUBSTITUTE(Raw_Donors!N614,"$",""),",","")),0)</f>
        <v>0</v>
      </c>
      <c r="P614" s="10" t="n">
        <f aca="false">IFERROR(VALUE(SUBSTITUTE(SUBSTITUTE(Raw_Donors!O614,"$",""),",","")),0)</f>
        <v>0</v>
      </c>
      <c r="Q614" s="10" t="n">
        <f aca="false">IFERROR(VALUE(SUBSTITUTE(SUBSTITUTE(Raw_Donors!P614,"$",""),",","")),0)</f>
        <v>0</v>
      </c>
      <c r="R614" s="10" t="n">
        <f aca="false">Raw_Donors!Q614</f>
        <v>0</v>
      </c>
      <c r="S614" s="9" t="str">
        <f aca="false">Raw_Donors!R614</f>
        <v>N</v>
      </c>
      <c r="T614" s="9" t="str">
        <f aca="false">IF(Raw_Donors!S614="","",Raw_Donors!S614)</f>
        <v>1983-12-03</v>
      </c>
      <c r="U614" s="9" t="str">
        <f aca="false">IF(AND((O614+P614)&gt;0,Q614=0),"Lapsed - Follow Up","")</f>
        <v/>
      </c>
      <c r="V614" s="9" t="n">
        <f aca="false">RANK(R614,$R$2:$R$759)+COUNTIF($R$2:R614,R614)-1</f>
        <v>720</v>
      </c>
      <c r="W614" s="9" t="str">
        <f aca="false">IF(U614="Lapsed - Follow Up",COUNTIF($U$2:U614,"Lapsed - Follow Up"),"")</f>
        <v/>
      </c>
    </row>
    <row r="615" customFormat="false" ht="15" hidden="false" customHeight="true" outlineLevel="0" collapsed="false">
      <c r="A615" s="9" t="str">
        <f aca="false">Raw_Donors!A615</f>
        <v>D1613</v>
      </c>
      <c r="B615" s="9" t="str">
        <f aca="false">IF(ISNUMBER(SEARCH("-DUP",A615)),"Duplicate ID","")</f>
        <v/>
      </c>
      <c r="C615" s="9" t="n">
        <f aca="false">Raw_Donors!B615</f>
        <v>90265</v>
      </c>
      <c r="D615" s="9" t="n">
        <f aca="false">Raw_Donors!C615</f>
        <v>0</v>
      </c>
      <c r="E615" s="9" t="str">
        <f aca="false">IFERROR(IF(Raw_Donors!D615="","Unknown",Raw_Donors!D615),"Unknown")</f>
        <v>Unknown</v>
      </c>
      <c r="F615" s="9" t="str">
        <f aca="false">IFERROR(IF(Raw_Donors!E615="","Unknown",Raw_Donors!E615),"Unknown")</f>
        <v>Female</v>
      </c>
      <c r="G615" s="9" t="str">
        <f aca="false">PROPER(TRIM(Raw_Donors!F615))</f>
        <v>Individual Donor</v>
      </c>
      <c r="H615" s="9" t="str">
        <f aca="false">IFERROR(IF(Raw_Donors!G615="","N",Raw_Donors!G615),"N")</f>
        <v>N</v>
      </c>
      <c r="I615" s="9" t="str">
        <f aca="false">IF(Raw_Donors!H615="","Not Rated",Raw_Donors!H615)</f>
        <v>Not Rated</v>
      </c>
      <c r="J615" s="9" t="str">
        <f aca="false">IF(TRIM(Raw_Donors!I615)="","Unknown",TRIM(Raw_Donors!I615))</f>
        <v>HOME</v>
      </c>
      <c r="K615" s="9" t="str">
        <f aca="false">Raw_Donors!J615</f>
        <v>N</v>
      </c>
      <c r="L615" s="9" t="n">
        <f aca="false">Raw_Donors!K615</f>
        <v>1</v>
      </c>
      <c r="M615" s="10" t="n">
        <f aca="false">IFERROR(VALUE(SUBSTITUTE(SUBSTITUTE(Raw_Donors!L615,"$",""),",","")),0)</f>
        <v>0</v>
      </c>
      <c r="N615" s="10" t="n">
        <f aca="false">IFERROR(VALUE(SUBSTITUTE(SUBSTITUTE(Raw_Donors!M615,"$",""),",","")),0)</f>
        <v>0</v>
      </c>
      <c r="O615" s="10" t="n">
        <f aca="false">IFERROR(VALUE(SUBSTITUTE(SUBSTITUTE(Raw_Donors!N615,"$",""),",","")),0)</f>
        <v>0</v>
      </c>
      <c r="P615" s="10" t="n">
        <f aca="false">IFERROR(VALUE(SUBSTITUTE(SUBSTITUTE(Raw_Donors!O615,"$",""),",","")),0)</f>
        <v>0</v>
      </c>
      <c r="Q615" s="10" t="n">
        <f aca="false">IFERROR(VALUE(SUBSTITUTE(SUBSTITUTE(Raw_Donors!P615,"$",""),",","")),0)</f>
        <v>5</v>
      </c>
      <c r="R615" s="10" t="n">
        <f aca="false">Raw_Donors!Q615</f>
        <v>203</v>
      </c>
      <c r="S615" s="9" t="str">
        <f aca="false">Raw_Donors!R615</f>
        <v>Y</v>
      </c>
      <c r="T615" s="9" t="str">
        <f aca="false">IF(Raw_Donors!S615="","",Raw_Donors!S615)</f>
        <v/>
      </c>
      <c r="U615" s="9" t="str">
        <f aca="false">IF(AND((O615+P615)&gt;0,Q615=0),"Lapsed - Follow Up","")</f>
        <v/>
      </c>
      <c r="V615" s="9" t="n">
        <f aca="false">RANK(R615,$R$2:$R$759)+COUNTIF($R$2:R615,R615)-1</f>
        <v>197</v>
      </c>
      <c r="W615" s="9" t="str">
        <f aca="false">IF(U615="Lapsed - Follow Up",COUNTIF($U$2:U615,"Lapsed - Follow Up"),"")</f>
        <v/>
      </c>
    </row>
    <row r="616" customFormat="false" ht="15" hidden="false" customHeight="true" outlineLevel="0" collapsed="false">
      <c r="A616" s="9" t="str">
        <f aca="false">Raw_Donors!A616</f>
        <v>D1614</v>
      </c>
      <c r="B616" s="9" t="str">
        <f aca="false">IF(ISNUMBER(SEARCH("-DUP",A616)),"Duplicate ID","")</f>
        <v/>
      </c>
      <c r="C616" s="9" t="n">
        <f aca="false">Raw_Donors!B616</f>
        <v>90265</v>
      </c>
      <c r="D616" s="9" t="n">
        <f aca="false">Raw_Donors!C616</f>
        <v>0</v>
      </c>
      <c r="E616" s="9" t="str">
        <f aca="false">IFERROR(IF(Raw_Donors!D616="","Unknown",Raw_Donors!D616),"Unknown")</f>
        <v>Unknown</v>
      </c>
      <c r="F616" s="9" t="str">
        <f aca="false">IFERROR(IF(Raw_Donors!E616="","Unknown",Raw_Donors!E616),"Unknown")</f>
        <v>Female</v>
      </c>
      <c r="G616" s="9" t="str">
        <f aca="false">PROPER(TRIM(Raw_Donors!F616))</f>
        <v>Individual Donor</v>
      </c>
      <c r="H616" s="9" t="str">
        <f aca="false">IFERROR(IF(Raw_Donors!G616="","N",Raw_Donors!G616),"N")</f>
        <v>N</v>
      </c>
      <c r="I616" s="9" t="str">
        <f aca="false">IF(Raw_Donors!H616="","Not Rated",Raw_Donors!H616)</f>
        <v>Not Rated</v>
      </c>
      <c r="J616" s="9" t="str">
        <f aca="false">IF(TRIM(Raw_Donors!I616)="","Unknown",TRIM(Raw_Donors!I616))</f>
        <v>HOME</v>
      </c>
      <c r="K616" s="9" t="str">
        <f aca="false">Raw_Donors!J616</f>
        <v>N</v>
      </c>
      <c r="L616" s="9" t="n">
        <f aca="false">Raw_Donors!K616</f>
        <v>2</v>
      </c>
      <c r="M616" s="10" t="n">
        <f aca="false">IFERROR(VALUE(SUBSTITUTE(SUBSTITUTE(Raw_Donors!L616,"$",""),",","")),0)</f>
        <v>0</v>
      </c>
      <c r="N616" s="10" t="n">
        <f aca="false">IFERROR(VALUE(SUBSTITUTE(SUBSTITUTE(Raw_Donors!M616,"$",""),",","")),0)</f>
        <v>75</v>
      </c>
      <c r="O616" s="10" t="n">
        <f aca="false">IFERROR(VALUE(SUBSTITUTE(SUBSTITUTE(Raw_Donors!N616,"$",""),",","")),0)</f>
        <v>0</v>
      </c>
      <c r="P616" s="10" t="n">
        <f aca="false">IFERROR(VALUE(SUBSTITUTE(SUBSTITUTE(Raw_Donors!O616,"$",""),",","")),0)</f>
        <v>0</v>
      </c>
      <c r="Q616" s="10" t="n">
        <f aca="false">IFERROR(VALUE(SUBSTITUTE(SUBSTITUTE(Raw_Donors!P616,"$",""),",","")),0)</f>
        <v>0</v>
      </c>
      <c r="R616" s="10" t="n">
        <f aca="false">Raw_Donors!Q616</f>
        <v>1525</v>
      </c>
      <c r="S616" s="9" t="str">
        <f aca="false">Raw_Donors!R616</f>
        <v>Y</v>
      </c>
      <c r="T616" s="9" t="str">
        <f aca="false">IF(Raw_Donors!S616="","",Raw_Donors!S616)</f>
        <v/>
      </c>
      <c r="U616" s="9" t="str">
        <f aca="false">IF(AND((O616+P616)&gt;0,Q616=0),"Lapsed - Follow Up","")</f>
        <v/>
      </c>
      <c r="V616" s="9" t="n">
        <f aca="false">RANK(R616,$R$2:$R$759)+COUNTIF($R$2:R616,R616)-1</f>
        <v>39</v>
      </c>
      <c r="W616" s="9" t="str">
        <f aca="false">IF(U616="Lapsed - Follow Up",COUNTIF($U$2:U616,"Lapsed - Follow Up"),"")</f>
        <v/>
      </c>
    </row>
    <row r="617" customFormat="false" ht="15" hidden="false" customHeight="true" outlineLevel="0" collapsed="false">
      <c r="A617" s="9" t="str">
        <f aca="false">Raw_Donors!A617</f>
        <v>D1615</v>
      </c>
      <c r="B617" s="9" t="str">
        <f aca="false">IF(ISNUMBER(SEARCH("-DUP",A617)),"Duplicate ID","")</f>
        <v/>
      </c>
      <c r="C617" s="9" t="n">
        <f aca="false">Raw_Donors!B617</f>
        <v>78261</v>
      </c>
      <c r="D617" s="9" t="n">
        <f aca="false">Raw_Donors!C617</f>
        <v>48</v>
      </c>
      <c r="E617" s="9" t="str">
        <f aca="false">IFERROR(IF(Raw_Donors!D617="","Unknown",Raw_Donors!D617),"Unknown")</f>
        <v>Unknown</v>
      </c>
      <c r="F617" s="9" t="str">
        <f aca="false">IFERROR(IF(Raw_Donors!E617="","Unknown",Raw_Donors!E617),"Unknown")</f>
        <v>Male</v>
      </c>
      <c r="G617" s="9" t="str">
        <f aca="false">PROPER(TRIM(Raw_Donors!F617))</f>
        <v>Community Partner</v>
      </c>
      <c r="H617" s="9" t="str">
        <f aca="false">IFERROR(IF(Raw_Donors!G617="","N",Raw_Donors!G617),"N")</f>
        <v>Y</v>
      </c>
      <c r="I617" s="9" t="str">
        <f aca="false">IF(Raw_Donors!H617="","Not Rated",Raw_Donors!H617)</f>
        <v>Not Rated</v>
      </c>
      <c r="J617" s="9" t="str">
        <f aca="false">IF(TRIM(Raw_Donors!I617)="","Unknown",TRIM(Raw_Donors!I617))</f>
        <v>HOME</v>
      </c>
      <c r="K617" s="9" t="str">
        <f aca="false">Raw_Donors!J617</f>
        <v>Y</v>
      </c>
      <c r="L617" s="9" t="n">
        <f aca="false">Raw_Donors!K617</f>
        <v>0</v>
      </c>
      <c r="M617" s="10" t="n">
        <f aca="false">IFERROR(VALUE(SUBSTITUTE(SUBSTITUTE(Raw_Donors!L617,"$",""),",","")),0)</f>
        <v>0</v>
      </c>
      <c r="N617" s="10" t="n">
        <f aca="false">IFERROR(VALUE(SUBSTITUTE(SUBSTITUTE(Raw_Donors!M617,"$",""),",","")),0)</f>
        <v>0</v>
      </c>
      <c r="O617" s="10" t="n">
        <f aca="false">IFERROR(VALUE(SUBSTITUTE(SUBSTITUTE(Raw_Donors!N617,"$",""),",","")),0)</f>
        <v>0</v>
      </c>
      <c r="P617" s="10" t="n">
        <f aca="false">IFERROR(VALUE(SUBSTITUTE(SUBSTITUTE(Raw_Donors!O617,"$",""),",","")),0)</f>
        <v>0</v>
      </c>
      <c r="Q617" s="10" t="n">
        <f aca="false">IFERROR(VALUE(SUBSTITUTE(SUBSTITUTE(Raw_Donors!P617,"$",""),",","")),0)</f>
        <v>0</v>
      </c>
      <c r="R617" s="10" t="n">
        <f aca="false">Raw_Donors!Q617</f>
        <v>15</v>
      </c>
      <c r="S617" s="9" t="str">
        <f aca="false">Raw_Donors!R617</f>
        <v>Y</v>
      </c>
      <c r="T617" s="9" t="str">
        <f aca="false">IF(Raw_Donors!S617="","",Raw_Donors!S617)</f>
        <v>1969-05-13</v>
      </c>
      <c r="U617" s="9" t="str">
        <f aca="false">IF(AND((O617+P617)&gt;0,Q617=0),"Lapsed - Follow Up","")</f>
        <v/>
      </c>
      <c r="V617" s="9" t="n">
        <f aca="false">RANK(R617,$R$2:$R$759)+COUNTIF($R$2:R617,R617)-1</f>
        <v>490</v>
      </c>
      <c r="W617" s="9" t="str">
        <f aca="false">IF(U617="Lapsed - Follow Up",COUNTIF($U$2:U617,"Lapsed - Follow Up"),"")</f>
        <v/>
      </c>
    </row>
    <row r="618" customFormat="false" ht="15" hidden="false" customHeight="true" outlineLevel="0" collapsed="false">
      <c r="A618" s="9" t="str">
        <f aca="false">Raw_Donors!A618</f>
        <v>D1616</v>
      </c>
      <c r="B618" s="9" t="str">
        <f aca="false">IF(ISNUMBER(SEARCH("-DUP",A618)),"Duplicate ID","")</f>
        <v/>
      </c>
      <c r="C618" s="9" t="n">
        <f aca="false">Raw_Donors!B618</f>
        <v>9069</v>
      </c>
      <c r="D618" s="9" t="n">
        <f aca="false">Raw_Donors!C618</f>
        <v>0</v>
      </c>
      <c r="E618" s="9" t="str">
        <f aca="false">IFERROR(IF(Raw_Donors!D618="","Unknown",Raw_Donors!D618),"Unknown")</f>
        <v>Unknown</v>
      </c>
      <c r="F618" s="9" t="str">
        <f aca="false">IFERROR(IF(Raw_Donors!E618="","Unknown",Raw_Donors!E618),"Unknown")</f>
        <v>Male</v>
      </c>
      <c r="G618" s="9" t="str">
        <f aca="false">PROPER(TRIM(Raw_Donors!F618))</f>
        <v>Individual Donor</v>
      </c>
      <c r="H618" s="9" t="str">
        <f aca="false">IFERROR(IF(Raw_Donors!G618="","N",Raw_Donors!G618),"N")</f>
        <v>N</v>
      </c>
      <c r="I618" s="9" t="str">
        <f aca="false">IF(Raw_Donors!H618="","Not Rated",Raw_Donors!H618)</f>
        <v>Not Rated</v>
      </c>
      <c r="J618" s="9" t="str">
        <f aca="false">IF(TRIM(Raw_Donors!I618)="","Unknown",TRIM(Raw_Donors!I618))</f>
        <v>HOME</v>
      </c>
      <c r="K618" s="9" t="str">
        <f aca="false">Raw_Donors!J618</f>
        <v>N</v>
      </c>
      <c r="L618" s="9" t="n">
        <f aca="false">Raw_Donors!K618</f>
        <v>1</v>
      </c>
      <c r="M618" s="10" t="n">
        <f aca="false">IFERROR(VALUE(SUBSTITUTE(SUBSTITUTE(Raw_Donors!L618,"$",""),",","")),0)</f>
        <v>0</v>
      </c>
      <c r="N618" s="10" t="n">
        <f aca="false">IFERROR(VALUE(SUBSTITUTE(SUBSTITUTE(Raw_Donors!M618,"$",""),",","")),0)</f>
        <v>0</v>
      </c>
      <c r="O618" s="10" t="n">
        <f aca="false">IFERROR(VALUE(SUBSTITUTE(SUBSTITUTE(Raw_Donors!N618,"$",""),",","")),0)</f>
        <v>50</v>
      </c>
      <c r="P618" s="10" t="n">
        <f aca="false">IFERROR(VALUE(SUBSTITUTE(SUBSTITUTE(Raw_Donors!O618,"$",""),",","")),0)</f>
        <v>0</v>
      </c>
      <c r="Q618" s="10" t="n">
        <f aca="false">IFERROR(VALUE(SUBSTITUTE(SUBSTITUTE(Raw_Donors!P618,"$",""),",","")),0)</f>
        <v>0</v>
      </c>
      <c r="R618" s="10" t="n">
        <f aca="false">Raw_Donors!Q618</f>
        <v>100</v>
      </c>
      <c r="S618" s="9" t="str">
        <f aca="false">Raw_Donors!R618</f>
        <v>Y</v>
      </c>
      <c r="T618" s="9" t="str">
        <f aca="false">IF(Raw_Donors!S618="","",Raw_Donors!S618)</f>
        <v/>
      </c>
      <c r="U618" s="9" t="str">
        <f aca="false">IF(AND((O618+P618)&gt;0,Q618=0),"Lapsed - Follow Up","")</f>
        <v>Lapsed - Follow Up</v>
      </c>
      <c r="V618" s="9" t="n">
        <f aca="false">RANK(R618,$R$2:$R$759)+COUNTIF($R$2:R618,R618)-1</f>
        <v>297</v>
      </c>
      <c r="W618" s="9" t="n">
        <f aca="false">IF(U618="Lapsed - Follow Up",COUNTIF($U$2:U618,"Lapsed - Follow Up"),"")</f>
        <v>89</v>
      </c>
    </row>
    <row r="619" customFormat="false" ht="15" hidden="false" customHeight="true" outlineLevel="0" collapsed="false">
      <c r="A619" s="9" t="str">
        <f aca="false">Raw_Donors!A619</f>
        <v>D1617</v>
      </c>
      <c r="B619" s="9" t="str">
        <f aca="false">IF(ISNUMBER(SEARCH("-DUP",A619)),"Duplicate ID","")</f>
        <v/>
      </c>
      <c r="C619" s="9" t="n">
        <f aca="false">Raw_Donors!B619</f>
        <v>90879</v>
      </c>
      <c r="D619" s="9" t="n">
        <f aca="false">Raw_Donors!C619</f>
        <v>0</v>
      </c>
      <c r="E619" s="9" t="str">
        <f aca="false">IFERROR(IF(Raw_Donors!D619="","Unknown",Raw_Donors!D619),"Unknown")</f>
        <v>Unknown</v>
      </c>
      <c r="F619" s="9" t="str">
        <f aca="false">IFERROR(IF(Raw_Donors!E619="","Unknown",Raw_Donors!E619),"Unknown")</f>
        <v>Female</v>
      </c>
      <c r="G619" s="9" t="str">
        <f aca="false">PROPER(TRIM(Raw_Donors!F619))</f>
        <v>Community Partner</v>
      </c>
      <c r="H619" s="9" t="str">
        <f aca="false">IFERROR(IF(Raw_Donors!G619="","N",Raw_Donors!G619),"N")</f>
        <v>N</v>
      </c>
      <c r="I619" s="9" t="str">
        <f aca="false">IF(Raw_Donors!H619="","Not Rated",Raw_Donors!H619)</f>
        <v>Not Rated</v>
      </c>
      <c r="J619" s="9" t="str">
        <f aca="false">IF(TRIM(Raw_Donors!I619)="","Unknown",TRIM(Raw_Donors!I619))</f>
        <v>HOME</v>
      </c>
      <c r="K619" s="9" t="str">
        <f aca="false">Raw_Donors!J619</f>
        <v>Y</v>
      </c>
      <c r="L619" s="9" t="n">
        <f aca="false">Raw_Donors!K619</f>
        <v>0</v>
      </c>
      <c r="M619" s="10" t="n">
        <f aca="false">IFERROR(VALUE(SUBSTITUTE(SUBSTITUTE(Raw_Donors!L619,"$",""),",","")),0)</f>
        <v>0</v>
      </c>
      <c r="N619" s="10" t="n">
        <f aca="false">IFERROR(VALUE(SUBSTITUTE(SUBSTITUTE(Raw_Donors!M619,"$",""),",","")),0)</f>
        <v>300</v>
      </c>
      <c r="O619" s="10" t="n">
        <f aca="false">IFERROR(VALUE(SUBSTITUTE(SUBSTITUTE(Raw_Donors!N619,"$",""),",","")),0)</f>
        <v>0</v>
      </c>
      <c r="P619" s="10" t="n">
        <f aca="false">IFERROR(VALUE(SUBSTITUTE(SUBSTITUTE(Raw_Donors!O619,"$",""),",","")),0)</f>
        <v>0</v>
      </c>
      <c r="Q619" s="10" t="n">
        <f aca="false">IFERROR(VALUE(SUBSTITUTE(SUBSTITUTE(Raw_Donors!P619,"$",""),",","")),0)</f>
        <v>1</v>
      </c>
      <c r="R619" s="10" t="n">
        <f aca="false">Raw_Donors!Q619</f>
        <v>301</v>
      </c>
      <c r="S619" s="9" t="str">
        <f aca="false">Raw_Donors!R619</f>
        <v>Y</v>
      </c>
      <c r="T619" s="9" t="str">
        <f aca="false">IF(Raw_Donors!S619="","",Raw_Donors!S619)</f>
        <v/>
      </c>
      <c r="U619" s="9" t="str">
        <f aca="false">IF(AND((O619+P619)&gt;0,Q619=0),"Lapsed - Follow Up","")</f>
        <v/>
      </c>
      <c r="V619" s="9" t="n">
        <f aca="false">RANK(R619,$R$2:$R$759)+COUNTIF($R$2:R619,R619)-1</f>
        <v>140</v>
      </c>
      <c r="W619" s="9" t="str">
        <f aca="false">IF(U619="Lapsed - Follow Up",COUNTIF($U$2:U619,"Lapsed - Follow Up"),"")</f>
        <v/>
      </c>
    </row>
    <row r="620" customFormat="false" ht="15" hidden="false" customHeight="true" outlineLevel="0" collapsed="false">
      <c r="A620" s="9" t="str">
        <f aca="false">Raw_Donors!A620</f>
        <v>D1618</v>
      </c>
      <c r="B620" s="9" t="str">
        <f aca="false">IF(ISNUMBER(SEARCH("-DUP",A620)),"Duplicate ID","")</f>
        <v/>
      </c>
      <c r="C620" s="9" t="n">
        <f aca="false">Raw_Donors!B620</f>
        <v>90265</v>
      </c>
      <c r="D620" s="9" t="n">
        <f aca="false">Raw_Donors!C620</f>
        <v>32</v>
      </c>
      <c r="E620" s="9" t="str">
        <f aca="false">IFERROR(IF(Raw_Donors!D620="","Unknown",Raw_Donors!D620),"Unknown")</f>
        <v>Unknown</v>
      </c>
      <c r="F620" s="9" t="str">
        <f aca="false">IFERROR(IF(Raw_Donors!E620="","Unknown",Raw_Donors!E620),"Unknown")</f>
        <v>Female</v>
      </c>
      <c r="G620" s="9" t="str">
        <f aca="false">PROPER(TRIM(Raw_Donors!F620))</f>
        <v>Community Partner</v>
      </c>
      <c r="H620" s="9" t="str">
        <f aca="false">IFERROR(IF(Raw_Donors!G620="","N",Raw_Donors!G620),"N")</f>
        <v>Y</v>
      </c>
      <c r="I620" s="9" t="str">
        <f aca="false">IF(Raw_Donors!H620="","Not Rated",Raw_Donors!H620)</f>
        <v>Not Rated</v>
      </c>
      <c r="J620" s="9" t="str">
        <f aca="false">IF(TRIM(Raw_Donors!I620)="","Unknown",TRIM(Raw_Donors!I620))</f>
        <v>HOME</v>
      </c>
      <c r="K620" s="9" t="str">
        <f aca="false">Raw_Donors!J620</f>
        <v>Y</v>
      </c>
      <c r="L620" s="9" t="n">
        <f aca="false">Raw_Donors!K620</f>
        <v>1</v>
      </c>
      <c r="M620" s="10" t="n">
        <f aca="false">IFERROR(VALUE(SUBSTITUTE(SUBSTITUTE(Raw_Donors!L620,"$",""),",","")),0)</f>
        <v>0</v>
      </c>
      <c r="N620" s="10" t="n">
        <f aca="false">IFERROR(VALUE(SUBSTITUTE(SUBSTITUTE(Raw_Donors!M620,"$",""),",","")),0)</f>
        <v>0</v>
      </c>
      <c r="O620" s="10" t="n">
        <f aca="false">IFERROR(VALUE(SUBSTITUTE(SUBSTITUTE(Raw_Donors!N620,"$",""),",","")),0)</f>
        <v>0</v>
      </c>
      <c r="P620" s="10" t="n">
        <f aca="false">IFERROR(VALUE(SUBSTITUTE(SUBSTITUTE(Raw_Donors!O620,"$",""),",","")),0)</f>
        <v>0</v>
      </c>
      <c r="Q620" s="10" t="n">
        <f aca="false">IFERROR(VALUE(SUBSTITUTE(SUBSTITUTE(Raw_Donors!P620,"$",""),",","")),0)</f>
        <v>0</v>
      </c>
      <c r="R620" s="10" t="n">
        <f aca="false">Raw_Donors!Q620</f>
        <v>0</v>
      </c>
      <c r="S620" s="9" t="str">
        <f aca="false">Raw_Donors!R620</f>
        <v>N</v>
      </c>
      <c r="T620" s="9" t="str">
        <f aca="false">IF(Raw_Donors!S620="","",Raw_Donors!S620)</f>
        <v>1985-06-19</v>
      </c>
      <c r="U620" s="9" t="str">
        <f aca="false">IF(AND((O620+P620)&gt;0,Q620=0),"Lapsed - Follow Up","")</f>
        <v/>
      </c>
      <c r="V620" s="9" t="n">
        <f aca="false">RANK(R620,$R$2:$R$759)+COUNTIF($R$2:R620,R620)-1</f>
        <v>721</v>
      </c>
      <c r="W620" s="9" t="str">
        <f aca="false">IF(U620="Lapsed - Follow Up",COUNTIF($U$2:U620,"Lapsed - Follow Up"),"")</f>
        <v/>
      </c>
    </row>
    <row r="621" customFormat="false" ht="15" hidden="false" customHeight="true" outlineLevel="0" collapsed="false">
      <c r="A621" s="9" t="str">
        <f aca="false">Raw_Donors!A621</f>
        <v>D1619</v>
      </c>
      <c r="B621" s="9" t="str">
        <f aca="false">IF(ISNUMBER(SEARCH("-DUP",A621)),"Duplicate ID","")</f>
        <v/>
      </c>
      <c r="C621" s="9" t="n">
        <f aca="false">Raw_Donors!B621</f>
        <v>97865</v>
      </c>
      <c r="D621" s="9" t="n">
        <f aca="false">Raw_Donors!C621</f>
        <v>0</v>
      </c>
      <c r="E621" s="9" t="str">
        <f aca="false">IFERROR(IF(Raw_Donors!D621="","Unknown",Raw_Donors!D621),"Unknown")</f>
        <v>Unknown</v>
      </c>
      <c r="F621" s="9" t="str">
        <f aca="false">IFERROR(IF(Raw_Donors!E621="","Unknown",Raw_Donors!E621),"Unknown")</f>
        <v>Male</v>
      </c>
      <c r="G621" s="9" t="str">
        <f aca="false">PROPER(TRIM(Raw_Donors!F621))</f>
        <v>Individual Donor</v>
      </c>
      <c r="H621" s="9" t="str">
        <f aca="false">IFERROR(IF(Raw_Donors!G621="","N",Raw_Donors!G621),"N")</f>
        <v>N</v>
      </c>
      <c r="I621" s="9" t="str">
        <f aca="false">IF(Raw_Donors!H621="","Not Rated",Raw_Donors!H621)</f>
        <v>Not Rated</v>
      </c>
      <c r="J621" s="9" t="str">
        <f aca="false">IF(TRIM(Raw_Donors!I621)="","Unknown",TRIM(Raw_Donors!I621))</f>
        <v>HOME</v>
      </c>
      <c r="K621" s="9" t="str">
        <f aca="false">Raw_Donors!J621</f>
        <v>N</v>
      </c>
      <c r="L621" s="9" t="n">
        <f aca="false">Raw_Donors!K621</f>
        <v>1</v>
      </c>
      <c r="M621" s="10" t="n">
        <f aca="false">IFERROR(VALUE(SUBSTITUTE(SUBSTITUTE(Raw_Donors!L621,"$",""),",","")),0)</f>
        <v>0</v>
      </c>
      <c r="N621" s="10" t="n">
        <f aca="false">IFERROR(VALUE(SUBSTITUTE(SUBSTITUTE(Raw_Donors!M621,"$",""),",","")),0)</f>
        <v>0</v>
      </c>
      <c r="O621" s="10" t="n">
        <f aca="false">IFERROR(VALUE(SUBSTITUTE(SUBSTITUTE(Raw_Donors!N621,"$",""),",","")),0)</f>
        <v>0</v>
      </c>
      <c r="P621" s="10" t="n">
        <f aca="false">IFERROR(VALUE(SUBSTITUTE(SUBSTITUTE(Raw_Donors!O621,"$",""),",","")),0)</f>
        <v>0</v>
      </c>
      <c r="Q621" s="10" t="n">
        <f aca="false">IFERROR(VALUE(SUBSTITUTE(SUBSTITUTE(Raw_Donors!P621,"$",""),",","")),0)</f>
        <v>0</v>
      </c>
      <c r="R621" s="10" t="n">
        <f aca="false">Raw_Donors!Q621</f>
        <v>0</v>
      </c>
      <c r="S621" s="9" t="str">
        <f aca="false">Raw_Donors!R621</f>
        <v>N</v>
      </c>
      <c r="T621" s="9" t="str">
        <f aca="false">IF(Raw_Donors!S621="","",Raw_Donors!S621)</f>
        <v/>
      </c>
      <c r="U621" s="9" t="str">
        <f aca="false">IF(AND((O621+P621)&gt;0,Q621=0),"Lapsed - Follow Up","")</f>
        <v/>
      </c>
      <c r="V621" s="9" t="n">
        <f aca="false">RANK(R621,$R$2:$R$759)+COUNTIF($R$2:R621,R621)-1</f>
        <v>722</v>
      </c>
      <c r="W621" s="9" t="str">
        <f aca="false">IF(U621="Lapsed - Follow Up",COUNTIF($U$2:U621,"Lapsed - Follow Up"),"")</f>
        <v/>
      </c>
    </row>
    <row r="622" customFormat="false" ht="15" hidden="false" customHeight="true" outlineLevel="0" collapsed="false">
      <c r="A622" s="9" t="str">
        <f aca="false">Raw_Donors!A622</f>
        <v>D1620</v>
      </c>
      <c r="B622" s="9" t="str">
        <f aca="false">IF(ISNUMBER(SEARCH("-DUP",A622)),"Duplicate ID","")</f>
        <v/>
      </c>
      <c r="C622" s="9" t="n">
        <f aca="false">Raw_Donors!B622</f>
        <v>90265</v>
      </c>
      <c r="D622" s="9" t="n">
        <f aca="false">Raw_Donors!C622</f>
        <v>50</v>
      </c>
      <c r="E622" s="9" t="str">
        <f aca="false">IFERROR(IF(Raw_Donors!D622="","Unknown",Raw_Donors!D622),"Unknown")</f>
        <v>Unknown</v>
      </c>
      <c r="F622" s="9" t="str">
        <f aca="false">IFERROR(IF(Raw_Donors!E622="","Unknown",Raw_Donors!E622),"Unknown")</f>
        <v>Male</v>
      </c>
      <c r="G622" s="9" t="str">
        <f aca="false">PROPER(TRIM(Raw_Donors!F622))</f>
        <v>Community Partner</v>
      </c>
      <c r="H622" s="9" t="str">
        <f aca="false">IFERROR(IF(Raw_Donors!G622="","N",Raw_Donors!G622),"N")</f>
        <v>N</v>
      </c>
      <c r="I622" s="9" t="str">
        <f aca="false">IF(Raw_Donors!H622="","Not Rated",Raw_Donors!H622)</f>
        <v>Not Rated</v>
      </c>
      <c r="J622" s="9" t="str">
        <f aca="false">IF(TRIM(Raw_Donors!I622)="","Unknown",TRIM(Raw_Donors!I622))</f>
        <v>Unknown</v>
      </c>
      <c r="K622" s="9" t="str">
        <f aca="false">Raw_Donors!J622</f>
        <v>N</v>
      </c>
      <c r="L622" s="9" t="n">
        <f aca="false">Raw_Donors!K622</f>
        <v>0</v>
      </c>
      <c r="M622" s="10" t="n">
        <f aca="false">IFERROR(VALUE(SUBSTITUTE(SUBSTITUTE(Raw_Donors!L622,"$",""),",","")),0)</f>
        <v>0</v>
      </c>
      <c r="N622" s="10" t="n">
        <f aca="false">IFERROR(VALUE(SUBSTITUTE(SUBSTITUTE(Raw_Donors!M622,"$",""),",","")),0)</f>
        <v>1020</v>
      </c>
      <c r="O622" s="10" t="n">
        <f aca="false">IFERROR(VALUE(SUBSTITUTE(SUBSTITUTE(Raw_Donors!N622,"$",""),",","")),0)</f>
        <v>520</v>
      </c>
      <c r="P622" s="10" t="n">
        <f aca="false">IFERROR(VALUE(SUBSTITUTE(SUBSTITUTE(Raw_Donors!O622,"$",""),",","")),0)</f>
        <v>0</v>
      </c>
      <c r="Q622" s="10" t="n">
        <f aca="false">IFERROR(VALUE(SUBSTITUTE(SUBSTITUTE(Raw_Donors!P622,"$",""),",","")),0)</f>
        <v>0</v>
      </c>
      <c r="R622" s="10" t="n">
        <f aca="false">Raw_Donors!Q622</f>
        <v>2040</v>
      </c>
      <c r="S622" s="9" t="str">
        <f aca="false">Raw_Donors!R622</f>
        <v>Y</v>
      </c>
      <c r="T622" s="9" t="str">
        <f aca="false">IF(Raw_Donors!S622="","",Raw_Donors!S622)</f>
        <v>1967-05-11</v>
      </c>
      <c r="U622" s="9" t="str">
        <f aca="false">IF(AND((O622+P622)&gt;0,Q622=0),"Lapsed - Follow Up","")</f>
        <v>Lapsed - Follow Up</v>
      </c>
      <c r="V622" s="9" t="n">
        <f aca="false">RANK(R622,$R$2:$R$759)+COUNTIF($R$2:R622,R622)-1</f>
        <v>29</v>
      </c>
      <c r="W622" s="9" t="n">
        <f aca="false">IF(U622="Lapsed - Follow Up",COUNTIF($U$2:U622,"Lapsed - Follow Up"),"")</f>
        <v>90</v>
      </c>
    </row>
    <row r="623" customFormat="false" ht="15" hidden="false" customHeight="true" outlineLevel="0" collapsed="false">
      <c r="A623" s="9" t="str">
        <f aca="false">Raw_Donors!A623</f>
        <v>D1621</v>
      </c>
      <c r="B623" s="9" t="str">
        <f aca="false">IF(ISNUMBER(SEARCH("-DUP",A623)),"Duplicate ID","")</f>
        <v/>
      </c>
      <c r="C623" s="9" t="n">
        <f aca="false">Raw_Donors!B623</f>
        <v>5731</v>
      </c>
      <c r="D623" s="9" t="n">
        <f aca="false">Raw_Donors!C623</f>
        <v>0</v>
      </c>
      <c r="E623" s="9" t="str">
        <f aca="false">IFERROR(IF(Raw_Donors!D623="","Unknown",Raw_Donors!D623),"Unknown")</f>
        <v>Unknown</v>
      </c>
      <c r="F623" s="9" t="str">
        <f aca="false">IFERROR(IF(Raw_Donors!E623="","Unknown",Raw_Donors!E623),"Unknown")</f>
        <v>Male</v>
      </c>
      <c r="G623" s="9" t="str">
        <f aca="false">PROPER(TRIM(Raw_Donors!F623))</f>
        <v>Individual Donor</v>
      </c>
      <c r="H623" s="9" t="str">
        <f aca="false">IFERROR(IF(Raw_Donors!G623="","N",Raw_Donors!G623),"N")</f>
        <v>N</v>
      </c>
      <c r="I623" s="9" t="str">
        <f aca="false">IF(Raw_Donors!H623="","Not Rated",Raw_Donors!H623)</f>
        <v>Not Rated</v>
      </c>
      <c r="J623" s="9" t="str">
        <f aca="false">IF(TRIM(Raw_Donors!I623)="","Unknown",TRIM(Raw_Donors!I623))</f>
        <v>HOME</v>
      </c>
      <c r="K623" s="9" t="str">
        <f aca="false">Raw_Donors!J623</f>
        <v>N</v>
      </c>
      <c r="L623" s="9" t="n">
        <f aca="false">Raw_Donors!K623</f>
        <v>3</v>
      </c>
      <c r="M623" s="10" t="n">
        <f aca="false">IFERROR(VALUE(SUBSTITUTE(SUBSTITUTE(Raw_Donors!L623,"$",""),",","")),0)</f>
        <v>25</v>
      </c>
      <c r="N623" s="10" t="n">
        <f aca="false">IFERROR(VALUE(SUBSTITUTE(SUBSTITUTE(Raw_Donors!M623,"$",""),",","")),0)</f>
        <v>0</v>
      </c>
      <c r="O623" s="10" t="n">
        <f aca="false">IFERROR(VALUE(SUBSTITUTE(SUBSTITUTE(Raw_Donors!N623,"$",""),",","")),0)</f>
        <v>0</v>
      </c>
      <c r="P623" s="10" t="n">
        <f aca="false">IFERROR(VALUE(SUBSTITUTE(SUBSTITUTE(Raw_Donors!O623,"$",""),",","")),0)</f>
        <v>300</v>
      </c>
      <c r="Q623" s="10" t="n">
        <f aca="false">IFERROR(VALUE(SUBSTITUTE(SUBSTITUTE(Raw_Donors!P623,"$",""),",","")),0)</f>
        <v>0</v>
      </c>
      <c r="R623" s="10" t="n">
        <f aca="false">Raw_Donors!Q623</f>
        <v>325</v>
      </c>
      <c r="S623" s="9" t="str">
        <f aca="false">Raw_Donors!R623</f>
        <v>Y</v>
      </c>
      <c r="T623" s="9" t="str">
        <f aca="false">IF(Raw_Donors!S623="","",Raw_Donors!S623)</f>
        <v/>
      </c>
      <c r="U623" s="9" t="str">
        <f aca="false">IF(AND((O623+P623)&gt;0,Q623=0),"Lapsed - Follow Up","")</f>
        <v>Lapsed - Follow Up</v>
      </c>
      <c r="V623" s="9" t="n">
        <f aca="false">RANK(R623,$R$2:$R$759)+COUNTIF($R$2:R623,R623)-1</f>
        <v>136</v>
      </c>
      <c r="W623" s="9" t="n">
        <f aca="false">IF(U623="Lapsed - Follow Up",COUNTIF($U$2:U623,"Lapsed - Follow Up"),"")</f>
        <v>91</v>
      </c>
    </row>
    <row r="624" customFormat="false" ht="15" hidden="false" customHeight="true" outlineLevel="0" collapsed="false">
      <c r="A624" s="9" t="str">
        <f aca="false">Raw_Donors!A624</f>
        <v>D1622</v>
      </c>
      <c r="B624" s="9" t="str">
        <f aca="false">IF(ISNUMBER(SEARCH("-DUP",A624)),"Duplicate ID","")</f>
        <v/>
      </c>
      <c r="C624" s="9" t="n">
        <f aca="false">Raw_Donors!B624</f>
        <v>75116</v>
      </c>
      <c r="D624" s="9" t="n">
        <f aca="false">Raw_Donors!C624</f>
        <v>0</v>
      </c>
      <c r="E624" s="9" t="str">
        <f aca="false">IFERROR(IF(Raw_Donors!D624="","Unknown",Raw_Donors!D624),"Unknown")</f>
        <v>Unknown</v>
      </c>
      <c r="F624" s="9" t="str">
        <f aca="false">IFERROR(IF(Raw_Donors!E624="","Unknown",Raw_Donors!E624),"Unknown")</f>
        <v>Male</v>
      </c>
      <c r="G624" s="9" t="str">
        <f aca="false">PROPER(TRIM(Raw_Donors!F624))</f>
        <v>Individual Donor</v>
      </c>
      <c r="H624" s="9" t="str">
        <f aca="false">IFERROR(IF(Raw_Donors!G624="","N",Raw_Donors!G624),"N")</f>
        <v>N</v>
      </c>
      <c r="I624" s="9" t="str">
        <f aca="false">IF(Raw_Donors!H624="","Not Rated",Raw_Donors!H624)</f>
        <v>Not Rated</v>
      </c>
      <c r="J624" s="9" t="str">
        <f aca="false">IF(TRIM(Raw_Donors!I624)="","Unknown",TRIM(Raw_Donors!I624))</f>
        <v>HOME</v>
      </c>
      <c r="K624" s="9" t="str">
        <f aca="false">Raw_Donors!J624</f>
        <v>N</v>
      </c>
      <c r="L624" s="9" t="n">
        <f aca="false">Raw_Donors!K624</f>
        <v>1</v>
      </c>
      <c r="M624" s="10" t="n">
        <f aca="false">IFERROR(VALUE(SUBSTITUTE(SUBSTITUTE(Raw_Donors!L624,"$",""),",","")),0)</f>
        <v>0</v>
      </c>
      <c r="N624" s="10" t="n">
        <f aca="false">IFERROR(VALUE(SUBSTITUTE(SUBSTITUTE(Raw_Donors!M624,"$",""),",","")),0)</f>
        <v>0</v>
      </c>
      <c r="O624" s="10" t="n">
        <f aca="false">IFERROR(VALUE(SUBSTITUTE(SUBSTITUTE(Raw_Donors!N624,"$",""),",","")),0)</f>
        <v>0</v>
      </c>
      <c r="P624" s="10" t="n">
        <f aca="false">IFERROR(VALUE(SUBSTITUTE(SUBSTITUTE(Raw_Donors!O624,"$",""),",","")),0)</f>
        <v>0</v>
      </c>
      <c r="Q624" s="10" t="n">
        <f aca="false">IFERROR(VALUE(SUBSTITUTE(SUBSTITUTE(Raw_Donors!P624,"$",""),",","")),0)</f>
        <v>0</v>
      </c>
      <c r="R624" s="10" t="n">
        <f aca="false">Raw_Donors!Q624</f>
        <v>5</v>
      </c>
      <c r="S624" s="9" t="str">
        <f aca="false">Raw_Donors!R624</f>
        <v>Y</v>
      </c>
      <c r="T624" s="9" t="str">
        <f aca="false">IF(Raw_Donors!S624="","",Raw_Donors!S624)</f>
        <v/>
      </c>
      <c r="U624" s="9" t="str">
        <f aca="false">IF(AND((O624+P624)&gt;0,Q624=0),"Lapsed - Follow Up","")</f>
        <v/>
      </c>
      <c r="V624" s="9" t="n">
        <f aca="false">RANK(R624,$R$2:$R$759)+COUNTIF($R$2:R624,R624)-1</f>
        <v>521</v>
      </c>
      <c r="W624" s="9" t="str">
        <f aca="false">IF(U624="Lapsed - Follow Up",COUNTIF($U$2:U624,"Lapsed - Follow Up"),"")</f>
        <v/>
      </c>
    </row>
    <row r="625" customFormat="false" ht="15" hidden="false" customHeight="true" outlineLevel="0" collapsed="false">
      <c r="A625" s="9" t="str">
        <f aca="false">Raw_Donors!A625</f>
        <v>D1623</v>
      </c>
      <c r="B625" s="9" t="str">
        <f aca="false">IF(ISNUMBER(SEARCH("-DUP",A625)),"Duplicate ID","")</f>
        <v/>
      </c>
      <c r="C625" s="9" t="n">
        <f aca="false">Raw_Donors!B625</f>
        <v>28520</v>
      </c>
      <c r="D625" s="9" t="n">
        <f aca="false">Raw_Donors!C625</f>
        <v>0</v>
      </c>
      <c r="E625" s="9" t="str">
        <f aca="false">IFERROR(IF(Raw_Donors!D625="","Unknown",Raw_Donors!D625),"Unknown")</f>
        <v>Unknown</v>
      </c>
      <c r="F625" s="9" t="str">
        <f aca="false">IFERROR(IF(Raw_Donors!E625="","Unknown",Raw_Donors!E625),"Unknown")</f>
        <v>Unknown</v>
      </c>
      <c r="G625" s="9" t="str">
        <f aca="false">PROPER(TRIM(Raw_Donors!F625))</f>
        <v>Individual Donor</v>
      </c>
      <c r="H625" s="9" t="str">
        <f aca="false">IFERROR(IF(Raw_Donors!G625="","N",Raw_Donors!G625),"N")</f>
        <v>N</v>
      </c>
      <c r="I625" s="9" t="str">
        <f aca="false">IF(Raw_Donors!H625="","Not Rated",Raw_Donors!H625)</f>
        <v>Not Rated</v>
      </c>
      <c r="J625" s="9" t="str">
        <f aca="false">IF(TRIM(Raw_Donors!I625)="","Unknown",TRIM(Raw_Donors!I625))</f>
        <v>HOME</v>
      </c>
      <c r="K625" s="9" t="str">
        <f aca="false">Raw_Donors!J625</f>
        <v>N</v>
      </c>
      <c r="L625" s="9" t="n">
        <f aca="false">Raw_Donors!K625</f>
        <v>1</v>
      </c>
      <c r="M625" s="10" t="n">
        <f aca="false">IFERROR(VALUE(SUBSTITUTE(SUBSTITUTE(Raw_Donors!L625,"$",""),",","")),0)</f>
        <v>0</v>
      </c>
      <c r="N625" s="10" t="n">
        <f aca="false">IFERROR(VALUE(SUBSTITUTE(SUBSTITUTE(Raw_Donors!M625,"$",""),",","")),0)</f>
        <v>0</v>
      </c>
      <c r="O625" s="10" t="n">
        <f aca="false">IFERROR(VALUE(SUBSTITUTE(SUBSTITUTE(Raw_Donors!N625,"$",""),",","")),0)</f>
        <v>0</v>
      </c>
      <c r="P625" s="10" t="n">
        <f aca="false">IFERROR(VALUE(SUBSTITUTE(SUBSTITUTE(Raw_Donors!O625,"$",""),",","")),0)</f>
        <v>0</v>
      </c>
      <c r="Q625" s="10" t="n">
        <f aca="false">IFERROR(VALUE(SUBSTITUTE(SUBSTITUTE(Raw_Donors!P625,"$",""),",","")),0)</f>
        <v>0</v>
      </c>
      <c r="R625" s="10" t="n">
        <f aca="false">Raw_Donors!Q625</f>
        <v>77</v>
      </c>
      <c r="S625" s="9" t="str">
        <f aca="false">Raw_Donors!R625</f>
        <v>Y</v>
      </c>
      <c r="T625" s="9" t="str">
        <f aca="false">IF(Raw_Donors!S625="","",Raw_Donors!S625)</f>
        <v/>
      </c>
      <c r="U625" s="9" t="str">
        <f aca="false">IF(AND((O625+P625)&gt;0,Q625=0),"Lapsed - Follow Up","")</f>
        <v/>
      </c>
      <c r="V625" s="9" t="n">
        <f aca="false">RANK(R625,$R$2:$R$759)+COUNTIF($R$2:R625,R625)-1</f>
        <v>327</v>
      </c>
      <c r="W625" s="9" t="str">
        <f aca="false">IF(U625="Lapsed - Follow Up",COUNTIF($U$2:U625,"Lapsed - Follow Up"),"")</f>
        <v/>
      </c>
    </row>
    <row r="626" customFormat="false" ht="15" hidden="false" customHeight="true" outlineLevel="0" collapsed="false">
      <c r="A626" s="9" t="str">
        <f aca="false">Raw_Donors!A626</f>
        <v>D1624</v>
      </c>
      <c r="B626" s="9" t="str">
        <f aca="false">IF(ISNUMBER(SEARCH("-DUP",A626)),"Duplicate ID","")</f>
        <v/>
      </c>
      <c r="C626" s="9" t="n">
        <f aca="false">Raw_Donors!B626</f>
        <v>36572</v>
      </c>
      <c r="D626" s="9" t="n">
        <f aca="false">Raw_Donors!C626</f>
        <v>0</v>
      </c>
      <c r="E626" s="9" t="str">
        <f aca="false">IFERROR(IF(Raw_Donors!D626="","Unknown",Raw_Donors!D626),"Unknown")</f>
        <v>Unknown</v>
      </c>
      <c r="F626" s="9" t="str">
        <f aca="false">IFERROR(IF(Raw_Donors!E626="","Unknown",Raw_Donors!E626),"Unknown")</f>
        <v>Female</v>
      </c>
      <c r="G626" s="9" t="str">
        <f aca="false">PROPER(TRIM(Raw_Donors!F626))</f>
        <v>Individual Donor</v>
      </c>
      <c r="H626" s="9" t="str">
        <f aca="false">IFERROR(IF(Raw_Donors!G626="","N",Raw_Donors!G626),"N")</f>
        <v>N</v>
      </c>
      <c r="I626" s="9" t="str">
        <f aca="false">IF(Raw_Donors!H626="","Not Rated",Raw_Donors!H626)</f>
        <v>Not Rated</v>
      </c>
      <c r="J626" s="9" t="str">
        <f aca="false">IF(TRIM(Raw_Donors!I626)="","Unknown",TRIM(Raw_Donors!I626))</f>
        <v>HOME</v>
      </c>
      <c r="K626" s="9" t="str">
        <f aca="false">Raw_Donors!J626</f>
        <v>N</v>
      </c>
      <c r="L626" s="9" t="n">
        <f aca="false">Raw_Donors!K626</f>
        <v>0</v>
      </c>
      <c r="M626" s="10" t="n">
        <f aca="false">IFERROR(VALUE(SUBSTITUTE(SUBSTITUTE(Raw_Donors!L626,"$",""),",","")),0)</f>
        <v>0</v>
      </c>
      <c r="N626" s="10" t="n">
        <f aca="false">IFERROR(VALUE(SUBSTITUTE(SUBSTITUTE(Raw_Donors!M626,"$",""),",","")),0)</f>
        <v>0</v>
      </c>
      <c r="O626" s="10" t="n">
        <f aca="false">IFERROR(VALUE(SUBSTITUTE(SUBSTITUTE(Raw_Donors!N626,"$",""),",","")),0)</f>
        <v>0</v>
      </c>
      <c r="P626" s="10" t="n">
        <f aca="false">IFERROR(VALUE(SUBSTITUTE(SUBSTITUTE(Raw_Donors!O626,"$",""),",","")),0)</f>
        <v>0</v>
      </c>
      <c r="Q626" s="10" t="n">
        <f aca="false">IFERROR(VALUE(SUBSTITUTE(SUBSTITUTE(Raw_Donors!P626,"$",""),",","")),0)</f>
        <v>0</v>
      </c>
      <c r="R626" s="10" t="n">
        <f aca="false">Raw_Donors!Q626</f>
        <v>0</v>
      </c>
      <c r="S626" s="9" t="str">
        <f aca="false">Raw_Donors!R626</f>
        <v>N</v>
      </c>
      <c r="T626" s="9" t="str">
        <f aca="false">IF(Raw_Donors!S626="","",Raw_Donors!S626)</f>
        <v/>
      </c>
      <c r="U626" s="9" t="str">
        <f aca="false">IF(AND((O626+P626)&gt;0,Q626=0),"Lapsed - Follow Up","")</f>
        <v/>
      </c>
      <c r="V626" s="9" t="n">
        <f aca="false">RANK(R626,$R$2:$R$759)+COUNTIF($R$2:R626,R626)-1</f>
        <v>723</v>
      </c>
      <c r="W626" s="9" t="str">
        <f aca="false">IF(U626="Lapsed - Follow Up",COUNTIF($U$2:U626,"Lapsed - Follow Up"),"")</f>
        <v/>
      </c>
    </row>
    <row r="627" customFormat="false" ht="15" hidden="false" customHeight="true" outlineLevel="0" collapsed="false">
      <c r="A627" s="9" t="str">
        <f aca="false">Raw_Donors!A627</f>
        <v>D1625</v>
      </c>
      <c r="B627" s="9" t="str">
        <f aca="false">IF(ISNUMBER(SEARCH("-DUP",A627)),"Duplicate ID","")</f>
        <v/>
      </c>
      <c r="C627" s="9" t="n">
        <f aca="false">Raw_Donors!B627</f>
        <v>93120</v>
      </c>
      <c r="D627" s="9" t="n">
        <f aca="false">Raw_Donors!C627</f>
        <v>33</v>
      </c>
      <c r="E627" s="9" t="str">
        <f aca="false">IFERROR(IF(Raw_Donors!D627="","Unknown",Raw_Donors!D627),"Unknown")</f>
        <v>Married</v>
      </c>
      <c r="F627" s="9" t="str">
        <f aca="false">IFERROR(IF(Raw_Donors!E627="","Unknown",Raw_Donors!E627),"Unknown")</f>
        <v>Female</v>
      </c>
      <c r="G627" s="9" t="str">
        <f aca="false">PROPER(TRIM(Raw_Donors!F627))</f>
        <v>Community Partner</v>
      </c>
      <c r="H627" s="9" t="str">
        <f aca="false">IFERROR(IF(Raw_Donors!G627="","N",Raw_Donors!G627),"N")</f>
        <v>Y</v>
      </c>
      <c r="I627" s="9" t="str">
        <f aca="false">IF(Raw_Donors!H627="","Not Rated",Raw_Donors!H627)</f>
        <v>Not Rated</v>
      </c>
      <c r="J627" s="9" t="str">
        <f aca="false">IF(TRIM(Raw_Donors!I627)="","Unknown",TRIM(Raw_Donors!I627))</f>
        <v>HOME</v>
      </c>
      <c r="K627" s="9" t="str">
        <f aca="false">Raw_Donors!J627</f>
        <v>N</v>
      </c>
      <c r="L627" s="9" t="n">
        <f aca="false">Raw_Donors!K627</f>
        <v>3</v>
      </c>
      <c r="M627" s="10" t="n">
        <f aca="false">IFERROR(VALUE(SUBSTITUTE(SUBSTITUTE(Raw_Donors!L627,"$",""),",","")),0)</f>
        <v>0</v>
      </c>
      <c r="N627" s="10" t="n">
        <f aca="false">IFERROR(VALUE(SUBSTITUTE(SUBSTITUTE(Raw_Donors!M627,"$",""),",","")),0)</f>
        <v>0</v>
      </c>
      <c r="O627" s="10" t="n">
        <f aca="false">IFERROR(VALUE(SUBSTITUTE(SUBSTITUTE(Raw_Donors!N627,"$",""),",","")),0)</f>
        <v>0</v>
      </c>
      <c r="P627" s="10" t="n">
        <f aca="false">IFERROR(VALUE(SUBSTITUTE(SUBSTITUTE(Raw_Donors!O627,"$",""),",","")),0)</f>
        <v>0</v>
      </c>
      <c r="Q627" s="10" t="n">
        <f aca="false">IFERROR(VALUE(SUBSTITUTE(SUBSTITUTE(Raw_Donors!P627,"$",""),",","")),0)</f>
        <v>0</v>
      </c>
      <c r="R627" s="10" t="n">
        <f aca="false">Raw_Donors!Q627</f>
        <v>65</v>
      </c>
      <c r="S627" s="9" t="str">
        <f aca="false">Raw_Donors!R627</f>
        <v>Y</v>
      </c>
      <c r="T627" s="9" t="str">
        <f aca="false">IF(Raw_Donors!S627="","",Raw_Donors!S627)</f>
        <v>1984-12-09</v>
      </c>
      <c r="U627" s="9" t="str">
        <f aca="false">IF(AND((O627+P627)&gt;0,Q627=0),"Lapsed - Follow Up","")</f>
        <v/>
      </c>
      <c r="V627" s="9" t="n">
        <f aca="false">RANK(R627,$R$2:$R$759)+COUNTIF($R$2:R627,R627)-1</f>
        <v>347</v>
      </c>
      <c r="W627" s="9" t="str">
        <f aca="false">IF(U627="Lapsed - Follow Up",COUNTIF($U$2:U627,"Lapsed - Follow Up"),"")</f>
        <v/>
      </c>
    </row>
    <row r="628" customFormat="false" ht="15" hidden="false" customHeight="true" outlineLevel="0" collapsed="false">
      <c r="A628" s="9" t="str">
        <f aca="false">Raw_Donors!A628</f>
        <v>D1626</v>
      </c>
      <c r="B628" s="9" t="str">
        <f aca="false">IF(ISNUMBER(SEARCH("-DUP",A628)),"Duplicate ID","")</f>
        <v/>
      </c>
      <c r="C628" s="9" t="n">
        <f aca="false">Raw_Donors!B628</f>
        <v>96351</v>
      </c>
      <c r="D628" s="9" t="n">
        <f aca="false">Raw_Donors!C628</f>
        <v>0</v>
      </c>
      <c r="E628" s="9" t="str">
        <f aca="false">IFERROR(IF(Raw_Donors!D628="","Unknown",Raw_Donors!D628),"Unknown")</f>
        <v>Married</v>
      </c>
      <c r="F628" s="9" t="str">
        <f aca="false">IFERROR(IF(Raw_Donors!E628="","Unknown",Raw_Donors!E628),"Unknown")</f>
        <v>Female</v>
      </c>
      <c r="G628" s="9" t="str">
        <f aca="false">PROPER(TRIM(Raw_Donors!F628))</f>
        <v>Family Donor</v>
      </c>
      <c r="H628" s="9" t="str">
        <f aca="false">IFERROR(IF(Raw_Donors!G628="","N",Raw_Donors!G628),"N")</f>
        <v>N</v>
      </c>
      <c r="I628" s="9" t="str">
        <f aca="false">IF(Raw_Donors!H628="","Not Rated",Raw_Donors!H628)</f>
        <v>Not Rated</v>
      </c>
      <c r="J628" s="9" t="str">
        <f aca="false">IF(TRIM(Raw_Donors!I628)="","Unknown",TRIM(Raw_Donors!I628))</f>
        <v>HOME</v>
      </c>
      <c r="K628" s="9" t="str">
        <f aca="false">Raw_Donors!J628</f>
        <v>Y</v>
      </c>
      <c r="L628" s="9" t="n">
        <f aca="false">Raw_Donors!K628</f>
        <v>0</v>
      </c>
      <c r="M628" s="10" t="n">
        <f aca="false">IFERROR(VALUE(SUBSTITUTE(SUBSTITUTE(Raw_Donors!L628,"$",""),",","")),0)</f>
        <v>0</v>
      </c>
      <c r="N628" s="10" t="n">
        <f aca="false">IFERROR(VALUE(SUBSTITUTE(SUBSTITUTE(Raw_Donors!M628,"$",""),",","")),0)</f>
        <v>0</v>
      </c>
      <c r="O628" s="10" t="n">
        <f aca="false">IFERROR(VALUE(SUBSTITUTE(SUBSTITUTE(Raw_Donors!N628,"$",""),",","")),0)</f>
        <v>0</v>
      </c>
      <c r="P628" s="10" t="n">
        <f aca="false">IFERROR(VALUE(SUBSTITUTE(SUBSTITUTE(Raw_Donors!O628,"$",""),",","")),0)</f>
        <v>0</v>
      </c>
      <c r="Q628" s="10" t="n">
        <f aca="false">IFERROR(VALUE(SUBSTITUTE(SUBSTITUTE(Raw_Donors!P628,"$",""),",","")),0)</f>
        <v>0</v>
      </c>
      <c r="R628" s="10" t="n">
        <f aca="false">Raw_Donors!Q628</f>
        <v>0</v>
      </c>
      <c r="S628" s="9" t="str">
        <f aca="false">Raw_Donors!R628</f>
        <v>N</v>
      </c>
      <c r="T628" s="9" t="str">
        <f aca="false">IF(Raw_Donors!S628="","",Raw_Donors!S628)</f>
        <v/>
      </c>
      <c r="U628" s="9" t="str">
        <f aca="false">IF(AND((O628+P628)&gt;0,Q628=0),"Lapsed - Follow Up","")</f>
        <v/>
      </c>
      <c r="V628" s="9" t="n">
        <f aca="false">RANK(R628,$R$2:$R$759)+COUNTIF($R$2:R628,R628)-1</f>
        <v>724</v>
      </c>
      <c r="W628" s="9" t="str">
        <f aca="false">IF(U628="Lapsed - Follow Up",COUNTIF($U$2:U628,"Lapsed - Follow Up"),"")</f>
        <v/>
      </c>
    </row>
    <row r="629" customFormat="false" ht="15" hidden="false" customHeight="true" outlineLevel="0" collapsed="false">
      <c r="A629" s="9" t="str">
        <f aca="false">Raw_Donors!A629</f>
        <v>D1627</v>
      </c>
      <c r="B629" s="9" t="str">
        <f aca="false">IF(ISNUMBER(SEARCH("-DUP",A629)),"Duplicate ID","")</f>
        <v/>
      </c>
      <c r="C629" s="9" t="n">
        <f aca="false">Raw_Donors!B629</f>
        <v>75235</v>
      </c>
      <c r="D629" s="9" t="n">
        <f aca="false">Raw_Donors!C629</f>
        <v>0</v>
      </c>
      <c r="E629" s="9" t="str">
        <f aca="false">IFERROR(IF(Raw_Donors!D629="","Unknown",Raw_Donors!D629),"Unknown")</f>
        <v>Unknown</v>
      </c>
      <c r="F629" s="9" t="str">
        <f aca="false">IFERROR(IF(Raw_Donors!E629="","Unknown",Raw_Donors!E629),"Unknown")</f>
        <v>Male</v>
      </c>
      <c r="G629" s="9" t="str">
        <f aca="false">PROPER(TRIM(Raw_Donors!F629))</f>
        <v>Individual Donor</v>
      </c>
      <c r="H629" s="9" t="str">
        <f aca="false">IFERROR(IF(Raw_Donors!G629="","N",Raw_Donors!G629),"N")</f>
        <v>N</v>
      </c>
      <c r="I629" s="9" t="str">
        <f aca="false">IF(Raw_Donors!H629="","Not Rated",Raw_Donors!H629)</f>
        <v>Not Rated</v>
      </c>
      <c r="J629" s="9" t="str">
        <f aca="false">IF(TRIM(Raw_Donors!I629)="","Unknown",TRIM(Raw_Donors!I629))</f>
        <v>HOME</v>
      </c>
      <c r="K629" s="9" t="str">
        <f aca="false">Raw_Donors!J629</f>
        <v>N</v>
      </c>
      <c r="L629" s="9" t="n">
        <f aca="false">Raw_Donors!K629</f>
        <v>5</v>
      </c>
      <c r="M629" s="10" t="n">
        <f aca="false">IFERROR(VALUE(SUBSTITUTE(SUBSTITUTE(Raw_Donors!L629,"$",""),",","")),0)</f>
        <v>100</v>
      </c>
      <c r="N629" s="10" t="n">
        <f aca="false">IFERROR(VALUE(SUBSTITUTE(SUBSTITUTE(Raw_Donors!M629,"$",""),",","")),0)</f>
        <v>0</v>
      </c>
      <c r="O629" s="10" t="n">
        <f aca="false">IFERROR(VALUE(SUBSTITUTE(SUBSTITUTE(Raw_Donors!N629,"$",""),",","")),0)</f>
        <v>0</v>
      </c>
      <c r="P629" s="10" t="n">
        <f aca="false">IFERROR(VALUE(SUBSTITUTE(SUBSTITUTE(Raw_Donors!O629,"$",""),",","")),0)</f>
        <v>0</v>
      </c>
      <c r="Q629" s="10" t="n">
        <f aca="false">IFERROR(VALUE(SUBSTITUTE(SUBSTITUTE(Raw_Donors!P629,"$",""),",","")),0)</f>
        <v>0</v>
      </c>
      <c r="R629" s="10" t="n">
        <f aca="false">Raw_Donors!Q629</f>
        <v>100</v>
      </c>
      <c r="S629" s="9" t="str">
        <f aca="false">Raw_Donors!R629</f>
        <v>Y</v>
      </c>
      <c r="T629" s="9" t="str">
        <f aca="false">IF(Raw_Donors!S629="","",Raw_Donors!S629)</f>
        <v/>
      </c>
      <c r="U629" s="9" t="str">
        <f aca="false">IF(AND((O629+P629)&gt;0,Q629=0),"Lapsed - Follow Up","")</f>
        <v/>
      </c>
      <c r="V629" s="9" t="n">
        <f aca="false">RANK(R629,$R$2:$R$759)+COUNTIF($R$2:R629,R629)-1</f>
        <v>298</v>
      </c>
      <c r="W629" s="9" t="str">
        <f aca="false">IF(U629="Lapsed - Follow Up",COUNTIF($U$2:U629,"Lapsed - Follow Up"),"")</f>
        <v/>
      </c>
    </row>
    <row r="630" customFormat="false" ht="15" hidden="false" customHeight="true" outlineLevel="0" collapsed="false">
      <c r="A630" s="9" t="str">
        <f aca="false">Raw_Donors!A630</f>
        <v>D1628</v>
      </c>
      <c r="B630" s="9" t="str">
        <f aca="false">IF(ISNUMBER(SEARCH("-DUP",A630)),"Duplicate ID","")</f>
        <v/>
      </c>
      <c r="C630" s="9" t="n">
        <f aca="false">Raw_Donors!B630</f>
        <v>90265</v>
      </c>
      <c r="D630" s="9" t="n">
        <f aca="false">Raw_Donors!C630</f>
        <v>0</v>
      </c>
      <c r="E630" s="9" t="str">
        <f aca="false">IFERROR(IF(Raw_Donors!D630="","Unknown",Raw_Donors!D630),"Unknown")</f>
        <v>Single</v>
      </c>
      <c r="F630" s="9" t="str">
        <f aca="false">IFERROR(IF(Raw_Donors!E630="","Unknown",Raw_Donors!E630),"Unknown")</f>
        <v>Uknown</v>
      </c>
      <c r="G630" s="9" t="str">
        <f aca="false">PROPER(TRIM(Raw_Donors!F630))</f>
        <v>Individual Donor</v>
      </c>
      <c r="H630" s="9" t="str">
        <f aca="false">IFERROR(IF(Raw_Donors!G630="","N",Raw_Donors!G630),"N")</f>
        <v>Y</v>
      </c>
      <c r="I630" s="9" t="str">
        <f aca="false">IF(Raw_Donors!H630="","Not Rated",Raw_Donors!H630)</f>
        <v>Not Rated</v>
      </c>
      <c r="J630" s="9" t="str">
        <f aca="false">IF(TRIM(Raw_Donors!I630)="","Unknown",TRIM(Raw_Donors!I630))</f>
        <v>HOME</v>
      </c>
      <c r="K630" s="9" t="str">
        <f aca="false">Raw_Donors!J630</f>
        <v>N</v>
      </c>
      <c r="L630" s="9" t="n">
        <f aca="false">Raw_Donors!K630</f>
        <v>0</v>
      </c>
      <c r="M630" s="10" t="n">
        <f aca="false">IFERROR(VALUE(SUBSTITUTE(SUBSTITUTE(Raw_Donors!L630,"$",""),",","")),0)</f>
        <v>0</v>
      </c>
      <c r="N630" s="10" t="n">
        <f aca="false">IFERROR(VALUE(SUBSTITUTE(SUBSTITUTE(Raw_Donors!M630,"$",""),",","")),0)</f>
        <v>0</v>
      </c>
      <c r="O630" s="10" t="n">
        <f aca="false">IFERROR(VALUE(SUBSTITUTE(SUBSTITUTE(Raw_Donors!N630,"$",""),",","")),0)</f>
        <v>0</v>
      </c>
      <c r="P630" s="10" t="n">
        <f aca="false">IFERROR(VALUE(SUBSTITUTE(SUBSTITUTE(Raw_Donors!O630,"$",""),",","")),0)</f>
        <v>0</v>
      </c>
      <c r="Q630" s="10" t="n">
        <f aca="false">IFERROR(VALUE(SUBSTITUTE(SUBSTITUTE(Raw_Donors!P630,"$",""),",","")),0)</f>
        <v>0</v>
      </c>
      <c r="R630" s="10" t="n">
        <f aca="false">Raw_Donors!Q630</f>
        <v>10</v>
      </c>
      <c r="S630" s="9" t="str">
        <f aca="false">Raw_Donors!R630</f>
        <v>Y</v>
      </c>
      <c r="T630" s="9" t="str">
        <f aca="false">IF(Raw_Donors!S630="","",Raw_Donors!S630)</f>
        <v/>
      </c>
      <c r="U630" s="9" t="str">
        <f aca="false">IF(AND((O630+P630)&gt;0,Q630=0),"Lapsed - Follow Up","")</f>
        <v/>
      </c>
      <c r="V630" s="9" t="n">
        <f aca="false">RANK(R630,$R$2:$R$759)+COUNTIF($R$2:R630,R630)-1</f>
        <v>505</v>
      </c>
      <c r="W630" s="9" t="str">
        <f aca="false">IF(U630="Lapsed - Follow Up",COUNTIF($U$2:U630,"Lapsed - Follow Up"),"")</f>
        <v/>
      </c>
    </row>
    <row r="631" customFormat="false" ht="15" hidden="false" customHeight="true" outlineLevel="0" collapsed="false">
      <c r="A631" s="9" t="str">
        <f aca="false">Raw_Donors!A631</f>
        <v>D1629</v>
      </c>
      <c r="B631" s="9" t="str">
        <f aca="false">IF(ISNUMBER(SEARCH("-DUP",A631)),"Duplicate ID","")</f>
        <v/>
      </c>
      <c r="C631" s="9" t="n">
        <f aca="false">Raw_Donors!B631</f>
        <v>68854</v>
      </c>
      <c r="D631" s="9" t="n">
        <f aca="false">Raw_Donors!C631</f>
        <v>0</v>
      </c>
      <c r="E631" s="9" t="str">
        <f aca="false">IFERROR(IF(Raw_Donors!D631="","Unknown",Raw_Donors!D631),"Unknown")</f>
        <v>Married</v>
      </c>
      <c r="F631" s="9" t="str">
        <f aca="false">IFERROR(IF(Raw_Donors!E631="","Unknown",Raw_Donors!E631),"Unknown")</f>
        <v>Male</v>
      </c>
      <c r="G631" s="9" t="str">
        <f aca="false">PROPER(TRIM(Raw_Donors!F631))</f>
        <v>Individual Donor</v>
      </c>
      <c r="H631" s="9" t="str">
        <f aca="false">IFERROR(IF(Raw_Donors!G631="","N",Raw_Donors!G631),"N")</f>
        <v>N</v>
      </c>
      <c r="I631" s="9" t="str">
        <f aca="false">IF(Raw_Donors!H631="","Not Rated",Raw_Donors!H631)</f>
        <v>Not Rated</v>
      </c>
      <c r="J631" s="9" t="str">
        <f aca="false">IF(TRIM(Raw_Donors!I631)="","Unknown",TRIM(Raw_Donors!I631))</f>
        <v>HOME</v>
      </c>
      <c r="K631" s="9" t="str">
        <f aca="false">Raw_Donors!J631</f>
        <v>N</v>
      </c>
      <c r="L631" s="9" t="n">
        <f aca="false">Raw_Donors!K631</f>
        <v>1</v>
      </c>
      <c r="M631" s="10" t="n">
        <f aca="false">IFERROR(VALUE(SUBSTITUTE(SUBSTITUTE(Raw_Donors!L631,"$",""),",","")),0)</f>
        <v>0</v>
      </c>
      <c r="N631" s="10" t="n">
        <f aca="false">IFERROR(VALUE(SUBSTITUTE(SUBSTITUTE(Raw_Donors!M631,"$",""),",","")),0)</f>
        <v>0</v>
      </c>
      <c r="O631" s="10" t="n">
        <f aca="false">IFERROR(VALUE(SUBSTITUTE(SUBSTITUTE(Raw_Donors!N631,"$",""),",","")),0)</f>
        <v>0</v>
      </c>
      <c r="P631" s="10" t="n">
        <f aca="false">IFERROR(VALUE(SUBSTITUTE(SUBSTITUTE(Raw_Donors!O631,"$",""),",","")),0)</f>
        <v>0</v>
      </c>
      <c r="Q631" s="10" t="n">
        <f aca="false">IFERROR(VALUE(SUBSTITUTE(SUBSTITUTE(Raw_Donors!P631,"$",""),",","")),0)</f>
        <v>100</v>
      </c>
      <c r="R631" s="10" t="n">
        <f aca="false">Raw_Donors!Q631</f>
        <v>100</v>
      </c>
      <c r="S631" s="9" t="str">
        <f aca="false">Raw_Donors!R631</f>
        <v>Y</v>
      </c>
      <c r="T631" s="9" t="str">
        <f aca="false">IF(Raw_Donors!S631="","",Raw_Donors!S631)</f>
        <v/>
      </c>
      <c r="U631" s="9" t="str">
        <f aca="false">IF(AND((O631+P631)&gt;0,Q631=0),"Lapsed - Follow Up","")</f>
        <v/>
      </c>
      <c r="V631" s="9" t="n">
        <f aca="false">RANK(R631,$R$2:$R$759)+COUNTIF($R$2:R631,R631)-1</f>
        <v>299</v>
      </c>
      <c r="W631" s="9" t="str">
        <f aca="false">IF(U631="Lapsed - Follow Up",COUNTIF($U$2:U631,"Lapsed - Follow Up"),"")</f>
        <v/>
      </c>
    </row>
    <row r="632" customFormat="false" ht="15" hidden="false" customHeight="true" outlineLevel="0" collapsed="false">
      <c r="A632" s="9" t="str">
        <f aca="false">Raw_Donors!A632</f>
        <v>D1630</v>
      </c>
      <c r="B632" s="9" t="str">
        <f aca="false">IF(ISNUMBER(SEARCH("-DUP",A632)),"Duplicate ID","")</f>
        <v/>
      </c>
      <c r="C632" s="9" t="n">
        <f aca="false">Raw_Donors!B632</f>
        <v>90265</v>
      </c>
      <c r="D632" s="9" t="n">
        <f aca="false">Raw_Donors!C632</f>
        <v>0</v>
      </c>
      <c r="E632" s="9" t="str">
        <f aca="false">IFERROR(IF(Raw_Donors!D632="","Unknown",Raw_Donors!D632),"Unknown")</f>
        <v>Unknown</v>
      </c>
      <c r="F632" s="9" t="str">
        <f aca="false">IFERROR(IF(Raw_Donors!E632="","Unknown",Raw_Donors!E632),"Unknown")</f>
        <v>Male</v>
      </c>
      <c r="G632" s="9" t="str">
        <f aca="false">PROPER(TRIM(Raw_Donors!F632))</f>
        <v>Individual Donor</v>
      </c>
      <c r="H632" s="9" t="str">
        <f aca="false">IFERROR(IF(Raw_Donors!G632="","N",Raw_Donors!G632),"N")</f>
        <v>N</v>
      </c>
      <c r="I632" s="9" t="str">
        <f aca="false">IF(Raw_Donors!H632="","Not Rated",Raw_Donors!H632)</f>
        <v>Not Rated</v>
      </c>
      <c r="J632" s="9" t="str">
        <f aca="false">IF(TRIM(Raw_Donors!I632)="","Unknown",TRIM(Raw_Donors!I632))</f>
        <v>HOME</v>
      </c>
      <c r="K632" s="9" t="str">
        <f aca="false">Raw_Donors!J632</f>
        <v>Y</v>
      </c>
      <c r="L632" s="9" t="n">
        <f aca="false">Raw_Donors!K632</f>
        <v>2</v>
      </c>
      <c r="M632" s="10" t="n">
        <f aca="false">IFERROR(VALUE(SUBSTITUTE(SUBSTITUTE(Raw_Donors!L632,"$",""),",","")),0)</f>
        <v>0</v>
      </c>
      <c r="N632" s="10" t="n">
        <f aca="false">IFERROR(VALUE(SUBSTITUTE(SUBSTITUTE(Raw_Donors!M632,"$",""),",","")),0)</f>
        <v>0</v>
      </c>
      <c r="O632" s="10" t="n">
        <f aca="false">IFERROR(VALUE(SUBSTITUTE(SUBSTITUTE(Raw_Donors!N632,"$",""),",","")),0)</f>
        <v>0</v>
      </c>
      <c r="P632" s="10" t="n">
        <f aca="false">IFERROR(VALUE(SUBSTITUTE(SUBSTITUTE(Raw_Donors!O632,"$",""),",","")),0)</f>
        <v>0</v>
      </c>
      <c r="Q632" s="10" t="n">
        <f aca="false">IFERROR(VALUE(SUBSTITUTE(SUBSTITUTE(Raw_Donors!P632,"$",""),",","")),0)</f>
        <v>0</v>
      </c>
      <c r="R632" s="10" t="n">
        <f aca="false">Raw_Donors!Q632</f>
        <v>0</v>
      </c>
      <c r="S632" s="9" t="str">
        <f aca="false">Raw_Donors!R632</f>
        <v>N</v>
      </c>
      <c r="T632" s="9" t="str">
        <f aca="false">IF(Raw_Donors!S632="","",Raw_Donors!S632)</f>
        <v/>
      </c>
      <c r="U632" s="9" t="str">
        <f aca="false">IF(AND((O632+P632)&gt;0,Q632=0),"Lapsed - Follow Up","")</f>
        <v/>
      </c>
      <c r="V632" s="9" t="n">
        <f aca="false">RANK(R632,$R$2:$R$759)+COUNTIF($R$2:R632,R632)-1</f>
        <v>725</v>
      </c>
      <c r="W632" s="9" t="str">
        <f aca="false">IF(U632="Lapsed - Follow Up",COUNTIF($U$2:U632,"Lapsed - Follow Up"),"")</f>
        <v/>
      </c>
    </row>
    <row r="633" customFormat="false" ht="15" hidden="false" customHeight="true" outlineLevel="0" collapsed="false">
      <c r="A633" s="9" t="str">
        <f aca="false">Raw_Donors!A633</f>
        <v>D1631</v>
      </c>
      <c r="B633" s="9" t="str">
        <f aca="false">IF(ISNUMBER(SEARCH("-DUP",A633)),"Duplicate ID","")</f>
        <v/>
      </c>
      <c r="C633" s="9" t="n">
        <f aca="false">Raw_Donors!B633</f>
        <v>85911</v>
      </c>
      <c r="D633" s="9" t="n">
        <f aca="false">Raw_Donors!C633</f>
        <v>54</v>
      </c>
      <c r="E633" s="9" t="str">
        <f aca="false">IFERROR(IF(Raw_Donors!D633="","Unknown",Raw_Donors!D633),"Unknown")</f>
        <v>Unknown</v>
      </c>
      <c r="F633" s="9" t="str">
        <f aca="false">IFERROR(IF(Raw_Donors!E633="","Unknown",Raw_Donors!E633),"Unknown")</f>
        <v>Male</v>
      </c>
      <c r="G633" s="9" t="str">
        <f aca="false">PROPER(TRIM(Raw_Donors!F633))</f>
        <v>Community Partner</v>
      </c>
      <c r="H633" s="9" t="str">
        <f aca="false">IFERROR(IF(Raw_Donors!G633="","N",Raw_Donors!G633),"N")</f>
        <v>Y</v>
      </c>
      <c r="I633" s="9" t="str">
        <f aca="false">IF(Raw_Donors!H633="","Not Rated",Raw_Donors!H633)</f>
        <v>Not Rated</v>
      </c>
      <c r="J633" s="9" t="str">
        <f aca="false">IF(TRIM(Raw_Donors!I633)="","Unknown",TRIM(Raw_Donors!I633))</f>
        <v>HOME</v>
      </c>
      <c r="K633" s="9" t="str">
        <f aca="false">Raw_Donors!J633</f>
        <v>N</v>
      </c>
      <c r="L633" s="9" t="n">
        <f aca="false">Raw_Donors!K633</f>
        <v>3</v>
      </c>
      <c r="M633" s="10" t="n">
        <f aca="false">IFERROR(VALUE(SUBSTITUTE(SUBSTITUTE(Raw_Donors!L633,"$",""),",","")),0)</f>
        <v>0</v>
      </c>
      <c r="N633" s="10" t="n">
        <f aca="false">IFERROR(VALUE(SUBSTITUTE(SUBSTITUTE(Raw_Donors!M633,"$",""),",","")),0)</f>
        <v>20</v>
      </c>
      <c r="O633" s="10" t="n">
        <f aca="false">IFERROR(VALUE(SUBSTITUTE(SUBSTITUTE(Raw_Donors!N633,"$",""),",","")),0)</f>
        <v>0</v>
      </c>
      <c r="P633" s="10" t="n">
        <f aca="false">IFERROR(VALUE(SUBSTITUTE(SUBSTITUTE(Raw_Donors!O633,"$",""),",","")),0)</f>
        <v>0</v>
      </c>
      <c r="Q633" s="10" t="n">
        <f aca="false">IFERROR(VALUE(SUBSTITUTE(SUBSTITUTE(Raw_Donors!P633,"$",""),",","")),0)</f>
        <v>0</v>
      </c>
      <c r="R633" s="10" t="n">
        <f aca="false">Raw_Donors!Q633</f>
        <v>20</v>
      </c>
      <c r="S633" s="9" t="str">
        <f aca="false">Raw_Donors!R633</f>
        <v>Y</v>
      </c>
      <c r="T633" s="9" t="str">
        <f aca="false">IF(Raw_Donors!S633="","",Raw_Donors!S633)</f>
        <v>1963-05-26</v>
      </c>
      <c r="U633" s="9" t="str">
        <f aca="false">IF(AND((O633+P633)&gt;0,Q633=0),"Lapsed - Follow Up","")</f>
        <v/>
      </c>
      <c r="V633" s="9" t="n">
        <f aca="false">RANK(R633,$R$2:$R$759)+COUNTIF($R$2:R633,R633)-1</f>
        <v>475</v>
      </c>
      <c r="W633" s="9" t="str">
        <f aca="false">IF(U633="Lapsed - Follow Up",COUNTIF($U$2:U633,"Lapsed - Follow Up"),"")</f>
        <v/>
      </c>
    </row>
    <row r="634" customFormat="false" ht="15" hidden="false" customHeight="true" outlineLevel="0" collapsed="false">
      <c r="A634" s="9" t="str">
        <f aca="false">Raw_Donors!A634</f>
        <v>D1632</v>
      </c>
      <c r="B634" s="9" t="str">
        <f aca="false">IF(ISNUMBER(SEARCH("-DUP",A634)),"Duplicate ID","")</f>
        <v/>
      </c>
      <c r="C634" s="9" t="n">
        <f aca="false">Raw_Donors!B634</f>
        <v>90265</v>
      </c>
      <c r="D634" s="9" t="n">
        <f aca="false">Raw_Donors!C634</f>
        <v>43</v>
      </c>
      <c r="E634" s="9" t="str">
        <f aca="false">IFERROR(IF(Raw_Donors!D634="","Unknown",Raw_Donors!D634),"Unknown")</f>
        <v>Unknown</v>
      </c>
      <c r="F634" s="9" t="str">
        <f aca="false">IFERROR(IF(Raw_Donors!E634="","Unknown",Raw_Donors!E634),"Unknown")</f>
        <v>Unknown</v>
      </c>
      <c r="G634" s="9" t="str">
        <f aca="false">PROPER(TRIM(Raw_Donors!F634))</f>
        <v>Individual Donor</v>
      </c>
      <c r="H634" s="9" t="str">
        <f aca="false">IFERROR(IF(Raw_Donors!G634="","N",Raw_Donors!G634),"N")</f>
        <v>N</v>
      </c>
      <c r="I634" s="9" t="str">
        <f aca="false">IF(Raw_Donors!H634="","Not Rated",Raw_Donors!H634)</f>
        <v>Not Rated</v>
      </c>
      <c r="J634" s="9" t="str">
        <f aca="false">IF(TRIM(Raw_Donors!I634)="","Unknown",TRIM(Raw_Donors!I634))</f>
        <v>HOME</v>
      </c>
      <c r="K634" s="9" t="str">
        <f aca="false">Raw_Donors!J634</f>
        <v>N</v>
      </c>
      <c r="L634" s="9" t="n">
        <f aca="false">Raw_Donors!K634</f>
        <v>0</v>
      </c>
      <c r="M634" s="10" t="n">
        <f aca="false">IFERROR(VALUE(SUBSTITUTE(SUBSTITUTE(Raw_Donors!L634,"$",""),",","")),0)</f>
        <v>0</v>
      </c>
      <c r="N634" s="10" t="n">
        <f aca="false">IFERROR(VALUE(SUBSTITUTE(SUBSTITUTE(Raw_Donors!M634,"$",""),",","")),0)</f>
        <v>0</v>
      </c>
      <c r="O634" s="10" t="n">
        <f aca="false">IFERROR(VALUE(SUBSTITUTE(SUBSTITUTE(Raw_Donors!N634,"$",""),",","")),0)</f>
        <v>0</v>
      </c>
      <c r="P634" s="10" t="n">
        <f aca="false">IFERROR(VALUE(SUBSTITUTE(SUBSTITUTE(Raw_Donors!O634,"$",""),",","")),0)</f>
        <v>0</v>
      </c>
      <c r="Q634" s="10" t="n">
        <f aca="false">IFERROR(VALUE(SUBSTITUTE(SUBSTITUTE(Raw_Donors!P634,"$",""),",","")),0)</f>
        <v>0</v>
      </c>
      <c r="R634" s="10" t="n">
        <f aca="false">Raw_Donors!Q634</f>
        <v>0</v>
      </c>
      <c r="S634" s="9" t="str">
        <f aca="false">Raw_Donors!R634</f>
        <v>N</v>
      </c>
      <c r="T634" s="9" t="str">
        <f aca="false">IF(Raw_Donors!S634="","",Raw_Donors!S634)</f>
        <v>1974-09-20</v>
      </c>
      <c r="U634" s="9" t="str">
        <f aca="false">IF(AND((O634+P634)&gt;0,Q634=0),"Lapsed - Follow Up","")</f>
        <v/>
      </c>
      <c r="V634" s="9" t="n">
        <f aca="false">RANK(R634,$R$2:$R$759)+COUNTIF($R$2:R634,R634)-1</f>
        <v>726</v>
      </c>
      <c r="W634" s="9" t="str">
        <f aca="false">IF(U634="Lapsed - Follow Up",COUNTIF($U$2:U634,"Lapsed - Follow Up"),"")</f>
        <v/>
      </c>
    </row>
    <row r="635" customFormat="false" ht="15" hidden="false" customHeight="true" outlineLevel="0" collapsed="false">
      <c r="A635" s="9" t="str">
        <f aca="false">Raw_Donors!A635</f>
        <v>D1633</v>
      </c>
      <c r="B635" s="9" t="str">
        <f aca="false">IF(ISNUMBER(SEARCH("-DUP",A635)),"Duplicate ID","")</f>
        <v/>
      </c>
      <c r="C635" s="9" t="n">
        <f aca="false">Raw_Donors!B635</f>
        <v>98339</v>
      </c>
      <c r="D635" s="9" t="n">
        <f aca="false">Raw_Donors!C635</f>
        <v>24</v>
      </c>
      <c r="E635" s="9" t="str">
        <f aca="false">IFERROR(IF(Raw_Donors!D635="","Unknown",Raw_Donors!D635),"Unknown")</f>
        <v>Unknown</v>
      </c>
      <c r="F635" s="9" t="str">
        <f aca="false">IFERROR(IF(Raw_Donors!E635="","Unknown",Raw_Donors!E635),"Unknown")</f>
        <v>Female</v>
      </c>
      <c r="G635" s="9" t="str">
        <f aca="false">PROPER(TRIM(Raw_Donors!F635))</f>
        <v>Community Partner</v>
      </c>
      <c r="H635" s="9" t="str">
        <f aca="false">IFERROR(IF(Raw_Donors!G635="","N",Raw_Donors!G635),"N")</f>
        <v>Y</v>
      </c>
      <c r="I635" s="9" t="str">
        <f aca="false">IF(Raw_Donors!H635="","Not Rated",Raw_Donors!H635)</f>
        <v>Not Rated</v>
      </c>
      <c r="J635" s="9" t="str">
        <f aca="false">IF(TRIM(Raw_Donors!I635)="","Unknown",TRIM(Raw_Donors!I635))</f>
        <v>HOME</v>
      </c>
      <c r="K635" s="9" t="str">
        <f aca="false">Raw_Donors!J635</f>
        <v>N</v>
      </c>
      <c r="L635" s="9" t="n">
        <f aca="false">Raw_Donors!K635</f>
        <v>0</v>
      </c>
      <c r="M635" s="10" t="n">
        <f aca="false">IFERROR(VALUE(SUBSTITUTE(SUBSTITUTE(Raw_Donors!L635,"$",""),",","")),0)</f>
        <v>0</v>
      </c>
      <c r="N635" s="10" t="n">
        <f aca="false">IFERROR(VALUE(SUBSTITUTE(SUBSTITUTE(Raw_Donors!M635,"$",""),",","")),0)</f>
        <v>0</v>
      </c>
      <c r="O635" s="10" t="n">
        <f aca="false">IFERROR(VALUE(SUBSTITUTE(SUBSTITUTE(Raw_Donors!N635,"$",""),",","")),0)</f>
        <v>0</v>
      </c>
      <c r="P635" s="10" t="n">
        <f aca="false">IFERROR(VALUE(SUBSTITUTE(SUBSTITUTE(Raw_Donors!O635,"$",""),",","")),0)</f>
        <v>0</v>
      </c>
      <c r="Q635" s="10" t="n">
        <f aca="false">IFERROR(VALUE(SUBSTITUTE(SUBSTITUTE(Raw_Donors!P635,"$",""),",","")),0)</f>
        <v>0</v>
      </c>
      <c r="R635" s="10" t="n">
        <f aca="false">Raw_Donors!Q635</f>
        <v>0</v>
      </c>
      <c r="S635" s="9" t="str">
        <f aca="false">Raw_Donors!R635</f>
        <v>N</v>
      </c>
      <c r="T635" s="9" t="str">
        <f aca="false">IF(Raw_Donors!S635="","",Raw_Donors!S635)</f>
        <v>1993-09-10</v>
      </c>
      <c r="U635" s="9" t="str">
        <f aca="false">IF(AND((O635+P635)&gt;0,Q635=0),"Lapsed - Follow Up","")</f>
        <v/>
      </c>
      <c r="V635" s="9" t="n">
        <f aca="false">RANK(R635,$R$2:$R$759)+COUNTIF($R$2:R635,R635)-1</f>
        <v>727</v>
      </c>
      <c r="W635" s="9" t="str">
        <f aca="false">IF(U635="Lapsed - Follow Up",COUNTIF($U$2:U635,"Lapsed - Follow Up"),"")</f>
        <v/>
      </c>
    </row>
    <row r="636" customFormat="false" ht="15" hidden="false" customHeight="true" outlineLevel="0" collapsed="false">
      <c r="A636" s="9" t="str">
        <f aca="false">Raw_Donors!A636</f>
        <v>D1634</v>
      </c>
      <c r="B636" s="9" t="str">
        <f aca="false">IF(ISNUMBER(SEARCH("-DUP",A636)),"Duplicate ID","")</f>
        <v/>
      </c>
      <c r="C636" s="9" t="n">
        <f aca="false">Raw_Donors!B636</f>
        <v>13744</v>
      </c>
      <c r="D636" s="9" t="n">
        <f aca="false">Raw_Donors!C636</f>
        <v>25</v>
      </c>
      <c r="E636" s="9" t="str">
        <f aca="false">IFERROR(IF(Raw_Donors!D636="","Unknown",Raw_Donors!D636),"Unknown")</f>
        <v>Unknown</v>
      </c>
      <c r="F636" s="9" t="str">
        <f aca="false">IFERROR(IF(Raw_Donors!E636="","Unknown",Raw_Donors!E636),"Unknown")</f>
        <v>Female</v>
      </c>
      <c r="G636" s="9" t="str">
        <f aca="false">PROPER(TRIM(Raw_Donors!F636))</f>
        <v>Individual Donor</v>
      </c>
      <c r="H636" s="9" t="str">
        <f aca="false">IFERROR(IF(Raw_Donors!G636="","N",Raw_Donors!G636),"N")</f>
        <v>N</v>
      </c>
      <c r="I636" s="9" t="str">
        <f aca="false">IF(Raw_Donors!H636="","Not Rated",Raw_Donors!H636)</f>
        <v>Not Rated</v>
      </c>
      <c r="J636" s="9" t="str">
        <f aca="false">IF(TRIM(Raw_Donors!I636)="","Unknown",TRIM(Raw_Donors!I636))</f>
        <v>CAMP</v>
      </c>
      <c r="K636" s="9" t="str">
        <f aca="false">Raw_Donors!J636</f>
        <v>Y</v>
      </c>
      <c r="L636" s="9" t="n">
        <f aca="false">Raw_Donors!K636</f>
        <v>0</v>
      </c>
      <c r="M636" s="10" t="n">
        <f aca="false">IFERROR(VALUE(SUBSTITUTE(SUBSTITUTE(Raw_Donors!L636,"$",""),",","")),0)</f>
        <v>0</v>
      </c>
      <c r="N636" s="10" t="n">
        <f aca="false">IFERROR(VALUE(SUBSTITUTE(SUBSTITUTE(Raw_Donors!M636,"$",""),",","")),0)</f>
        <v>0</v>
      </c>
      <c r="O636" s="10" t="n">
        <f aca="false">IFERROR(VALUE(SUBSTITUTE(SUBSTITUTE(Raw_Donors!N636,"$",""),",","")),0)</f>
        <v>120</v>
      </c>
      <c r="P636" s="10" t="n">
        <f aca="false">IFERROR(VALUE(SUBSTITUTE(SUBSTITUTE(Raw_Donors!O636,"$",""),",","")),0)</f>
        <v>100</v>
      </c>
      <c r="Q636" s="10" t="n">
        <f aca="false">IFERROR(VALUE(SUBSTITUTE(SUBSTITUTE(Raw_Donors!P636,"$",""),",","")),0)</f>
        <v>0</v>
      </c>
      <c r="R636" s="10" t="n">
        <f aca="false">Raw_Donors!Q636</f>
        <v>220</v>
      </c>
      <c r="S636" s="9" t="str">
        <f aca="false">Raw_Donors!R636</f>
        <v>Y</v>
      </c>
      <c r="T636" s="9" t="str">
        <f aca="false">IF(Raw_Donors!S636="","",Raw_Donors!S636)</f>
        <v>1992-05-16</v>
      </c>
      <c r="U636" s="9" t="str">
        <f aca="false">IF(AND((O636+P636)&gt;0,Q636=0),"Lapsed - Follow Up","")</f>
        <v>Lapsed - Follow Up</v>
      </c>
      <c r="V636" s="9" t="n">
        <f aca="false">RANK(R636,$R$2:$R$759)+COUNTIF($R$2:R636,R636)-1</f>
        <v>187</v>
      </c>
      <c r="W636" s="9" t="n">
        <f aca="false">IF(U636="Lapsed - Follow Up",COUNTIF($U$2:U636,"Lapsed - Follow Up"),"")</f>
        <v>92</v>
      </c>
    </row>
    <row r="637" customFormat="false" ht="15" hidden="false" customHeight="true" outlineLevel="0" collapsed="false">
      <c r="A637" s="9" t="str">
        <f aca="false">Raw_Donors!A637</f>
        <v>D1635</v>
      </c>
      <c r="B637" s="9" t="str">
        <f aca="false">IF(ISNUMBER(SEARCH("-DUP",A637)),"Duplicate ID","")</f>
        <v/>
      </c>
      <c r="C637" s="9" t="n">
        <f aca="false">Raw_Donors!B637</f>
        <v>51232</v>
      </c>
      <c r="D637" s="9" t="n">
        <f aca="false">Raw_Donors!C637</f>
        <v>0</v>
      </c>
      <c r="E637" s="9" t="str">
        <f aca="false">IFERROR(IF(Raw_Donors!D637="","Unknown",Raw_Donors!D637),"Unknown")</f>
        <v>Married</v>
      </c>
      <c r="F637" s="9" t="str">
        <f aca="false">IFERROR(IF(Raw_Donors!E637="","Unknown",Raw_Donors!E637),"Unknown")</f>
        <v>Female</v>
      </c>
      <c r="G637" s="9" t="str">
        <f aca="false">PROPER(TRIM(Raw_Donors!F637))</f>
        <v>Community Partner</v>
      </c>
      <c r="H637" s="9" t="str">
        <f aca="false">IFERROR(IF(Raw_Donors!G637="","N",Raw_Donors!G637),"N")</f>
        <v>Y</v>
      </c>
      <c r="I637" s="9" t="str">
        <f aca="false">IF(Raw_Donors!H637="","Not Rated",Raw_Donors!H637)</f>
        <v>Not Rated</v>
      </c>
      <c r="J637" s="9" t="str">
        <f aca="false">IF(TRIM(Raw_Donors!I637)="","Unknown",TRIM(Raw_Donors!I637))</f>
        <v>HOME</v>
      </c>
      <c r="K637" s="9" t="str">
        <f aca="false">Raw_Donors!J637</f>
        <v>N</v>
      </c>
      <c r="L637" s="9" t="n">
        <f aca="false">Raw_Donors!K637</f>
        <v>11</v>
      </c>
      <c r="M637" s="10" t="n">
        <f aca="false">IFERROR(VALUE(SUBSTITUTE(SUBSTITUTE(Raw_Donors!L637,"$",""),",","")),0)</f>
        <v>0</v>
      </c>
      <c r="N637" s="10" t="n">
        <f aca="false">IFERROR(VALUE(SUBSTITUTE(SUBSTITUTE(Raw_Donors!M637,"$",""),",","")),0)</f>
        <v>0</v>
      </c>
      <c r="O637" s="10" t="n">
        <f aca="false">IFERROR(VALUE(SUBSTITUTE(SUBSTITUTE(Raw_Donors!N637,"$",""),",","")),0)</f>
        <v>0</v>
      </c>
      <c r="P637" s="10" t="n">
        <f aca="false">IFERROR(VALUE(SUBSTITUTE(SUBSTITUTE(Raw_Donors!O637,"$",""),",","")),0)</f>
        <v>0</v>
      </c>
      <c r="Q637" s="10" t="n">
        <f aca="false">IFERROR(VALUE(SUBSTITUTE(SUBSTITUTE(Raw_Donors!P637,"$",""),",","")),0)</f>
        <v>0</v>
      </c>
      <c r="R637" s="10" t="n">
        <f aca="false">Raw_Donors!Q637</f>
        <v>1195</v>
      </c>
      <c r="S637" s="9" t="str">
        <f aca="false">Raw_Donors!R637</f>
        <v>Y</v>
      </c>
      <c r="T637" s="9" t="str">
        <f aca="false">IF(Raw_Donors!S637="","",Raw_Donors!S637)</f>
        <v/>
      </c>
      <c r="U637" s="9" t="str">
        <f aca="false">IF(AND((O637+P637)&gt;0,Q637=0),"Lapsed - Follow Up","")</f>
        <v/>
      </c>
      <c r="V637" s="9" t="n">
        <f aca="false">RANK(R637,$R$2:$R$759)+COUNTIF($R$2:R637,R637)-1</f>
        <v>49</v>
      </c>
      <c r="W637" s="9" t="str">
        <f aca="false">IF(U637="Lapsed - Follow Up",COUNTIF($U$2:U637,"Lapsed - Follow Up"),"")</f>
        <v/>
      </c>
    </row>
    <row r="638" customFormat="false" ht="15" hidden="false" customHeight="true" outlineLevel="0" collapsed="false">
      <c r="A638" s="9" t="str">
        <f aca="false">Raw_Donors!A638</f>
        <v>D1636</v>
      </c>
      <c r="B638" s="9" t="str">
        <f aca="false">IF(ISNUMBER(SEARCH("-DUP",A638)),"Duplicate ID","")</f>
        <v/>
      </c>
      <c r="C638" s="9" t="n">
        <f aca="false">Raw_Donors!B638</f>
        <v>80745</v>
      </c>
      <c r="D638" s="9" t="n">
        <f aca="false">Raw_Donors!C638</f>
        <v>0</v>
      </c>
      <c r="E638" s="9" t="str">
        <f aca="false">IFERROR(IF(Raw_Donors!D638="","Unknown",Raw_Donors!D638),"Unknown")</f>
        <v>Single</v>
      </c>
      <c r="F638" s="9" t="str">
        <f aca="false">IFERROR(IF(Raw_Donors!E638="","Unknown",Raw_Donors!E638),"Unknown")</f>
        <v>Uknown</v>
      </c>
      <c r="G638" s="9" t="str">
        <f aca="false">PROPER(TRIM(Raw_Donors!F638))</f>
        <v>Individual Donor</v>
      </c>
      <c r="H638" s="9" t="str">
        <f aca="false">IFERROR(IF(Raw_Donors!G638="","N",Raw_Donors!G638),"N")</f>
        <v>Y</v>
      </c>
      <c r="I638" s="9" t="str">
        <f aca="false">IF(Raw_Donors!H638="","Not Rated",Raw_Donors!H638)</f>
        <v>Not Rated</v>
      </c>
      <c r="J638" s="9" t="str">
        <f aca="false">IF(TRIM(Raw_Donors!I638)="","Unknown",TRIM(Raw_Donors!I638))</f>
        <v>Unknown</v>
      </c>
      <c r="K638" s="9" t="str">
        <f aca="false">Raw_Donors!J638</f>
        <v>N</v>
      </c>
      <c r="L638" s="9" t="n">
        <f aca="false">Raw_Donors!K638</f>
        <v>0</v>
      </c>
      <c r="M638" s="10" t="n">
        <f aca="false">IFERROR(VALUE(SUBSTITUTE(SUBSTITUTE(Raw_Donors!L638,"$",""),",","")),0)</f>
        <v>0</v>
      </c>
      <c r="N638" s="10" t="n">
        <f aca="false">IFERROR(VALUE(SUBSTITUTE(SUBSTITUTE(Raw_Donors!M638,"$",""),",","")),0)</f>
        <v>0</v>
      </c>
      <c r="O638" s="10" t="n">
        <f aca="false">IFERROR(VALUE(SUBSTITUTE(SUBSTITUTE(Raw_Donors!N638,"$",""),",","")),0)</f>
        <v>0</v>
      </c>
      <c r="P638" s="10" t="n">
        <f aca="false">IFERROR(VALUE(SUBSTITUTE(SUBSTITUTE(Raw_Donors!O638,"$",""),",","")),0)</f>
        <v>0</v>
      </c>
      <c r="Q638" s="10" t="n">
        <f aca="false">IFERROR(VALUE(SUBSTITUTE(SUBSTITUTE(Raw_Donors!P638,"$",""),",","")),0)</f>
        <v>270</v>
      </c>
      <c r="R638" s="10" t="n">
        <f aca="false">Raw_Donors!Q638</f>
        <v>270</v>
      </c>
      <c r="S638" s="9" t="str">
        <f aca="false">Raw_Donors!R638</f>
        <v>Y</v>
      </c>
      <c r="T638" s="9" t="str">
        <f aca="false">IF(Raw_Donors!S638="","",Raw_Donors!S638)</f>
        <v/>
      </c>
      <c r="U638" s="9" t="str">
        <f aca="false">IF(AND((O638+P638)&gt;0,Q638=0),"Lapsed - Follow Up","")</f>
        <v/>
      </c>
      <c r="V638" s="9" t="n">
        <f aca="false">RANK(R638,$R$2:$R$759)+COUNTIF($R$2:R638,R638)-1</f>
        <v>153</v>
      </c>
      <c r="W638" s="9" t="str">
        <f aca="false">IF(U638="Lapsed - Follow Up",COUNTIF($U$2:U638,"Lapsed - Follow Up"),"")</f>
        <v/>
      </c>
    </row>
    <row r="639" customFormat="false" ht="15" hidden="false" customHeight="true" outlineLevel="0" collapsed="false">
      <c r="A639" s="9" t="str">
        <f aca="false">Raw_Donors!A639</f>
        <v>D1637</v>
      </c>
      <c r="B639" s="9" t="str">
        <f aca="false">IF(ISNUMBER(SEARCH("-DUP",A639)),"Duplicate ID","")</f>
        <v/>
      </c>
      <c r="C639" s="9" t="n">
        <f aca="false">Raw_Donors!B639</f>
        <v>30350</v>
      </c>
      <c r="D639" s="9" t="n">
        <f aca="false">Raw_Donors!C639</f>
        <v>0</v>
      </c>
      <c r="E639" s="9" t="str">
        <f aca="false">IFERROR(IF(Raw_Donors!D639="","Unknown",Raw_Donors!D639),"Unknown")</f>
        <v>Unknown</v>
      </c>
      <c r="F639" s="9" t="str">
        <f aca="false">IFERROR(IF(Raw_Donors!E639="","Unknown",Raw_Donors!E639),"Unknown")</f>
        <v>Male</v>
      </c>
      <c r="G639" s="9" t="str">
        <f aca="false">PROPER(TRIM(Raw_Donors!F639))</f>
        <v>Individual Donor</v>
      </c>
      <c r="H639" s="9" t="str">
        <f aca="false">IFERROR(IF(Raw_Donors!G639="","N",Raw_Donors!G639),"N")</f>
        <v>N</v>
      </c>
      <c r="I639" s="9" t="str">
        <f aca="false">IF(Raw_Donors!H639="","Not Rated",Raw_Donors!H639)</f>
        <v>Not Rated</v>
      </c>
      <c r="J639" s="9" t="str">
        <f aca="false">IF(TRIM(Raw_Donors!I639)="","Unknown",TRIM(Raw_Donors!I639))</f>
        <v>Unknown</v>
      </c>
      <c r="K639" s="9" t="str">
        <f aca="false">Raw_Donors!J639</f>
        <v>N</v>
      </c>
      <c r="L639" s="9" t="n">
        <f aca="false">Raw_Donors!K639</f>
        <v>1</v>
      </c>
      <c r="M639" s="10" t="n">
        <f aca="false">IFERROR(VALUE(SUBSTITUTE(SUBSTITUTE(Raw_Donors!L639,"$",""),",","")),0)</f>
        <v>0</v>
      </c>
      <c r="N639" s="10" t="n">
        <f aca="false">IFERROR(VALUE(SUBSTITUTE(SUBSTITUTE(Raw_Donors!M639,"$",""),",","")),0)</f>
        <v>0</v>
      </c>
      <c r="O639" s="10" t="n">
        <f aca="false">IFERROR(VALUE(SUBSTITUTE(SUBSTITUTE(Raw_Donors!N639,"$",""),",","")),0)</f>
        <v>0</v>
      </c>
      <c r="P639" s="10" t="n">
        <f aca="false">IFERROR(VALUE(SUBSTITUTE(SUBSTITUTE(Raw_Donors!O639,"$",""),",","")),0)</f>
        <v>0</v>
      </c>
      <c r="Q639" s="10" t="n">
        <f aca="false">IFERROR(VALUE(SUBSTITUTE(SUBSTITUTE(Raw_Donors!P639,"$",""),",","")),0)</f>
        <v>0</v>
      </c>
      <c r="R639" s="10" t="n">
        <f aca="false">Raw_Donors!Q639</f>
        <v>120</v>
      </c>
      <c r="S639" s="9" t="str">
        <f aca="false">Raw_Donors!R639</f>
        <v>Y</v>
      </c>
      <c r="T639" s="9" t="str">
        <f aca="false">IF(Raw_Donors!S639="","",Raw_Donors!S639)</f>
        <v/>
      </c>
      <c r="U639" s="9" t="str">
        <f aca="false">IF(AND((O639+P639)&gt;0,Q639=0),"Lapsed - Follow Up","")</f>
        <v/>
      </c>
      <c r="V639" s="9" t="n">
        <f aca="false">RANK(R639,$R$2:$R$759)+COUNTIF($R$2:R639,R639)-1</f>
        <v>261</v>
      </c>
      <c r="W639" s="9" t="str">
        <f aca="false">IF(U639="Lapsed - Follow Up",COUNTIF($U$2:U639,"Lapsed - Follow Up"),"")</f>
        <v/>
      </c>
    </row>
    <row r="640" customFormat="false" ht="15" hidden="false" customHeight="true" outlineLevel="0" collapsed="false">
      <c r="A640" s="9" t="str">
        <f aca="false">Raw_Donors!A640</f>
        <v>D1638</v>
      </c>
      <c r="B640" s="9" t="str">
        <f aca="false">IF(ISNUMBER(SEARCH("-DUP",A640)),"Duplicate ID","")</f>
        <v/>
      </c>
      <c r="C640" s="9" t="n">
        <f aca="false">Raw_Donors!B640</f>
        <v>72448</v>
      </c>
      <c r="D640" s="9" t="n">
        <f aca="false">Raw_Donors!C640</f>
        <v>0</v>
      </c>
      <c r="E640" s="9" t="str">
        <f aca="false">IFERROR(IF(Raw_Donors!D640="","Unknown",Raw_Donors!D640),"Unknown")</f>
        <v>Unknown</v>
      </c>
      <c r="F640" s="9" t="str">
        <f aca="false">IFERROR(IF(Raw_Donors!E640="","Unknown",Raw_Donors!E640),"Unknown")</f>
        <v>Male</v>
      </c>
      <c r="G640" s="9" t="str">
        <f aca="false">PROPER(TRIM(Raw_Donors!F640))</f>
        <v>Community Partner</v>
      </c>
      <c r="H640" s="9" t="str">
        <f aca="false">IFERROR(IF(Raw_Donors!G640="","N",Raw_Donors!G640),"N")</f>
        <v>N</v>
      </c>
      <c r="I640" s="9" t="str">
        <f aca="false">IF(Raw_Donors!H640="","Not Rated",Raw_Donors!H640)</f>
        <v>Not Rated</v>
      </c>
      <c r="J640" s="9" t="str">
        <f aca="false">IF(TRIM(Raw_Donors!I640)="","Unknown",TRIM(Raw_Donors!I640))</f>
        <v>Unknown</v>
      </c>
      <c r="K640" s="9" t="str">
        <f aca="false">Raw_Donors!J640</f>
        <v>N</v>
      </c>
      <c r="L640" s="9" t="n">
        <f aca="false">Raw_Donors!K640</f>
        <v>0</v>
      </c>
      <c r="M640" s="10" t="n">
        <f aca="false">IFERROR(VALUE(SUBSTITUTE(SUBSTITUTE(Raw_Donors!L640,"$",""),",","")),0)</f>
        <v>0</v>
      </c>
      <c r="N640" s="10" t="n">
        <f aca="false">IFERROR(VALUE(SUBSTITUTE(SUBSTITUTE(Raw_Donors!M640,"$",""),",","")),0)</f>
        <v>0</v>
      </c>
      <c r="O640" s="10" t="n">
        <f aca="false">IFERROR(VALUE(SUBSTITUTE(SUBSTITUTE(Raw_Donors!N640,"$",""),",","")),0)</f>
        <v>0</v>
      </c>
      <c r="P640" s="10" t="n">
        <f aca="false">IFERROR(VALUE(SUBSTITUTE(SUBSTITUTE(Raw_Donors!O640,"$",""),",","")),0)</f>
        <v>0</v>
      </c>
      <c r="Q640" s="10" t="n">
        <f aca="false">IFERROR(VALUE(SUBSTITUTE(SUBSTITUTE(Raw_Donors!P640,"$",""),",","")),0)</f>
        <v>0</v>
      </c>
      <c r="R640" s="10" t="n">
        <f aca="false">Raw_Donors!Q640</f>
        <v>40</v>
      </c>
      <c r="S640" s="9" t="str">
        <f aca="false">Raw_Donors!R640</f>
        <v>Y</v>
      </c>
      <c r="T640" s="9" t="str">
        <f aca="false">IF(Raw_Donors!S640="","",Raw_Donors!S640)</f>
        <v/>
      </c>
      <c r="U640" s="9" t="str">
        <f aca="false">IF(AND((O640+P640)&gt;0,Q640=0),"Lapsed - Follow Up","")</f>
        <v/>
      </c>
      <c r="V640" s="9" t="n">
        <f aca="false">RANK(R640,$R$2:$R$759)+COUNTIF($R$2:R640,R640)-1</f>
        <v>405</v>
      </c>
      <c r="W640" s="9" t="str">
        <f aca="false">IF(U640="Lapsed - Follow Up",COUNTIF($U$2:U640,"Lapsed - Follow Up"),"")</f>
        <v/>
      </c>
    </row>
    <row r="641" customFormat="false" ht="15" hidden="false" customHeight="true" outlineLevel="0" collapsed="false">
      <c r="A641" s="9" t="str">
        <f aca="false">Raw_Donors!A641</f>
        <v>D1639</v>
      </c>
      <c r="B641" s="9" t="str">
        <f aca="false">IF(ISNUMBER(SEARCH("-DUP",A641)),"Duplicate ID","")</f>
        <v/>
      </c>
      <c r="C641" s="9" t="n">
        <f aca="false">Raw_Donors!B641</f>
        <v>30370</v>
      </c>
      <c r="D641" s="9" t="n">
        <f aca="false">Raw_Donors!C641</f>
        <v>0</v>
      </c>
      <c r="E641" s="9" t="str">
        <f aca="false">IFERROR(IF(Raw_Donors!D641="","Unknown",Raw_Donors!D641),"Unknown")</f>
        <v>Single</v>
      </c>
      <c r="F641" s="9" t="str">
        <f aca="false">IFERROR(IF(Raw_Donors!E641="","Unknown",Raw_Donors!E641),"Unknown")</f>
        <v>Male</v>
      </c>
      <c r="G641" s="9" t="str">
        <f aca="false">PROPER(TRIM(Raw_Donors!F641))</f>
        <v>Individual Donor</v>
      </c>
      <c r="H641" s="9" t="str">
        <f aca="false">IFERROR(IF(Raw_Donors!G641="","N",Raw_Donors!G641),"N")</f>
        <v>N</v>
      </c>
      <c r="I641" s="9" t="str">
        <f aca="false">IF(Raw_Donors!H641="","Not Rated",Raw_Donors!H641)</f>
        <v>Not Rated</v>
      </c>
      <c r="J641" s="9" t="str">
        <f aca="false">IF(TRIM(Raw_Donors!I641)="","Unknown",TRIM(Raw_Donors!I641))</f>
        <v>HOME</v>
      </c>
      <c r="K641" s="9" t="str">
        <f aca="false">Raw_Donors!J641</f>
        <v>N</v>
      </c>
      <c r="L641" s="9" t="n">
        <f aca="false">Raw_Donors!K641</f>
        <v>0</v>
      </c>
      <c r="M641" s="10" t="n">
        <f aca="false">IFERROR(VALUE(SUBSTITUTE(SUBSTITUTE(Raw_Donors!L641,"$",""),",","")),0)</f>
        <v>0</v>
      </c>
      <c r="N641" s="10" t="n">
        <f aca="false">IFERROR(VALUE(SUBSTITUTE(SUBSTITUTE(Raw_Donors!M641,"$",""),",","")),0)</f>
        <v>0</v>
      </c>
      <c r="O641" s="10" t="n">
        <f aca="false">IFERROR(VALUE(SUBSTITUTE(SUBSTITUTE(Raw_Donors!N641,"$",""),",","")),0)</f>
        <v>0</v>
      </c>
      <c r="P641" s="10" t="n">
        <f aca="false">IFERROR(VALUE(SUBSTITUTE(SUBSTITUTE(Raw_Donors!O641,"$",""),",","")),0)</f>
        <v>0</v>
      </c>
      <c r="Q641" s="10" t="n">
        <f aca="false">IFERROR(VALUE(SUBSTITUTE(SUBSTITUTE(Raw_Donors!P641,"$",""),",","")),0)</f>
        <v>0</v>
      </c>
      <c r="R641" s="10" t="n">
        <f aca="false">Raw_Donors!Q641</f>
        <v>0</v>
      </c>
      <c r="S641" s="9" t="str">
        <f aca="false">Raw_Donors!R641</f>
        <v>N</v>
      </c>
      <c r="T641" s="9" t="str">
        <f aca="false">IF(Raw_Donors!S641="","",Raw_Donors!S641)</f>
        <v/>
      </c>
      <c r="U641" s="9" t="str">
        <f aca="false">IF(AND((O641+P641)&gt;0,Q641=0),"Lapsed - Follow Up","")</f>
        <v/>
      </c>
      <c r="V641" s="9" t="n">
        <f aca="false">RANK(R641,$R$2:$R$759)+COUNTIF($R$2:R641,R641)-1</f>
        <v>728</v>
      </c>
      <c r="W641" s="9" t="str">
        <f aca="false">IF(U641="Lapsed - Follow Up",COUNTIF($U$2:U641,"Lapsed - Follow Up"),"")</f>
        <v/>
      </c>
    </row>
    <row r="642" customFormat="false" ht="15" hidden="false" customHeight="true" outlineLevel="0" collapsed="false">
      <c r="A642" s="9" t="str">
        <f aca="false">Raw_Donors!A642</f>
        <v>D1640</v>
      </c>
      <c r="B642" s="9" t="str">
        <f aca="false">IF(ISNUMBER(SEARCH("-DUP",A642)),"Duplicate ID","")</f>
        <v/>
      </c>
      <c r="C642" s="9" t="n">
        <f aca="false">Raw_Donors!B642</f>
        <v>90265</v>
      </c>
      <c r="D642" s="9" t="n">
        <f aca="false">Raw_Donors!C642</f>
        <v>37</v>
      </c>
      <c r="E642" s="9" t="str">
        <f aca="false">IFERROR(IF(Raw_Donors!D642="","Unknown",Raw_Donors!D642),"Unknown")</f>
        <v>Unknown</v>
      </c>
      <c r="F642" s="9" t="str">
        <f aca="false">IFERROR(IF(Raw_Donors!E642="","Unknown",Raw_Donors!E642),"Unknown")</f>
        <v>Male</v>
      </c>
      <c r="G642" s="9" t="str">
        <f aca="false">PROPER(TRIM(Raw_Donors!F642))</f>
        <v>Community Partner</v>
      </c>
      <c r="H642" s="9" t="str">
        <f aca="false">IFERROR(IF(Raw_Donors!G642="","N",Raw_Donors!G642),"N")</f>
        <v>Y</v>
      </c>
      <c r="I642" s="9" t="str">
        <f aca="false">IF(Raw_Donors!H642="","Not Rated",Raw_Donors!H642)</f>
        <v>Not Rated</v>
      </c>
      <c r="J642" s="9" t="str">
        <f aca="false">IF(TRIM(Raw_Donors!I642)="","Unknown",TRIM(Raw_Donors!I642))</f>
        <v>HOME</v>
      </c>
      <c r="K642" s="9" t="str">
        <f aca="false">Raw_Donors!J642</f>
        <v>Y</v>
      </c>
      <c r="L642" s="9" t="n">
        <f aca="false">Raw_Donors!K642</f>
        <v>0</v>
      </c>
      <c r="M642" s="10" t="n">
        <f aca="false">IFERROR(VALUE(SUBSTITUTE(SUBSTITUTE(Raw_Donors!L642,"$",""),",","")),0)</f>
        <v>0</v>
      </c>
      <c r="N642" s="10" t="n">
        <f aca="false">IFERROR(VALUE(SUBSTITUTE(SUBSTITUTE(Raw_Donors!M642,"$",""),",","")),0)</f>
        <v>0</v>
      </c>
      <c r="O642" s="10" t="n">
        <f aca="false">IFERROR(VALUE(SUBSTITUTE(SUBSTITUTE(Raw_Donors!N642,"$",""),",","")),0)</f>
        <v>0</v>
      </c>
      <c r="P642" s="10" t="n">
        <f aca="false">IFERROR(VALUE(SUBSTITUTE(SUBSTITUTE(Raw_Donors!O642,"$",""),",","")),0)</f>
        <v>0</v>
      </c>
      <c r="Q642" s="10" t="n">
        <f aca="false">IFERROR(VALUE(SUBSTITUTE(SUBSTITUTE(Raw_Donors!P642,"$",""),",","")),0)</f>
        <v>0</v>
      </c>
      <c r="R642" s="10" t="n">
        <f aca="false">Raw_Donors!Q642</f>
        <v>230</v>
      </c>
      <c r="S642" s="9" t="str">
        <f aca="false">Raw_Donors!R642</f>
        <v>Y</v>
      </c>
      <c r="T642" s="9" t="str">
        <f aca="false">IF(Raw_Donors!S642="","",Raw_Donors!S642)</f>
        <v>1980-05-16</v>
      </c>
      <c r="U642" s="9" t="str">
        <f aca="false">IF(AND((O642+P642)&gt;0,Q642=0),"Lapsed - Follow Up","")</f>
        <v/>
      </c>
      <c r="V642" s="9" t="n">
        <f aca="false">RANK(R642,$R$2:$R$759)+COUNTIF($R$2:R642,R642)-1</f>
        <v>182</v>
      </c>
      <c r="W642" s="9" t="str">
        <f aca="false">IF(U642="Lapsed - Follow Up",COUNTIF($U$2:U642,"Lapsed - Follow Up"),"")</f>
        <v/>
      </c>
    </row>
    <row r="643" customFormat="false" ht="15" hidden="false" customHeight="true" outlineLevel="0" collapsed="false">
      <c r="A643" s="9" t="str">
        <f aca="false">Raw_Donors!A643</f>
        <v>D1641</v>
      </c>
      <c r="B643" s="9" t="str">
        <f aca="false">IF(ISNUMBER(SEARCH("-DUP",A643)),"Duplicate ID","")</f>
        <v/>
      </c>
      <c r="C643" s="9" t="n">
        <f aca="false">Raw_Donors!B643</f>
        <v>90296</v>
      </c>
      <c r="D643" s="9" t="n">
        <f aca="false">Raw_Donors!C643</f>
        <v>0</v>
      </c>
      <c r="E643" s="9" t="str">
        <f aca="false">IFERROR(IF(Raw_Donors!D643="","Unknown",Raw_Donors!D643),"Unknown")</f>
        <v>Unknown</v>
      </c>
      <c r="F643" s="9" t="str">
        <f aca="false">IFERROR(IF(Raw_Donors!E643="","Unknown",Raw_Donors!E643),"Unknown")</f>
        <v>Female</v>
      </c>
      <c r="G643" s="9" t="str">
        <f aca="false">PROPER(TRIM(Raw_Donors!F643))</f>
        <v>Community Partner</v>
      </c>
      <c r="H643" s="9" t="str">
        <f aca="false">IFERROR(IF(Raw_Donors!G643="","N",Raw_Donors!G643),"N")</f>
        <v>Y</v>
      </c>
      <c r="I643" s="9" t="str">
        <f aca="false">IF(Raw_Donors!H643="","Not Rated",Raw_Donors!H643)</f>
        <v>Not Rated</v>
      </c>
      <c r="J643" s="9" t="str">
        <f aca="false">IF(TRIM(Raw_Donors!I643)="","Unknown",TRIM(Raw_Donors!I643))</f>
        <v>HOME</v>
      </c>
      <c r="K643" s="9" t="str">
        <f aca="false">Raw_Donors!J643</f>
        <v>N</v>
      </c>
      <c r="L643" s="9" t="n">
        <f aca="false">Raw_Donors!K643</f>
        <v>1</v>
      </c>
      <c r="M643" s="10" t="n">
        <f aca="false">IFERROR(VALUE(SUBSTITUTE(SUBSTITUTE(Raw_Donors!L643,"$",""),",","")),0)</f>
        <v>0</v>
      </c>
      <c r="N643" s="10" t="n">
        <f aca="false">IFERROR(VALUE(SUBSTITUTE(SUBSTITUTE(Raw_Donors!M643,"$",""),",","")),0)</f>
        <v>0</v>
      </c>
      <c r="O643" s="10" t="n">
        <f aca="false">IFERROR(VALUE(SUBSTITUTE(SUBSTITUTE(Raw_Donors!N643,"$",""),",","")),0)</f>
        <v>0</v>
      </c>
      <c r="P643" s="10" t="n">
        <f aca="false">IFERROR(VALUE(SUBSTITUTE(SUBSTITUTE(Raw_Donors!O643,"$",""),",","")),0)</f>
        <v>20</v>
      </c>
      <c r="Q643" s="10" t="n">
        <f aca="false">IFERROR(VALUE(SUBSTITUTE(SUBSTITUTE(Raw_Donors!P643,"$",""),",","")),0)</f>
        <v>0</v>
      </c>
      <c r="R643" s="10" t="n">
        <f aca="false">Raw_Donors!Q643</f>
        <v>75</v>
      </c>
      <c r="S643" s="9" t="str">
        <f aca="false">Raw_Donors!R643</f>
        <v>Y</v>
      </c>
      <c r="T643" s="9" t="str">
        <f aca="false">IF(Raw_Donors!S643="","",Raw_Donors!S643)</f>
        <v/>
      </c>
      <c r="U643" s="9" t="str">
        <f aca="false">IF(AND((O643+P643)&gt;0,Q643=0),"Lapsed - Follow Up","")</f>
        <v>Lapsed - Follow Up</v>
      </c>
      <c r="V643" s="9" t="n">
        <f aca="false">RANK(R643,$R$2:$R$759)+COUNTIF($R$2:R643,R643)-1</f>
        <v>335</v>
      </c>
      <c r="W643" s="9" t="n">
        <f aca="false">IF(U643="Lapsed - Follow Up",COUNTIF($U$2:U643,"Lapsed - Follow Up"),"")</f>
        <v>93</v>
      </c>
    </row>
    <row r="644" customFormat="false" ht="15" hidden="false" customHeight="true" outlineLevel="0" collapsed="false">
      <c r="A644" s="9" t="str">
        <f aca="false">Raw_Donors!A644</f>
        <v>D1642</v>
      </c>
      <c r="B644" s="9" t="str">
        <f aca="false">IF(ISNUMBER(SEARCH("-DUP",A644)),"Duplicate ID","")</f>
        <v/>
      </c>
      <c r="C644" s="9" t="n">
        <f aca="false">Raw_Donors!B644</f>
        <v>95439</v>
      </c>
      <c r="D644" s="9" t="n">
        <f aca="false">Raw_Donors!C644</f>
        <v>59</v>
      </c>
      <c r="E644" s="9" t="str">
        <f aca="false">IFERROR(IF(Raw_Donors!D644="","Unknown",Raw_Donors!D644),"Unknown")</f>
        <v>Unknown</v>
      </c>
      <c r="F644" s="9" t="str">
        <f aca="false">IFERROR(IF(Raw_Donors!E644="","Unknown",Raw_Donors!E644),"Unknown")</f>
        <v>Male</v>
      </c>
      <c r="G644" s="9" t="str">
        <f aca="false">PROPER(TRIM(Raw_Donors!F644))</f>
        <v>Community Partner</v>
      </c>
      <c r="H644" s="9" t="str">
        <f aca="false">IFERROR(IF(Raw_Donors!G644="","N",Raw_Donors!G644),"N")</f>
        <v>N</v>
      </c>
      <c r="I644" s="9" t="str">
        <f aca="false">IF(Raw_Donors!H644="","Not Rated",Raw_Donors!H644)</f>
        <v>Not Rated</v>
      </c>
      <c r="J644" s="9" t="str">
        <f aca="false">IF(TRIM(Raw_Donors!I644)="","Unknown",TRIM(Raw_Donors!I644))</f>
        <v>HOME</v>
      </c>
      <c r="K644" s="9" t="str">
        <f aca="false">Raw_Donors!J644</f>
        <v>N</v>
      </c>
      <c r="L644" s="9" t="n">
        <f aca="false">Raw_Donors!K644</f>
        <v>0</v>
      </c>
      <c r="M644" s="10" t="n">
        <f aca="false">IFERROR(VALUE(SUBSTITUTE(SUBSTITUTE(Raw_Donors!L644,"$",""),",","")),0)</f>
        <v>0</v>
      </c>
      <c r="N644" s="10" t="n">
        <f aca="false">IFERROR(VALUE(SUBSTITUTE(SUBSTITUTE(Raw_Donors!M644,"$",""),",","")),0)</f>
        <v>0</v>
      </c>
      <c r="O644" s="10" t="n">
        <f aca="false">IFERROR(VALUE(SUBSTITUTE(SUBSTITUTE(Raw_Donors!N644,"$",""),",","")),0)</f>
        <v>0</v>
      </c>
      <c r="P644" s="10" t="n">
        <f aca="false">IFERROR(VALUE(SUBSTITUTE(SUBSTITUTE(Raw_Donors!O644,"$",""),",","")),0)</f>
        <v>0</v>
      </c>
      <c r="Q644" s="10" t="n">
        <f aca="false">IFERROR(VALUE(SUBSTITUTE(SUBSTITUTE(Raw_Donors!P644,"$",""),",","")),0)</f>
        <v>0</v>
      </c>
      <c r="R644" s="10" t="n">
        <f aca="false">Raw_Donors!Q644</f>
        <v>61</v>
      </c>
      <c r="S644" s="9" t="str">
        <f aca="false">Raw_Donors!R644</f>
        <v>Y</v>
      </c>
      <c r="T644" s="9" t="str">
        <f aca="false">IF(Raw_Donors!S644="","",Raw_Donors!S644)</f>
        <v>1958-03-21</v>
      </c>
      <c r="U644" s="9" t="str">
        <f aca="false">IF(AND((O644+P644)&gt;0,Q644=0),"Lapsed - Follow Up","")</f>
        <v/>
      </c>
      <c r="V644" s="9" t="n">
        <f aca="false">RANK(R644,$R$2:$R$759)+COUNTIF($R$2:R644,R644)-1</f>
        <v>349</v>
      </c>
      <c r="W644" s="9" t="str">
        <f aca="false">IF(U644="Lapsed - Follow Up",COUNTIF($U$2:U644,"Lapsed - Follow Up"),"")</f>
        <v/>
      </c>
    </row>
    <row r="645" customFormat="false" ht="15" hidden="false" customHeight="true" outlineLevel="0" collapsed="false">
      <c r="A645" s="9" t="str">
        <f aca="false">Raw_Donors!A645</f>
        <v>D1643</v>
      </c>
      <c r="B645" s="9" t="str">
        <f aca="false">IF(ISNUMBER(SEARCH("-DUP",A645)),"Duplicate ID","")</f>
        <v/>
      </c>
      <c r="C645" s="9" t="n">
        <f aca="false">Raw_Donors!B645</f>
        <v>53191</v>
      </c>
      <c r="D645" s="9" t="n">
        <f aca="false">Raw_Donors!C645</f>
        <v>0</v>
      </c>
      <c r="E645" s="9" t="str">
        <f aca="false">IFERROR(IF(Raw_Donors!D645="","Unknown",Raw_Donors!D645),"Unknown")</f>
        <v>Married</v>
      </c>
      <c r="F645" s="9" t="str">
        <f aca="false">IFERROR(IF(Raw_Donors!E645="","Unknown",Raw_Donors!E645),"Unknown")</f>
        <v>Male</v>
      </c>
      <c r="G645" s="9" t="str">
        <f aca="false">PROPER(TRIM(Raw_Donors!F645))</f>
        <v>Family Donor</v>
      </c>
      <c r="H645" s="9" t="str">
        <f aca="false">IFERROR(IF(Raw_Donors!G645="","N",Raw_Donors!G645),"N")</f>
        <v>N</v>
      </c>
      <c r="I645" s="9" t="str">
        <f aca="false">IF(Raw_Donors!H645="","Not Rated",Raw_Donors!H645)</f>
        <v>Not Rated</v>
      </c>
      <c r="J645" s="9" t="str">
        <f aca="false">IF(TRIM(Raw_Donors!I645)="","Unknown",TRIM(Raw_Donors!I645))</f>
        <v>HOME</v>
      </c>
      <c r="K645" s="9" t="str">
        <f aca="false">Raw_Donors!J645</f>
        <v>Y</v>
      </c>
      <c r="L645" s="9" t="n">
        <f aca="false">Raw_Donors!K645</f>
        <v>0</v>
      </c>
      <c r="M645" s="10" t="n">
        <f aca="false">IFERROR(VALUE(SUBSTITUTE(SUBSTITUTE(Raw_Donors!L645,"$",""),",","")),0)</f>
        <v>0</v>
      </c>
      <c r="N645" s="10" t="n">
        <f aca="false">IFERROR(VALUE(SUBSTITUTE(SUBSTITUTE(Raw_Donors!M645,"$",""),",","")),0)</f>
        <v>0</v>
      </c>
      <c r="O645" s="10" t="n">
        <f aca="false">IFERROR(VALUE(SUBSTITUTE(SUBSTITUTE(Raw_Donors!N645,"$",""),",","")),0)</f>
        <v>0</v>
      </c>
      <c r="P645" s="10" t="n">
        <f aca="false">IFERROR(VALUE(SUBSTITUTE(SUBSTITUTE(Raw_Donors!O645,"$",""),",","")),0)</f>
        <v>250</v>
      </c>
      <c r="Q645" s="10" t="n">
        <f aca="false">IFERROR(VALUE(SUBSTITUTE(SUBSTITUTE(Raw_Donors!P645,"$",""),",","")),0)</f>
        <v>0</v>
      </c>
      <c r="R645" s="10" t="n">
        <f aca="false">Raw_Donors!Q645</f>
        <v>250</v>
      </c>
      <c r="S645" s="9" t="str">
        <f aca="false">Raw_Donors!R645</f>
        <v>Y</v>
      </c>
      <c r="T645" s="9" t="str">
        <f aca="false">IF(Raw_Donors!S645="","",Raw_Donors!S645)</f>
        <v/>
      </c>
      <c r="U645" s="9" t="str">
        <f aca="false">IF(AND((O645+P645)&gt;0,Q645=0),"Lapsed - Follow Up","")</f>
        <v>Lapsed - Follow Up</v>
      </c>
      <c r="V645" s="9" t="n">
        <f aca="false">RANK(R645,$R$2:$R$759)+COUNTIF($R$2:R645,R645)-1</f>
        <v>170</v>
      </c>
      <c r="W645" s="9" t="n">
        <f aca="false">IF(U645="Lapsed - Follow Up",COUNTIF($U$2:U645,"Lapsed - Follow Up"),"")</f>
        <v>94</v>
      </c>
    </row>
    <row r="646" customFormat="false" ht="15" hidden="false" customHeight="true" outlineLevel="0" collapsed="false">
      <c r="A646" s="9" t="str">
        <f aca="false">Raw_Donors!A646</f>
        <v>D1644</v>
      </c>
      <c r="B646" s="9" t="str">
        <f aca="false">IF(ISNUMBER(SEARCH("-DUP",A646)),"Duplicate ID","")</f>
        <v/>
      </c>
      <c r="C646" s="9" t="n">
        <f aca="false">Raw_Donors!B646</f>
        <v>32733</v>
      </c>
      <c r="D646" s="9" t="n">
        <f aca="false">Raw_Donors!C646</f>
        <v>0</v>
      </c>
      <c r="E646" s="9" t="str">
        <f aca="false">IFERROR(IF(Raw_Donors!D646="","Unknown",Raw_Donors!D646),"Unknown")</f>
        <v>Unknown</v>
      </c>
      <c r="F646" s="9" t="str">
        <f aca="false">IFERROR(IF(Raw_Donors!E646="","Unknown",Raw_Donors!E646),"Unknown")</f>
        <v>Male</v>
      </c>
      <c r="G646" s="9" t="str">
        <f aca="false">PROPER(TRIM(Raw_Donors!F646))</f>
        <v>Individual Donor</v>
      </c>
      <c r="H646" s="9" t="str">
        <f aca="false">IFERROR(IF(Raw_Donors!G646="","N",Raw_Donors!G646),"N")</f>
        <v>Y</v>
      </c>
      <c r="I646" s="9" t="str">
        <f aca="false">IF(Raw_Donors!H646="","Not Rated",Raw_Donors!H646)</f>
        <v>Not Rated</v>
      </c>
      <c r="J646" s="9" t="str">
        <f aca="false">IF(TRIM(Raw_Donors!I646)="","Unknown",TRIM(Raw_Donors!I646))</f>
        <v>HOME</v>
      </c>
      <c r="K646" s="9" t="str">
        <f aca="false">Raw_Donors!J646</f>
        <v>N</v>
      </c>
      <c r="L646" s="9" t="n">
        <f aca="false">Raw_Donors!K646</f>
        <v>2</v>
      </c>
      <c r="M646" s="10" t="n">
        <f aca="false">IFERROR(VALUE(SUBSTITUTE(SUBSTITUTE(Raw_Donors!L646,"$",""),",","")),0)</f>
        <v>0</v>
      </c>
      <c r="N646" s="10" t="n">
        <f aca="false">IFERROR(VALUE(SUBSTITUTE(SUBSTITUTE(Raw_Donors!M646,"$",""),",","")),0)</f>
        <v>0</v>
      </c>
      <c r="O646" s="10" t="n">
        <f aca="false">IFERROR(VALUE(SUBSTITUTE(SUBSTITUTE(Raw_Donors!N646,"$",""),",","")),0)</f>
        <v>0</v>
      </c>
      <c r="P646" s="10" t="n">
        <f aca="false">IFERROR(VALUE(SUBSTITUTE(SUBSTITUTE(Raw_Donors!O646,"$",""),",","")),0)</f>
        <v>0</v>
      </c>
      <c r="Q646" s="10" t="n">
        <f aca="false">IFERROR(VALUE(SUBSTITUTE(SUBSTITUTE(Raw_Donors!P646,"$",""),",","")),0)</f>
        <v>0</v>
      </c>
      <c r="R646" s="10" t="n">
        <f aca="false">Raw_Donors!Q646</f>
        <v>0</v>
      </c>
      <c r="S646" s="9" t="str">
        <f aca="false">Raw_Donors!R646</f>
        <v>N</v>
      </c>
      <c r="T646" s="9" t="str">
        <f aca="false">IF(Raw_Donors!S646="","",Raw_Donors!S646)</f>
        <v/>
      </c>
      <c r="U646" s="9" t="str">
        <f aca="false">IF(AND((O646+P646)&gt;0,Q646=0),"Lapsed - Follow Up","")</f>
        <v/>
      </c>
      <c r="V646" s="9" t="n">
        <f aca="false">RANK(R646,$R$2:$R$759)+COUNTIF($R$2:R646,R646)-1</f>
        <v>729</v>
      </c>
      <c r="W646" s="9" t="str">
        <f aca="false">IF(U646="Lapsed - Follow Up",COUNTIF($U$2:U646,"Lapsed - Follow Up"),"")</f>
        <v/>
      </c>
    </row>
    <row r="647" customFormat="false" ht="15" hidden="false" customHeight="true" outlineLevel="0" collapsed="false">
      <c r="A647" s="9" t="str">
        <f aca="false">Raw_Donors!A647</f>
        <v>D1645</v>
      </c>
      <c r="B647" s="9" t="str">
        <f aca="false">IF(ISNUMBER(SEARCH("-DUP",A647)),"Duplicate ID","")</f>
        <v/>
      </c>
      <c r="C647" s="9" t="n">
        <f aca="false">Raw_Donors!B647</f>
        <v>27018</v>
      </c>
      <c r="D647" s="9" t="n">
        <f aca="false">Raw_Donors!C647</f>
        <v>44</v>
      </c>
      <c r="E647" s="9" t="str">
        <f aca="false">IFERROR(IF(Raw_Donors!D647="","Unknown",Raw_Donors!D647),"Unknown")</f>
        <v>Unknown</v>
      </c>
      <c r="F647" s="9" t="str">
        <f aca="false">IFERROR(IF(Raw_Donors!E647="","Unknown",Raw_Donors!E647),"Unknown")</f>
        <v>Male</v>
      </c>
      <c r="G647" s="9" t="str">
        <f aca="false">PROPER(TRIM(Raw_Donors!F647))</f>
        <v>Community Partner</v>
      </c>
      <c r="H647" s="9" t="str">
        <f aca="false">IFERROR(IF(Raw_Donors!G647="","N",Raw_Donors!G647),"N")</f>
        <v>N</v>
      </c>
      <c r="I647" s="9" t="str">
        <f aca="false">IF(Raw_Donors!H647="","Not Rated",Raw_Donors!H647)</f>
        <v>Not Rated</v>
      </c>
      <c r="J647" s="9" t="str">
        <f aca="false">IF(TRIM(Raw_Donors!I647)="","Unknown",TRIM(Raw_Donors!I647))</f>
        <v>HOME</v>
      </c>
      <c r="K647" s="9" t="str">
        <f aca="false">Raw_Donors!J647</f>
        <v>N</v>
      </c>
      <c r="L647" s="9" t="n">
        <f aca="false">Raw_Donors!K647</f>
        <v>0</v>
      </c>
      <c r="M647" s="10" t="n">
        <f aca="false">IFERROR(VALUE(SUBSTITUTE(SUBSTITUTE(Raw_Donors!L647,"$",""),",","")),0)</f>
        <v>0</v>
      </c>
      <c r="N647" s="10" t="n">
        <f aca="false">IFERROR(VALUE(SUBSTITUTE(SUBSTITUTE(Raw_Donors!M647,"$",""),",","")),0)</f>
        <v>0</v>
      </c>
      <c r="O647" s="10" t="n">
        <f aca="false">IFERROR(VALUE(SUBSTITUTE(SUBSTITUTE(Raw_Donors!N647,"$",""),",","")),0)</f>
        <v>0</v>
      </c>
      <c r="P647" s="10" t="n">
        <f aca="false">IFERROR(VALUE(SUBSTITUTE(SUBSTITUTE(Raw_Donors!O647,"$",""),",","")),0)</f>
        <v>0</v>
      </c>
      <c r="Q647" s="10" t="n">
        <f aca="false">IFERROR(VALUE(SUBSTITUTE(SUBSTITUTE(Raw_Donors!P647,"$",""),",","")),0)</f>
        <v>0</v>
      </c>
      <c r="R647" s="10" t="n">
        <f aca="false">Raw_Donors!Q647</f>
        <v>0</v>
      </c>
      <c r="S647" s="9" t="str">
        <f aca="false">Raw_Donors!R647</f>
        <v>N</v>
      </c>
      <c r="T647" s="9" t="str">
        <f aca="false">IF(Raw_Donors!S647="","",Raw_Donors!S647)</f>
        <v>1973-09-11</v>
      </c>
      <c r="U647" s="9" t="str">
        <f aca="false">IF(AND((O647+P647)&gt;0,Q647=0),"Lapsed - Follow Up","")</f>
        <v/>
      </c>
      <c r="V647" s="9" t="n">
        <f aca="false">RANK(R647,$R$2:$R$759)+COUNTIF($R$2:R647,R647)-1</f>
        <v>730</v>
      </c>
      <c r="W647" s="9" t="str">
        <f aca="false">IF(U647="Lapsed - Follow Up",COUNTIF($U$2:U647,"Lapsed - Follow Up"),"")</f>
        <v/>
      </c>
    </row>
    <row r="648" customFormat="false" ht="15" hidden="false" customHeight="true" outlineLevel="0" collapsed="false">
      <c r="A648" s="9" t="str">
        <f aca="false">Raw_Donors!A648</f>
        <v>D1646</v>
      </c>
      <c r="B648" s="9" t="str">
        <f aca="false">IF(ISNUMBER(SEARCH("-DUP",A648)),"Duplicate ID","")</f>
        <v/>
      </c>
      <c r="C648" s="9" t="n">
        <f aca="false">Raw_Donors!B648</f>
        <v>90265</v>
      </c>
      <c r="D648" s="9" t="n">
        <f aca="false">Raw_Donors!C648</f>
        <v>24</v>
      </c>
      <c r="E648" s="9" t="str">
        <f aca="false">IFERROR(IF(Raw_Donors!D648="","Unknown",Raw_Donors!D648),"Unknown")</f>
        <v>Unknown</v>
      </c>
      <c r="F648" s="9" t="str">
        <f aca="false">IFERROR(IF(Raw_Donors!E648="","Unknown",Raw_Donors!E648),"Unknown")</f>
        <v>Female</v>
      </c>
      <c r="G648" s="9" t="str">
        <f aca="false">PROPER(TRIM(Raw_Donors!F648))</f>
        <v>Individual Donor</v>
      </c>
      <c r="H648" s="9" t="str">
        <f aca="false">IFERROR(IF(Raw_Donors!G648="","N",Raw_Donors!G648),"N")</f>
        <v>N</v>
      </c>
      <c r="I648" s="9" t="str">
        <f aca="false">IF(Raw_Donors!H648="","Not Rated",Raw_Donors!H648)</f>
        <v>Not Rated</v>
      </c>
      <c r="J648" s="9" t="str">
        <f aca="false">IF(TRIM(Raw_Donors!I648)="","Unknown",TRIM(Raw_Donors!I648))</f>
        <v>CAMP</v>
      </c>
      <c r="K648" s="9" t="str">
        <f aca="false">Raw_Donors!J648</f>
        <v>Y</v>
      </c>
      <c r="L648" s="9" t="n">
        <f aca="false">Raw_Donors!K648</f>
        <v>0</v>
      </c>
      <c r="M648" s="10" t="n">
        <f aca="false">IFERROR(VALUE(SUBSTITUTE(SUBSTITUTE(Raw_Donors!L648,"$",""),",","")),0)</f>
        <v>0</v>
      </c>
      <c r="N648" s="10" t="n">
        <f aca="false">IFERROR(VALUE(SUBSTITUTE(SUBSTITUTE(Raw_Donors!M648,"$",""),",","")),0)</f>
        <v>0</v>
      </c>
      <c r="O648" s="10" t="n">
        <f aca="false">IFERROR(VALUE(SUBSTITUTE(SUBSTITUTE(Raw_Donors!N648,"$",""),",","")),0)</f>
        <v>0</v>
      </c>
      <c r="P648" s="10" t="n">
        <f aca="false">IFERROR(VALUE(SUBSTITUTE(SUBSTITUTE(Raw_Donors!O648,"$",""),",","")),0)</f>
        <v>0</v>
      </c>
      <c r="Q648" s="10" t="n">
        <f aca="false">IFERROR(VALUE(SUBSTITUTE(SUBSTITUTE(Raw_Donors!P648,"$",""),",","")),0)</f>
        <v>294</v>
      </c>
      <c r="R648" s="10" t="n">
        <f aca="false">Raw_Donors!Q648</f>
        <v>294</v>
      </c>
      <c r="S648" s="9" t="str">
        <f aca="false">Raw_Donors!R648</f>
        <v>Y</v>
      </c>
      <c r="T648" s="9" t="str">
        <f aca="false">IF(Raw_Donors!S648="","",Raw_Donors!S648)</f>
        <v>1993-12-23</v>
      </c>
      <c r="U648" s="9" t="str">
        <f aca="false">IF(AND((O648+P648)&gt;0,Q648=0),"Lapsed - Follow Up","")</f>
        <v/>
      </c>
      <c r="V648" s="9" t="n">
        <f aca="false">RANK(R648,$R$2:$R$759)+COUNTIF($R$2:R648,R648)-1</f>
        <v>148</v>
      </c>
      <c r="W648" s="9" t="str">
        <f aca="false">IF(U648="Lapsed - Follow Up",COUNTIF($U$2:U648,"Lapsed - Follow Up"),"")</f>
        <v/>
      </c>
    </row>
    <row r="649" customFormat="false" ht="15" hidden="false" customHeight="true" outlineLevel="0" collapsed="false">
      <c r="A649" s="9" t="str">
        <f aca="false">Raw_Donors!A649</f>
        <v>D1647</v>
      </c>
      <c r="B649" s="9" t="str">
        <f aca="false">IF(ISNUMBER(SEARCH("-DUP",A649)),"Duplicate ID","")</f>
        <v/>
      </c>
      <c r="C649" s="9" t="n">
        <f aca="false">Raw_Donors!B649</f>
        <v>74085</v>
      </c>
      <c r="D649" s="9" t="n">
        <f aca="false">Raw_Donors!C649</f>
        <v>33</v>
      </c>
      <c r="E649" s="9" t="str">
        <f aca="false">IFERROR(IF(Raw_Donors!D649="","Unknown",Raw_Donors!D649),"Unknown")</f>
        <v>Unknown</v>
      </c>
      <c r="F649" s="9" t="str">
        <f aca="false">IFERROR(IF(Raw_Donors!E649="","Unknown",Raw_Donors!E649),"Unknown")</f>
        <v>Male</v>
      </c>
      <c r="G649" s="9" t="str">
        <f aca="false">PROPER(TRIM(Raw_Donors!F649))</f>
        <v>Individual Donor</v>
      </c>
      <c r="H649" s="9" t="str">
        <f aca="false">IFERROR(IF(Raw_Donors!G649="","N",Raw_Donors!G649),"N")</f>
        <v>N</v>
      </c>
      <c r="I649" s="9" t="str">
        <f aca="false">IF(Raw_Donors!H649="","Not Rated",Raw_Donors!H649)</f>
        <v>Not Rated</v>
      </c>
      <c r="J649" s="9" t="str">
        <f aca="false">IF(TRIM(Raw_Donors!I649)="","Unknown",TRIM(Raw_Donors!I649))</f>
        <v>HOME</v>
      </c>
      <c r="K649" s="9" t="str">
        <f aca="false">Raw_Donors!J649</f>
        <v>N</v>
      </c>
      <c r="L649" s="9" t="n">
        <f aca="false">Raw_Donors!K649</f>
        <v>0</v>
      </c>
      <c r="M649" s="10" t="n">
        <f aca="false">IFERROR(VALUE(SUBSTITUTE(SUBSTITUTE(Raw_Donors!L649,"$",""),",","")),0)</f>
        <v>0</v>
      </c>
      <c r="N649" s="10" t="n">
        <f aca="false">IFERROR(VALUE(SUBSTITUTE(SUBSTITUTE(Raw_Donors!M649,"$",""),",","")),0)</f>
        <v>0</v>
      </c>
      <c r="O649" s="10" t="n">
        <f aca="false">IFERROR(VALUE(SUBSTITUTE(SUBSTITUTE(Raw_Donors!N649,"$",""),",","")),0)</f>
        <v>0</v>
      </c>
      <c r="P649" s="10" t="n">
        <f aca="false">IFERROR(VALUE(SUBSTITUTE(SUBSTITUTE(Raw_Donors!O649,"$",""),",","")),0)</f>
        <v>0</v>
      </c>
      <c r="Q649" s="10" t="n">
        <f aca="false">IFERROR(VALUE(SUBSTITUTE(SUBSTITUTE(Raw_Donors!P649,"$",""),",","")),0)</f>
        <v>0</v>
      </c>
      <c r="R649" s="10" t="n">
        <f aca="false">Raw_Donors!Q649</f>
        <v>0</v>
      </c>
      <c r="S649" s="9" t="str">
        <f aca="false">Raw_Donors!R649</f>
        <v>N</v>
      </c>
      <c r="T649" s="9" t="str">
        <f aca="false">IF(Raw_Donors!S649="","",Raw_Donors!S649)</f>
        <v>1984-09-01</v>
      </c>
      <c r="U649" s="9" t="str">
        <f aca="false">IF(AND((O649+P649)&gt;0,Q649=0),"Lapsed - Follow Up","")</f>
        <v/>
      </c>
      <c r="V649" s="9" t="n">
        <f aca="false">RANK(R649,$R$2:$R$759)+COUNTIF($R$2:R649,R649)-1</f>
        <v>731</v>
      </c>
      <c r="W649" s="9" t="str">
        <f aca="false">IF(U649="Lapsed - Follow Up",COUNTIF($U$2:U649,"Lapsed - Follow Up"),"")</f>
        <v/>
      </c>
    </row>
    <row r="650" customFormat="false" ht="15" hidden="false" customHeight="true" outlineLevel="0" collapsed="false">
      <c r="A650" s="9" t="str">
        <f aca="false">Raw_Donors!A650</f>
        <v>D1648</v>
      </c>
      <c r="B650" s="9" t="str">
        <f aca="false">IF(ISNUMBER(SEARCH("-DUP",A650)),"Duplicate ID","")</f>
        <v/>
      </c>
      <c r="C650" s="9" t="n">
        <f aca="false">Raw_Donors!B650</f>
        <v>16228</v>
      </c>
      <c r="D650" s="9" t="n">
        <f aca="false">Raw_Donors!C650</f>
        <v>0</v>
      </c>
      <c r="E650" s="9" t="str">
        <f aca="false">IFERROR(IF(Raw_Donors!D650="","Unknown",Raw_Donors!D650),"Unknown")</f>
        <v>Unknown</v>
      </c>
      <c r="F650" s="9" t="str">
        <f aca="false">IFERROR(IF(Raw_Donors!E650="","Unknown",Raw_Donors!E650),"Unknown")</f>
        <v>Female</v>
      </c>
      <c r="G650" s="9" t="str">
        <f aca="false">PROPER(TRIM(Raw_Donors!F650))</f>
        <v>Individual Donor</v>
      </c>
      <c r="H650" s="9" t="str">
        <f aca="false">IFERROR(IF(Raw_Donors!G650="","N",Raw_Donors!G650),"N")</f>
        <v>N</v>
      </c>
      <c r="I650" s="9" t="str">
        <f aca="false">IF(Raw_Donors!H650="","Not Rated",Raw_Donors!H650)</f>
        <v>$100,000-$249,999</v>
      </c>
      <c r="J650" s="9" t="str">
        <f aca="false">IF(TRIM(Raw_Donors!I650)="","Unknown",TRIM(Raw_Donors!I650))</f>
        <v>HOME</v>
      </c>
      <c r="K650" s="9" t="str">
        <f aca="false">Raw_Donors!J650</f>
        <v>N</v>
      </c>
      <c r="L650" s="9" t="n">
        <f aca="false">Raw_Donors!K650</f>
        <v>1</v>
      </c>
      <c r="M650" s="10" t="n">
        <f aca="false">IFERROR(VALUE(SUBSTITUTE(SUBSTITUTE(Raw_Donors!L650,"$",""),",","")),0)</f>
        <v>0</v>
      </c>
      <c r="N650" s="10" t="n">
        <f aca="false">IFERROR(VALUE(SUBSTITUTE(SUBSTITUTE(Raw_Donors!M650,"$",""),",","")),0)</f>
        <v>0</v>
      </c>
      <c r="O650" s="10" t="n">
        <f aca="false">IFERROR(VALUE(SUBSTITUTE(SUBSTITUTE(Raw_Donors!N650,"$",""),",","")),0)</f>
        <v>0</v>
      </c>
      <c r="P650" s="10" t="n">
        <f aca="false">IFERROR(VALUE(SUBSTITUTE(SUBSTITUTE(Raw_Donors!O650,"$",""),",","")),0)</f>
        <v>0</v>
      </c>
      <c r="Q650" s="10" t="n">
        <f aca="false">IFERROR(VALUE(SUBSTITUTE(SUBSTITUTE(Raw_Donors!P650,"$",""),",","")),0)</f>
        <v>50</v>
      </c>
      <c r="R650" s="10" t="n">
        <f aca="false">Raw_Donors!Q650</f>
        <v>50</v>
      </c>
      <c r="S650" s="9" t="str">
        <f aca="false">Raw_Donors!R650</f>
        <v>Y</v>
      </c>
      <c r="T650" s="9" t="str">
        <f aca="false">IF(Raw_Donors!S650="","",Raw_Donors!S650)</f>
        <v/>
      </c>
      <c r="U650" s="9" t="str">
        <f aca="false">IF(AND((O650+P650)&gt;0,Q650=0),"Lapsed - Follow Up","")</f>
        <v/>
      </c>
      <c r="V650" s="9" t="n">
        <f aca="false">RANK(R650,$R$2:$R$759)+COUNTIF($R$2:R650,R650)-1</f>
        <v>383</v>
      </c>
      <c r="W650" s="9" t="str">
        <f aca="false">IF(U650="Lapsed - Follow Up",COUNTIF($U$2:U650,"Lapsed - Follow Up"),"")</f>
        <v/>
      </c>
    </row>
    <row r="651" customFormat="false" ht="15" hidden="false" customHeight="true" outlineLevel="0" collapsed="false">
      <c r="A651" s="9" t="str">
        <f aca="false">Raw_Donors!A651</f>
        <v>D1649</v>
      </c>
      <c r="B651" s="9" t="str">
        <f aca="false">IF(ISNUMBER(SEARCH("-DUP",A651)),"Duplicate ID","")</f>
        <v/>
      </c>
      <c r="C651" s="9" t="n">
        <f aca="false">Raw_Donors!B651</f>
        <v>27569</v>
      </c>
      <c r="D651" s="9" t="n">
        <f aca="false">Raw_Donors!C651</f>
        <v>0</v>
      </c>
      <c r="E651" s="9" t="str">
        <f aca="false">IFERROR(IF(Raw_Donors!D651="","Unknown",Raw_Donors!D651),"Unknown")</f>
        <v>Unknown</v>
      </c>
      <c r="F651" s="9" t="str">
        <f aca="false">IFERROR(IF(Raw_Donors!E651="","Unknown",Raw_Donors!E651),"Unknown")</f>
        <v>Male</v>
      </c>
      <c r="G651" s="9" t="str">
        <f aca="false">PROPER(TRIM(Raw_Donors!F651))</f>
        <v>Individual Donor</v>
      </c>
      <c r="H651" s="9" t="str">
        <f aca="false">IFERROR(IF(Raw_Donors!G651="","N",Raw_Donors!G651),"N")</f>
        <v>N</v>
      </c>
      <c r="I651" s="9" t="str">
        <f aca="false">IF(Raw_Donors!H651="","Not Rated",Raw_Donors!H651)</f>
        <v>Not Rated</v>
      </c>
      <c r="J651" s="9" t="str">
        <f aca="false">IF(TRIM(Raw_Donors!I651)="","Unknown",TRIM(Raw_Donors!I651))</f>
        <v>Unknown</v>
      </c>
      <c r="K651" s="9" t="str">
        <f aca="false">Raw_Donors!J651</f>
        <v>N</v>
      </c>
      <c r="L651" s="9" t="n">
        <f aca="false">Raw_Donors!K651</f>
        <v>1</v>
      </c>
      <c r="M651" s="10" t="n">
        <f aca="false">IFERROR(VALUE(SUBSTITUTE(SUBSTITUTE(Raw_Donors!L651,"$",""),",","")),0)</f>
        <v>0</v>
      </c>
      <c r="N651" s="10" t="n">
        <f aca="false">IFERROR(VALUE(SUBSTITUTE(SUBSTITUTE(Raw_Donors!M651,"$",""),",","")),0)</f>
        <v>0</v>
      </c>
      <c r="O651" s="10" t="n">
        <f aca="false">IFERROR(VALUE(SUBSTITUTE(SUBSTITUTE(Raw_Donors!N651,"$",""),",","")),0)</f>
        <v>0</v>
      </c>
      <c r="P651" s="10" t="n">
        <f aca="false">IFERROR(VALUE(SUBSTITUTE(SUBSTITUTE(Raw_Donors!O651,"$",""),",","")),0)</f>
        <v>0</v>
      </c>
      <c r="Q651" s="10" t="n">
        <f aca="false">IFERROR(VALUE(SUBSTITUTE(SUBSTITUTE(Raw_Donors!P651,"$",""),",","")),0)</f>
        <v>0</v>
      </c>
      <c r="R651" s="10" t="n">
        <f aca="false">Raw_Donors!Q651</f>
        <v>0</v>
      </c>
      <c r="S651" s="9" t="str">
        <f aca="false">Raw_Donors!R651</f>
        <v>N</v>
      </c>
      <c r="T651" s="9" t="str">
        <f aca="false">IF(Raw_Donors!S651="","",Raw_Donors!S651)</f>
        <v/>
      </c>
      <c r="U651" s="9" t="str">
        <f aca="false">IF(AND((O651+P651)&gt;0,Q651=0),"Lapsed - Follow Up","")</f>
        <v/>
      </c>
      <c r="V651" s="9" t="n">
        <f aca="false">RANK(R651,$R$2:$R$759)+COUNTIF($R$2:R651,R651)-1</f>
        <v>732</v>
      </c>
      <c r="W651" s="9" t="str">
        <f aca="false">IF(U651="Lapsed - Follow Up",COUNTIF($U$2:U651,"Lapsed - Follow Up"),"")</f>
        <v/>
      </c>
    </row>
    <row r="652" customFormat="false" ht="15" hidden="false" customHeight="true" outlineLevel="0" collapsed="false">
      <c r="A652" s="9" t="str">
        <f aca="false">Raw_Donors!A652</f>
        <v>D1650</v>
      </c>
      <c r="B652" s="9" t="str">
        <f aca="false">IF(ISNUMBER(SEARCH("-DUP",A652)),"Duplicate ID","")</f>
        <v/>
      </c>
      <c r="C652" s="9" t="n">
        <f aca="false">Raw_Donors!B652</f>
        <v>19316</v>
      </c>
      <c r="D652" s="9" t="n">
        <f aca="false">Raw_Donors!C652</f>
        <v>0</v>
      </c>
      <c r="E652" s="9" t="str">
        <f aca="false">IFERROR(IF(Raw_Donors!D652="","Unknown",Raw_Donors!D652),"Unknown")</f>
        <v>Unknown</v>
      </c>
      <c r="F652" s="9" t="str">
        <f aca="false">IFERROR(IF(Raw_Donors!E652="","Unknown",Raw_Donors!E652),"Unknown")</f>
        <v>Female</v>
      </c>
      <c r="G652" s="9" t="str">
        <f aca="false">PROPER(TRIM(Raw_Donors!F652))</f>
        <v>Individual Donor</v>
      </c>
      <c r="H652" s="9" t="str">
        <f aca="false">IFERROR(IF(Raw_Donors!G652="","N",Raw_Donors!G652),"N")</f>
        <v>N</v>
      </c>
      <c r="I652" s="9" t="str">
        <f aca="false">IF(Raw_Donors!H652="","Not Rated",Raw_Donors!H652)</f>
        <v>Not Rated</v>
      </c>
      <c r="J652" s="9" t="str">
        <f aca="false">IF(TRIM(Raw_Donors!I652)="","Unknown",TRIM(Raw_Donors!I652))</f>
        <v>HOME</v>
      </c>
      <c r="K652" s="9" t="str">
        <f aca="false">Raw_Donors!J652</f>
        <v>Y</v>
      </c>
      <c r="L652" s="9" t="n">
        <f aca="false">Raw_Donors!K652</f>
        <v>5</v>
      </c>
      <c r="M652" s="10" t="n">
        <f aca="false">IFERROR(VALUE(SUBSTITUTE(SUBSTITUTE(Raw_Donors!L652,"$",""),",","")),0)</f>
        <v>0</v>
      </c>
      <c r="N652" s="10" t="n">
        <f aca="false">IFERROR(VALUE(SUBSTITUTE(SUBSTITUTE(Raw_Donors!M652,"$",""),",","")),0)</f>
        <v>0</v>
      </c>
      <c r="O652" s="10" t="n">
        <f aca="false">IFERROR(VALUE(SUBSTITUTE(SUBSTITUTE(Raw_Donors!N652,"$",""),",","")),0)</f>
        <v>0</v>
      </c>
      <c r="P652" s="10" t="n">
        <f aca="false">IFERROR(VALUE(SUBSTITUTE(SUBSTITUTE(Raw_Donors!O652,"$",""),",","")),0)</f>
        <v>0</v>
      </c>
      <c r="Q652" s="10" t="n">
        <f aca="false">IFERROR(VALUE(SUBSTITUTE(SUBSTITUTE(Raw_Donors!P652,"$",""),",","")),0)</f>
        <v>0</v>
      </c>
      <c r="R652" s="10" t="n">
        <f aca="false">Raw_Donors!Q652</f>
        <v>95</v>
      </c>
      <c r="S652" s="9" t="str">
        <f aca="false">Raw_Donors!R652</f>
        <v>Y</v>
      </c>
      <c r="T652" s="9" t="str">
        <f aca="false">IF(Raw_Donors!S652="","",Raw_Donors!S652)</f>
        <v/>
      </c>
      <c r="U652" s="9" t="str">
        <f aca="false">IF(AND((O652+P652)&gt;0,Q652=0),"Lapsed - Follow Up","")</f>
        <v/>
      </c>
      <c r="V652" s="9" t="n">
        <f aca="false">RANK(R652,$R$2:$R$759)+COUNTIF($R$2:R652,R652)-1</f>
        <v>311</v>
      </c>
      <c r="W652" s="9" t="str">
        <f aca="false">IF(U652="Lapsed - Follow Up",COUNTIF($U$2:U652,"Lapsed - Follow Up"),"")</f>
        <v/>
      </c>
    </row>
    <row r="653" customFormat="false" ht="15" hidden="false" customHeight="true" outlineLevel="0" collapsed="false">
      <c r="A653" s="9" t="str">
        <f aca="false">Raw_Donors!A653</f>
        <v>D1651</v>
      </c>
      <c r="B653" s="9" t="str">
        <f aca="false">IF(ISNUMBER(SEARCH("-DUP",A653)),"Duplicate ID","")</f>
        <v/>
      </c>
      <c r="C653" s="9" t="n">
        <f aca="false">Raw_Donors!B653</f>
        <v>87515</v>
      </c>
      <c r="D653" s="9" t="n">
        <f aca="false">Raw_Donors!C653</f>
        <v>0</v>
      </c>
      <c r="E653" s="9" t="str">
        <f aca="false">IFERROR(IF(Raw_Donors!D653="","Unknown",Raw_Donors!D653),"Unknown")</f>
        <v>Unknown</v>
      </c>
      <c r="F653" s="9" t="str">
        <f aca="false">IFERROR(IF(Raw_Donors!E653="","Unknown",Raw_Donors!E653),"Unknown")</f>
        <v>Male</v>
      </c>
      <c r="G653" s="9" t="str">
        <f aca="false">PROPER(TRIM(Raw_Donors!F653))</f>
        <v>Individual Donor</v>
      </c>
      <c r="H653" s="9" t="str">
        <f aca="false">IFERROR(IF(Raw_Donors!G653="","N",Raw_Donors!G653),"N")</f>
        <v>N</v>
      </c>
      <c r="I653" s="9" t="str">
        <f aca="false">IF(Raw_Donors!H653="","Not Rated",Raw_Donors!H653)</f>
        <v>Not Rated</v>
      </c>
      <c r="J653" s="9" t="str">
        <f aca="false">IF(TRIM(Raw_Donors!I653)="","Unknown",TRIM(Raw_Donors!I653))</f>
        <v>HOME</v>
      </c>
      <c r="K653" s="9" t="str">
        <f aca="false">Raw_Donors!J653</f>
        <v>N</v>
      </c>
      <c r="L653" s="9" t="n">
        <f aca="false">Raw_Donors!K653</f>
        <v>1</v>
      </c>
      <c r="M653" s="10" t="n">
        <f aca="false">IFERROR(VALUE(SUBSTITUTE(SUBSTITUTE(Raw_Donors!L653,"$",""),",","")),0)</f>
        <v>0</v>
      </c>
      <c r="N653" s="10" t="n">
        <f aca="false">IFERROR(VALUE(SUBSTITUTE(SUBSTITUTE(Raw_Donors!M653,"$",""),",","")),0)</f>
        <v>0</v>
      </c>
      <c r="O653" s="10" t="n">
        <f aca="false">IFERROR(VALUE(SUBSTITUTE(SUBSTITUTE(Raw_Donors!N653,"$",""),",","")),0)</f>
        <v>0</v>
      </c>
      <c r="P653" s="10" t="n">
        <f aca="false">IFERROR(VALUE(SUBSTITUTE(SUBSTITUTE(Raw_Donors!O653,"$",""),",","")),0)</f>
        <v>0</v>
      </c>
      <c r="Q653" s="10" t="n">
        <f aca="false">IFERROR(VALUE(SUBSTITUTE(SUBSTITUTE(Raw_Donors!P653,"$",""),",","")),0)</f>
        <v>0</v>
      </c>
      <c r="R653" s="10" t="n">
        <f aca="false">Raw_Donors!Q653</f>
        <v>220</v>
      </c>
      <c r="S653" s="9" t="str">
        <f aca="false">Raw_Donors!R653</f>
        <v>Y</v>
      </c>
      <c r="T653" s="9" t="str">
        <f aca="false">IF(Raw_Donors!S653="","",Raw_Donors!S653)</f>
        <v/>
      </c>
      <c r="U653" s="9" t="str">
        <f aca="false">IF(AND((O653+P653)&gt;0,Q653=0),"Lapsed - Follow Up","")</f>
        <v/>
      </c>
      <c r="V653" s="9" t="n">
        <f aca="false">RANK(R653,$R$2:$R$759)+COUNTIF($R$2:R653,R653)-1</f>
        <v>188</v>
      </c>
      <c r="W653" s="9" t="str">
        <f aca="false">IF(U653="Lapsed - Follow Up",COUNTIF($U$2:U653,"Lapsed - Follow Up"),"")</f>
        <v/>
      </c>
    </row>
    <row r="654" customFormat="false" ht="15" hidden="false" customHeight="true" outlineLevel="0" collapsed="false">
      <c r="A654" s="9" t="str">
        <f aca="false">Raw_Donors!A654</f>
        <v>D1652</v>
      </c>
      <c r="B654" s="9" t="str">
        <f aca="false">IF(ISNUMBER(SEARCH("-DUP",A654)),"Duplicate ID","")</f>
        <v/>
      </c>
      <c r="C654" s="9" t="n">
        <f aca="false">Raw_Donors!B654</f>
        <v>33616</v>
      </c>
      <c r="D654" s="9" t="n">
        <f aca="false">Raw_Donors!C654</f>
        <v>0</v>
      </c>
      <c r="E654" s="9" t="str">
        <f aca="false">IFERROR(IF(Raw_Donors!D654="","Unknown",Raw_Donors!D654),"Unknown")</f>
        <v>Unknown</v>
      </c>
      <c r="F654" s="9" t="str">
        <f aca="false">IFERROR(IF(Raw_Donors!E654="","Unknown",Raw_Donors!E654),"Unknown")</f>
        <v>Male</v>
      </c>
      <c r="G654" s="9" t="str">
        <f aca="false">PROPER(TRIM(Raw_Donors!F654))</f>
        <v>Individual Donor</v>
      </c>
      <c r="H654" s="9" t="str">
        <f aca="false">IFERROR(IF(Raw_Donors!G654="","N",Raw_Donors!G654),"N")</f>
        <v>N</v>
      </c>
      <c r="I654" s="9" t="str">
        <f aca="false">IF(Raw_Donors!H654="","Not Rated",Raw_Donors!H654)</f>
        <v>Not Rated</v>
      </c>
      <c r="J654" s="9" t="str">
        <f aca="false">IF(TRIM(Raw_Donors!I654)="","Unknown",TRIM(Raw_Donors!I654))</f>
        <v>HOME</v>
      </c>
      <c r="K654" s="9" t="str">
        <f aca="false">Raw_Donors!J654</f>
        <v>N</v>
      </c>
      <c r="L654" s="9" t="n">
        <f aca="false">Raw_Donors!K654</f>
        <v>1</v>
      </c>
      <c r="M654" s="10" t="n">
        <f aca="false">IFERROR(VALUE(SUBSTITUTE(SUBSTITUTE(Raw_Donors!L654,"$",""),",","")),0)</f>
        <v>0</v>
      </c>
      <c r="N654" s="10" t="n">
        <f aca="false">IFERROR(VALUE(SUBSTITUTE(SUBSTITUTE(Raw_Donors!M654,"$",""),",","")),0)</f>
        <v>0</v>
      </c>
      <c r="O654" s="10" t="n">
        <f aca="false">IFERROR(VALUE(SUBSTITUTE(SUBSTITUTE(Raw_Donors!N654,"$",""),",","")),0)</f>
        <v>0</v>
      </c>
      <c r="P654" s="10" t="n">
        <f aca="false">IFERROR(VALUE(SUBSTITUTE(SUBSTITUTE(Raw_Donors!O654,"$",""),",","")),0)</f>
        <v>0</v>
      </c>
      <c r="Q654" s="10" t="n">
        <f aca="false">IFERROR(VALUE(SUBSTITUTE(SUBSTITUTE(Raw_Donors!P654,"$",""),",","")),0)</f>
        <v>0</v>
      </c>
      <c r="R654" s="10" t="n">
        <f aca="false">Raw_Donors!Q654</f>
        <v>75</v>
      </c>
      <c r="S654" s="9" t="str">
        <f aca="false">Raw_Donors!R654</f>
        <v>Y</v>
      </c>
      <c r="T654" s="9" t="str">
        <f aca="false">IF(Raw_Donors!S654="","",Raw_Donors!S654)</f>
        <v/>
      </c>
      <c r="U654" s="9" t="str">
        <f aca="false">IF(AND((O654+P654)&gt;0,Q654=0),"Lapsed - Follow Up","")</f>
        <v/>
      </c>
      <c r="V654" s="9" t="n">
        <f aca="false">RANK(R654,$R$2:$R$759)+COUNTIF($R$2:R654,R654)-1</f>
        <v>336</v>
      </c>
      <c r="W654" s="9" t="str">
        <f aca="false">IF(U654="Lapsed - Follow Up",COUNTIF($U$2:U654,"Lapsed - Follow Up"),"")</f>
        <v/>
      </c>
    </row>
    <row r="655" customFormat="false" ht="15" hidden="false" customHeight="true" outlineLevel="0" collapsed="false">
      <c r="A655" s="9" t="str">
        <f aca="false">Raw_Donors!A655</f>
        <v>D1653</v>
      </c>
      <c r="B655" s="9" t="str">
        <f aca="false">IF(ISNUMBER(SEARCH("-DUP",A655)),"Duplicate ID","")</f>
        <v/>
      </c>
      <c r="C655" s="9" t="n">
        <f aca="false">Raw_Donors!B655</f>
        <v>32412</v>
      </c>
      <c r="D655" s="9" t="n">
        <f aca="false">Raw_Donors!C655</f>
        <v>55</v>
      </c>
      <c r="E655" s="9" t="str">
        <f aca="false">IFERROR(IF(Raw_Donors!D655="","Unknown",Raw_Donors!D655),"Unknown")</f>
        <v>Unknown</v>
      </c>
      <c r="F655" s="9" t="str">
        <f aca="false">IFERROR(IF(Raw_Donors!E655="","Unknown",Raw_Donors!E655),"Unknown")</f>
        <v>Female</v>
      </c>
      <c r="G655" s="9" t="str">
        <f aca="false">PROPER(TRIM(Raw_Donors!F655))</f>
        <v>Individual Donor</v>
      </c>
      <c r="H655" s="9" t="str">
        <f aca="false">IFERROR(IF(Raw_Donors!G655="","N",Raw_Donors!G655),"N")</f>
        <v>N</v>
      </c>
      <c r="I655" s="9" t="str">
        <f aca="false">IF(Raw_Donors!H655="","Not Rated",Raw_Donors!H655)</f>
        <v>Not Rated</v>
      </c>
      <c r="J655" s="9" t="str">
        <f aca="false">IF(TRIM(Raw_Donors!I655)="","Unknown",TRIM(Raw_Donors!I655))</f>
        <v>HOME</v>
      </c>
      <c r="K655" s="9" t="str">
        <f aca="false">Raw_Donors!J655</f>
        <v>N</v>
      </c>
      <c r="L655" s="9" t="n">
        <f aca="false">Raw_Donors!K655</f>
        <v>0</v>
      </c>
      <c r="M655" s="10" t="n">
        <f aca="false">IFERROR(VALUE(SUBSTITUTE(SUBSTITUTE(Raw_Donors!L655,"$",""),",","")),0)</f>
        <v>0</v>
      </c>
      <c r="N655" s="10" t="n">
        <f aca="false">IFERROR(VALUE(SUBSTITUTE(SUBSTITUTE(Raw_Donors!M655,"$",""),",","")),0)</f>
        <v>0</v>
      </c>
      <c r="O655" s="10" t="n">
        <f aca="false">IFERROR(VALUE(SUBSTITUTE(SUBSTITUTE(Raw_Donors!N655,"$",""),",","")),0)</f>
        <v>0</v>
      </c>
      <c r="P655" s="10" t="n">
        <f aca="false">IFERROR(VALUE(SUBSTITUTE(SUBSTITUTE(Raw_Donors!O655,"$",""),",","")),0)</f>
        <v>0</v>
      </c>
      <c r="Q655" s="10" t="n">
        <f aca="false">IFERROR(VALUE(SUBSTITUTE(SUBSTITUTE(Raw_Donors!P655,"$",""),",","")),0)</f>
        <v>0</v>
      </c>
      <c r="R655" s="10" t="n">
        <f aca="false">Raw_Donors!Q655</f>
        <v>70</v>
      </c>
      <c r="S655" s="9" t="str">
        <f aca="false">Raw_Donors!R655</f>
        <v>Y</v>
      </c>
      <c r="T655" s="9" t="str">
        <f aca="false">IF(Raw_Donors!S655="","",Raw_Donors!S655)</f>
        <v>1962-03-23</v>
      </c>
      <c r="U655" s="9" t="str">
        <f aca="false">IF(AND((O655+P655)&gt;0,Q655=0),"Lapsed - Follow Up","")</f>
        <v/>
      </c>
      <c r="V655" s="9" t="n">
        <f aca="false">RANK(R655,$R$2:$R$759)+COUNTIF($R$2:R655,R655)-1</f>
        <v>343</v>
      </c>
      <c r="W655" s="9" t="str">
        <f aca="false">IF(U655="Lapsed - Follow Up",COUNTIF($U$2:U655,"Lapsed - Follow Up"),"")</f>
        <v/>
      </c>
    </row>
    <row r="656" customFormat="false" ht="15" hidden="false" customHeight="true" outlineLevel="0" collapsed="false">
      <c r="A656" s="9" t="str">
        <f aca="false">Raw_Donors!A656</f>
        <v>D1654</v>
      </c>
      <c r="B656" s="9" t="str">
        <f aca="false">IF(ISNUMBER(SEARCH("-DUP",A656)),"Duplicate ID","")</f>
        <v/>
      </c>
      <c r="C656" s="9" t="n">
        <f aca="false">Raw_Donors!B656</f>
        <v>33459</v>
      </c>
      <c r="D656" s="9" t="n">
        <f aca="false">Raw_Donors!C656</f>
        <v>36</v>
      </c>
      <c r="E656" s="9" t="str">
        <f aca="false">IFERROR(IF(Raw_Donors!D656="","Unknown",Raw_Donors!D656),"Unknown")</f>
        <v>Unknown</v>
      </c>
      <c r="F656" s="9" t="str">
        <f aca="false">IFERROR(IF(Raw_Donors!E656="","Unknown",Raw_Donors!E656),"Unknown")</f>
        <v>Female</v>
      </c>
      <c r="G656" s="9" t="str">
        <f aca="false">PROPER(TRIM(Raw_Donors!F656))</f>
        <v>Individual Donor</v>
      </c>
      <c r="H656" s="9" t="str">
        <f aca="false">IFERROR(IF(Raw_Donors!G656="","N",Raw_Donors!G656),"N")</f>
        <v>N</v>
      </c>
      <c r="I656" s="9" t="str">
        <f aca="false">IF(Raw_Donors!H656="","Not Rated",Raw_Donors!H656)</f>
        <v>Not Rated</v>
      </c>
      <c r="J656" s="9" t="str">
        <f aca="false">IF(TRIM(Raw_Donors!I656)="","Unknown",TRIM(Raw_Donors!I656))</f>
        <v>HOME</v>
      </c>
      <c r="K656" s="9" t="str">
        <f aca="false">Raw_Donors!J656</f>
        <v>N</v>
      </c>
      <c r="L656" s="9" t="n">
        <f aca="false">Raw_Donors!K656</f>
        <v>0</v>
      </c>
      <c r="M656" s="10" t="n">
        <f aca="false">IFERROR(VALUE(SUBSTITUTE(SUBSTITUTE(Raw_Donors!L656,"$",""),",","")),0)</f>
        <v>0</v>
      </c>
      <c r="N656" s="10" t="n">
        <f aca="false">IFERROR(VALUE(SUBSTITUTE(SUBSTITUTE(Raw_Donors!M656,"$",""),",","")),0)</f>
        <v>50</v>
      </c>
      <c r="O656" s="10" t="n">
        <f aca="false">IFERROR(VALUE(SUBSTITUTE(SUBSTITUTE(Raw_Donors!N656,"$",""),",","")),0)</f>
        <v>0</v>
      </c>
      <c r="P656" s="10" t="n">
        <f aca="false">IFERROR(VALUE(SUBSTITUTE(SUBSTITUTE(Raw_Donors!O656,"$",""),",","")),0)</f>
        <v>0</v>
      </c>
      <c r="Q656" s="10" t="n">
        <f aca="false">IFERROR(VALUE(SUBSTITUTE(SUBSTITUTE(Raw_Donors!P656,"$",""),",","")),0)</f>
        <v>0</v>
      </c>
      <c r="R656" s="10" t="n">
        <f aca="false">Raw_Donors!Q656</f>
        <v>100</v>
      </c>
      <c r="S656" s="9" t="str">
        <f aca="false">Raw_Donors!R656</f>
        <v>Y</v>
      </c>
      <c r="T656" s="9" t="str">
        <f aca="false">IF(Raw_Donors!S656="","",Raw_Donors!S656)</f>
        <v>1981-08-23</v>
      </c>
      <c r="U656" s="9" t="str">
        <f aca="false">IF(AND((O656+P656)&gt;0,Q656=0),"Lapsed - Follow Up","")</f>
        <v/>
      </c>
      <c r="V656" s="9" t="n">
        <f aca="false">RANK(R656,$R$2:$R$759)+COUNTIF($R$2:R656,R656)-1</f>
        <v>300</v>
      </c>
      <c r="W656" s="9" t="str">
        <f aca="false">IF(U656="Lapsed - Follow Up",COUNTIF($U$2:U656,"Lapsed - Follow Up"),"")</f>
        <v/>
      </c>
    </row>
    <row r="657" customFormat="false" ht="15" hidden="false" customHeight="true" outlineLevel="0" collapsed="false">
      <c r="A657" s="9" t="str">
        <f aca="false">Raw_Donors!A657</f>
        <v>D1655</v>
      </c>
      <c r="B657" s="9" t="str">
        <f aca="false">IF(ISNUMBER(SEARCH("-DUP",A657)),"Duplicate ID","")</f>
        <v/>
      </c>
      <c r="C657" s="9" t="n">
        <f aca="false">Raw_Donors!B657</f>
        <v>93301</v>
      </c>
      <c r="D657" s="9" t="n">
        <f aca="false">Raw_Donors!C657</f>
        <v>0</v>
      </c>
      <c r="E657" s="9" t="str">
        <f aca="false">IFERROR(IF(Raw_Donors!D657="","Unknown",Raw_Donors!D657),"Unknown")</f>
        <v>Single</v>
      </c>
      <c r="F657" s="9" t="str">
        <f aca="false">IFERROR(IF(Raw_Donors!E657="","Unknown",Raw_Donors!E657),"Unknown")</f>
        <v>Female</v>
      </c>
      <c r="G657" s="9" t="str">
        <f aca="false">PROPER(TRIM(Raw_Donors!F657))</f>
        <v>Individual Donor</v>
      </c>
      <c r="H657" s="9" t="str">
        <f aca="false">IFERROR(IF(Raw_Donors!G657="","N",Raw_Donors!G657),"N")</f>
        <v>N</v>
      </c>
      <c r="I657" s="9" t="str">
        <f aca="false">IF(Raw_Donors!H657="","Not Rated",Raw_Donors!H657)</f>
        <v>Not Rated</v>
      </c>
      <c r="J657" s="9" t="str">
        <f aca="false">IF(TRIM(Raw_Donors!I657)="","Unknown",TRIM(Raw_Donors!I657))</f>
        <v>Unknown</v>
      </c>
      <c r="K657" s="9" t="str">
        <f aca="false">Raw_Donors!J657</f>
        <v>N</v>
      </c>
      <c r="L657" s="9" t="n">
        <f aca="false">Raw_Donors!K657</f>
        <v>0</v>
      </c>
      <c r="M657" s="10" t="n">
        <f aca="false">IFERROR(VALUE(SUBSTITUTE(SUBSTITUTE(Raw_Donors!L657,"$",""),",","")),0)</f>
        <v>0</v>
      </c>
      <c r="N657" s="10" t="n">
        <f aca="false">IFERROR(VALUE(SUBSTITUTE(SUBSTITUTE(Raw_Donors!M657,"$",""),",","")),0)</f>
        <v>0</v>
      </c>
      <c r="O657" s="10" t="n">
        <f aca="false">IFERROR(VALUE(SUBSTITUTE(SUBSTITUTE(Raw_Donors!N657,"$",""),",","")),0)</f>
        <v>0</v>
      </c>
      <c r="P657" s="10" t="n">
        <f aca="false">IFERROR(VALUE(SUBSTITUTE(SUBSTITUTE(Raw_Donors!O657,"$",""),",","")),0)</f>
        <v>0</v>
      </c>
      <c r="Q657" s="10" t="n">
        <f aca="false">IFERROR(VALUE(SUBSTITUTE(SUBSTITUTE(Raw_Donors!P657,"$",""),",","")),0)</f>
        <v>0</v>
      </c>
      <c r="R657" s="10" t="n">
        <f aca="false">Raw_Donors!Q657</f>
        <v>0</v>
      </c>
      <c r="S657" s="9" t="str">
        <f aca="false">Raw_Donors!R657</f>
        <v>N</v>
      </c>
      <c r="T657" s="9" t="str">
        <f aca="false">IF(Raw_Donors!S657="","",Raw_Donors!S657)</f>
        <v/>
      </c>
      <c r="U657" s="9" t="str">
        <f aca="false">IF(AND((O657+P657)&gt;0,Q657=0),"Lapsed - Follow Up","")</f>
        <v/>
      </c>
      <c r="V657" s="9" t="n">
        <f aca="false">RANK(R657,$R$2:$R$759)+COUNTIF($R$2:R657,R657)-1</f>
        <v>733</v>
      </c>
      <c r="W657" s="9" t="str">
        <f aca="false">IF(U657="Lapsed - Follow Up",COUNTIF($U$2:U657,"Lapsed - Follow Up"),"")</f>
        <v/>
      </c>
    </row>
    <row r="658" customFormat="false" ht="15" hidden="false" customHeight="true" outlineLevel="0" collapsed="false">
      <c r="A658" s="9" t="str">
        <f aca="false">Raw_Donors!A658</f>
        <v>D1656</v>
      </c>
      <c r="B658" s="9" t="str">
        <f aca="false">IF(ISNUMBER(SEARCH("-DUP",A658)),"Duplicate ID","")</f>
        <v/>
      </c>
      <c r="C658" s="9" t="n">
        <f aca="false">Raw_Donors!B658</f>
        <v>54847</v>
      </c>
      <c r="D658" s="9" t="n">
        <f aca="false">Raw_Donors!C658</f>
        <v>0</v>
      </c>
      <c r="E658" s="9" t="str">
        <f aca="false">IFERROR(IF(Raw_Donors!D658="","Unknown",Raw_Donors!D658),"Unknown")</f>
        <v>Unknown</v>
      </c>
      <c r="F658" s="9" t="str">
        <f aca="false">IFERROR(IF(Raw_Donors!E658="","Unknown",Raw_Donors!E658),"Unknown")</f>
        <v>Female</v>
      </c>
      <c r="G658" s="9" t="str">
        <f aca="false">PROPER(TRIM(Raw_Donors!F658))</f>
        <v>Individual Donor</v>
      </c>
      <c r="H658" s="9" t="str">
        <f aca="false">IFERROR(IF(Raw_Donors!G658="","N",Raw_Donors!G658),"N")</f>
        <v>N</v>
      </c>
      <c r="I658" s="9" t="str">
        <f aca="false">IF(Raw_Donors!H658="","Not Rated",Raw_Donors!H658)</f>
        <v>Not Rated</v>
      </c>
      <c r="J658" s="9" t="str">
        <f aca="false">IF(TRIM(Raw_Donors!I658)="","Unknown",TRIM(Raw_Donors!I658))</f>
        <v>HOME</v>
      </c>
      <c r="K658" s="9" t="str">
        <f aca="false">Raw_Donors!J658</f>
        <v>N</v>
      </c>
      <c r="L658" s="9" t="n">
        <f aca="false">Raw_Donors!K658</f>
        <v>1</v>
      </c>
      <c r="M658" s="10" t="n">
        <f aca="false">IFERROR(VALUE(SUBSTITUTE(SUBSTITUTE(Raw_Donors!L658,"$",""),",","")),0)</f>
        <v>0</v>
      </c>
      <c r="N658" s="10" t="n">
        <f aca="false">IFERROR(VALUE(SUBSTITUTE(SUBSTITUTE(Raw_Donors!M658,"$",""),",","")),0)</f>
        <v>0</v>
      </c>
      <c r="O658" s="10" t="n">
        <f aca="false">IFERROR(VALUE(SUBSTITUTE(SUBSTITUTE(Raw_Donors!N658,"$",""),",","")),0)</f>
        <v>0</v>
      </c>
      <c r="P658" s="10" t="n">
        <f aca="false">IFERROR(VALUE(SUBSTITUTE(SUBSTITUTE(Raw_Donors!O658,"$",""),",","")),0)</f>
        <v>0</v>
      </c>
      <c r="Q658" s="10" t="n">
        <f aca="false">IFERROR(VALUE(SUBSTITUTE(SUBSTITUTE(Raw_Donors!P658,"$",""),",","")),0)</f>
        <v>0</v>
      </c>
      <c r="R658" s="10" t="n">
        <f aca="false">Raw_Donors!Q658</f>
        <v>100</v>
      </c>
      <c r="S658" s="9" t="str">
        <f aca="false">Raw_Donors!R658</f>
        <v>Y</v>
      </c>
      <c r="T658" s="9" t="str">
        <f aca="false">IF(Raw_Donors!S658="","",Raw_Donors!S658)</f>
        <v/>
      </c>
      <c r="U658" s="9" t="str">
        <f aca="false">IF(AND((O658+P658)&gt;0,Q658=0),"Lapsed - Follow Up","")</f>
        <v/>
      </c>
      <c r="V658" s="9" t="n">
        <f aca="false">RANK(R658,$R$2:$R$759)+COUNTIF($R$2:R658,R658)-1</f>
        <v>301</v>
      </c>
      <c r="W658" s="9" t="str">
        <f aca="false">IF(U658="Lapsed - Follow Up",COUNTIF($U$2:U658,"Lapsed - Follow Up"),"")</f>
        <v/>
      </c>
    </row>
    <row r="659" customFormat="false" ht="15" hidden="false" customHeight="true" outlineLevel="0" collapsed="false">
      <c r="A659" s="9" t="str">
        <f aca="false">Raw_Donors!A659</f>
        <v>D1657</v>
      </c>
      <c r="B659" s="9" t="str">
        <f aca="false">IF(ISNUMBER(SEARCH("-DUP",A659)),"Duplicate ID","")</f>
        <v/>
      </c>
      <c r="C659" s="9" t="n">
        <f aca="false">Raw_Donors!B659</f>
        <v>98070</v>
      </c>
      <c r="D659" s="9" t="n">
        <f aca="false">Raw_Donors!C659</f>
        <v>0</v>
      </c>
      <c r="E659" s="9" t="str">
        <f aca="false">IFERROR(IF(Raw_Donors!D659="","Unknown",Raw_Donors!D659),"Unknown")</f>
        <v>Unknown</v>
      </c>
      <c r="F659" s="9" t="str">
        <f aca="false">IFERROR(IF(Raw_Donors!E659="","Unknown",Raw_Donors!E659),"Unknown")</f>
        <v>Female</v>
      </c>
      <c r="G659" s="9" t="str">
        <f aca="false">PROPER(TRIM(Raw_Donors!F659))</f>
        <v>Community Partner</v>
      </c>
      <c r="H659" s="9" t="str">
        <f aca="false">IFERROR(IF(Raw_Donors!G659="","N",Raw_Donors!G659),"N")</f>
        <v>N</v>
      </c>
      <c r="I659" s="9" t="str">
        <f aca="false">IF(Raw_Donors!H659="","Not Rated",Raw_Donors!H659)</f>
        <v>Not Rated</v>
      </c>
      <c r="J659" s="9" t="str">
        <f aca="false">IF(TRIM(Raw_Donors!I659)="","Unknown",TRIM(Raw_Donors!I659))</f>
        <v>Unknown</v>
      </c>
      <c r="K659" s="9" t="str">
        <f aca="false">Raw_Donors!J659</f>
        <v>N</v>
      </c>
      <c r="L659" s="9" t="n">
        <f aca="false">Raw_Donors!K659</f>
        <v>0</v>
      </c>
      <c r="M659" s="10" t="n">
        <f aca="false">IFERROR(VALUE(SUBSTITUTE(SUBSTITUTE(Raw_Donors!L659,"$",""),",","")),0)</f>
        <v>0</v>
      </c>
      <c r="N659" s="10" t="n">
        <f aca="false">IFERROR(VALUE(SUBSTITUTE(SUBSTITUTE(Raw_Donors!M659,"$",""),",","")),0)</f>
        <v>0</v>
      </c>
      <c r="O659" s="10" t="n">
        <f aca="false">IFERROR(VALUE(SUBSTITUTE(SUBSTITUTE(Raw_Donors!N659,"$",""),",","")),0)</f>
        <v>0</v>
      </c>
      <c r="P659" s="10" t="n">
        <f aca="false">IFERROR(VALUE(SUBSTITUTE(SUBSTITUTE(Raw_Donors!O659,"$",""),",","")),0)</f>
        <v>0</v>
      </c>
      <c r="Q659" s="10" t="n">
        <f aca="false">IFERROR(VALUE(SUBSTITUTE(SUBSTITUTE(Raw_Donors!P659,"$",""),",","")),0)</f>
        <v>0</v>
      </c>
      <c r="R659" s="10" t="n">
        <f aca="false">Raw_Donors!Q659</f>
        <v>0</v>
      </c>
      <c r="S659" s="9" t="str">
        <f aca="false">Raw_Donors!R659</f>
        <v>N</v>
      </c>
      <c r="T659" s="9" t="str">
        <f aca="false">IF(Raw_Donors!S659="","",Raw_Donors!S659)</f>
        <v/>
      </c>
      <c r="U659" s="9" t="str">
        <f aca="false">IF(AND((O659+P659)&gt;0,Q659=0),"Lapsed - Follow Up","")</f>
        <v/>
      </c>
      <c r="V659" s="9" t="n">
        <f aca="false">RANK(R659,$R$2:$R$759)+COUNTIF($R$2:R659,R659)-1</f>
        <v>734</v>
      </c>
      <c r="W659" s="9" t="str">
        <f aca="false">IF(U659="Lapsed - Follow Up",COUNTIF($U$2:U659,"Lapsed - Follow Up"),"")</f>
        <v/>
      </c>
    </row>
    <row r="660" customFormat="false" ht="15" hidden="false" customHeight="true" outlineLevel="0" collapsed="false">
      <c r="A660" s="9" t="str">
        <f aca="false">Raw_Donors!A660</f>
        <v>D1658</v>
      </c>
      <c r="B660" s="9" t="str">
        <f aca="false">IF(ISNUMBER(SEARCH("-DUP",A660)),"Duplicate ID","")</f>
        <v/>
      </c>
      <c r="C660" s="9" t="n">
        <f aca="false">Raw_Donors!B660</f>
        <v>13673</v>
      </c>
      <c r="D660" s="9" t="n">
        <f aca="false">Raw_Donors!C660</f>
        <v>0</v>
      </c>
      <c r="E660" s="9" t="str">
        <f aca="false">IFERROR(IF(Raw_Donors!D660="","Unknown",Raw_Donors!D660),"Unknown")</f>
        <v>Unknown</v>
      </c>
      <c r="F660" s="9" t="str">
        <f aca="false">IFERROR(IF(Raw_Donors!E660="","Unknown",Raw_Donors!E660),"Unknown")</f>
        <v>Male</v>
      </c>
      <c r="G660" s="9" t="str">
        <f aca="false">PROPER(TRIM(Raw_Donors!F660))</f>
        <v>Community Partner</v>
      </c>
      <c r="H660" s="9" t="str">
        <f aca="false">IFERROR(IF(Raw_Donors!G660="","N",Raw_Donors!G660),"N")</f>
        <v>Y</v>
      </c>
      <c r="I660" s="9" t="str">
        <f aca="false">IF(Raw_Donors!H660="","Not Rated",Raw_Donors!H660)</f>
        <v>Not Rated</v>
      </c>
      <c r="J660" s="9" t="str">
        <f aca="false">IF(TRIM(Raw_Donors!I660)="","Unknown",TRIM(Raw_Donors!I660))</f>
        <v>HOME</v>
      </c>
      <c r="K660" s="9" t="str">
        <f aca="false">Raw_Donors!J660</f>
        <v>Y</v>
      </c>
      <c r="L660" s="9" t="n">
        <f aca="false">Raw_Donors!K660</f>
        <v>2</v>
      </c>
      <c r="M660" s="10" t="n">
        <f aca="false">IFERROR(VALUE(SUBSTITUTE(SUBSTITUTE(Raw_Donors!L660,"$",""),",","")),0)</f>
        <v>0</v>
      </c>
      <c r="N660" s="10" t="n">
        <f aca="false">IFERROR(VALUE(SUBSTITUTE(SUBSTITUTE(Raw_Donors!M660,"$",""),",","")),0)</f>
        <v>0</v>
      </c>
      <c r="O660" s="10" t="n">
        <f aca="false">IFERROR(VALUE(SUBSTITUTE(SUBSTITUTE(Raw_Donors!N660,"$",""),",","")),0)</f>
        <v>0</v>
      </c>
      <c r="P660" s="10" t="n">
        <f aca="false">IFERROR(VALUE(SUBSTITUTE(SUBSTITUTE(Raw_Donors!O660,"$",""),",","")),0)</f>
        <v>0</v>
      </c>
      <c r="Q660" s="10" t="n">
        <f aca="false">IFERROR(VALUE(SUBSTITUTE(SUBSTITUTE(Raw_Donors!P660,"$",""),",","")),0)</f>
        <v>0</v>
      </c>
      <c r="R660" s="10" t="n">
        <f aca="false">Raw_Donors!Q660</f>
        <v>215</v>
      </c>
      <c r="S660" s="9" t="str">
        <f aca="false">Raw_Donors!R660</f>
        <v>Y</v>
      </c>
      <c r="T660" s="9" t="str">
        <f aca="false">IF(Raw_Donors!S660="","",Raw_Donors!S660)</f>
        <v/>
      </c>
      <c r="U660" s="9" t="str">
        <f aca="false">IF(AND((O660+P660)&gt;0,Q660=0),"Lapsed - Follow Up","")</f>
        <v/>
      </c>
      <c r="V660" s="9" t="n">
        <f aca="false">RANK(R660,$R$2:$R$759)+COUNTIF($R$2:R660,R660)-1</f>
        <v>189</v>
      </c>
      <c r="W660" s="9" t="str">
        <f aca="false">IF(U660="Lapsed - Follow Up",COUNTIF($U$2:U660,"Lapsed - Follow Up"),"")</f>
        <v/>
      </c>
    </row>
    <row r="661" customFormat="false" ht="15" hidden="false" customHeight="true" outlineLevel="0" collapsed="false">
      <c r="A661" s="9" t="str">
        <f aca="false">Raw_Donors!A661</f>
        <v>D1659</v>
      </c>
      <c r="B661" s="9" t="str">
        <f aca="false">IF(ISNUMBER(SEARCH("-DUP",A661)),"Duplicate ID","")</f>
        <v/>
      </c>
      <c r="C661" s="9" t="n">
        <f aca="false">Raw_Donors!B661</f>
        <v>68881</v>
      </c>
      <c r="D661" s="9" t="n">
        <f aca="false">Raw_Donors!C661</f>
        <v>0</v>
      </c>
      <c r="E661" s="9" t="str">
        <f aca="false">IFERROR(IF(Raw_Donors!D661="","Unknown",Raw_Donors!D661),"Unknown")</f>
        <v>Unknown</v>
      </c>
      <c r="F661" s="9" t="str">
        <f aca="false">IFERROR(IF(Raw_Donors!E661="","Unknown",Raw_Donors!E661),"Unknown")</f>
        <v>Male</v>
      </c>
      <c r="G661" s="9" t="str">
        <f aca="false">PROPER(TRIM(Raw_Donors!F661))</f>
        <v>Individual Donor</v>
      </c>
      <c r="H661" s="9" t="str">
        <f aca="false">IFERROR(IF(Raw_Donors!G661="","N",Raw_Donors!G661),"N")</f>
        <v>N</v>
      </c>
      <c r="I661" s="9" t="str">
        <f aca="false">IF(Raw_Donors!H661="","Not Rated",Raw_Donors!H661)</f>
        <v>Not Rated</v>
      </c>
      <c r="J661" s="9" t="str">
        <f aca="false">IF(TRIM(Raw_Donors!I661)="","Unknown",TRIM(Raw_Donors!I661))</f>
        <v>HOME</v>
      </c>
      <c r="K661" s="9" t="str">
        <f aca="false">Raw_Donors!J661</f>
        <v>N</v>
      </c>
      <c r="L661" s="9" t="n">
        <f aca="false">Raw_Donors!K661</f>
        <v>0</v>
      </c>
      <c r="M661" s="10" t="n">
        <f aca="false">IFERROR(VALUE(SUBSTITUTE(SUBSTITUTE(Raw_Donors!L661,"$",""),",","")),0)</f>
        <v>0</v>
      </c>
      <c r="N661" s="10" t="n">
        <f aca="false">IFERROR(VALUE(SUBSTITUTE(SUBSTITUTE(Raw_Donors!M661,"$",""),",","")),0)</f>
        <v>0</v>
      </c>
      <c r="O661" s="10" t="n">
        <f aca="false">IFERROR(VALUE(SUBSTITUTE(SUBSTITUTE(Raw_Donors!N661,"$",""),",","")),0)</f>
        <v>0</v>
      </c>
      <c r="P661" s="10" t="n">
        <f aca="false">IFERROR(VALUE(SUBSTITUTE(SUBSTITUTE(Raw_Donors!O661,"$",""),",","")),0)</f>
        <v>0</v>
      </c>
      <c r="Q661" s="10" t="n">
        <f aca="false">IFERROR(VALUE(SUBSTITUTE(SUBSTITUTE(Raw_Donors!P661,"$",""),",","")),0)</f>
        <v>0</v>
      </c>
      <c r="R661" s="10" t="n">
        <f aca="false">Raw_Donors!Q661</f>
        <v>0</v>
      </c>
      <c r="S661" s="9" t="str">
        <f aca="false">Raw_Donors!R661</f>
        <v>N</v>
      </c>
      <c r="T661" s="9" t="str">
        <f aca="false">IF(Raw_Donors!S661="","",Raw_Donors!S661)</f>
        <v/>
      </c>
      <c r="U661" s="9" t="str">
        <f aca="false">IF(AND((O661+P661)&gt;0,Q661=0),"Lapsed - Follow Up","")</f>
        <v/>
      </c>
      <c r="V661" s="9" t="n">
        <f aca="false">RANK(R661,$R$2:$R$759)+COUNTIF($R$2:R661,R661)-1</f>
        <v>735</v>
      </c>
      <c r="W661" s="9" t="str">
        <f aca="false">IF(U661="Lapsed - Follow Up",COUNTIF($U$2:U661,"Lapsed - Follow Up"),"")</f>
        <v/>
      </c>
    </row>
    <row r="662" customFormat="false" ht="15" hidden="false" customHeight="true" outlineLevel="0" collapsed="false">
      <c r="A662" s="9" t="str">
        <f aca="false">Raw_Donors!A662</f>
        <v>D1660</v>
      </c>
      <c r="B662" s="9" t="str">
        <f aca="false">IF(ISNUMBER(SEARCH("-DUP",A662)),"Duplicate ID","")</f>
        <v/>
      </c>
      <c r="C662" s="9" t="n">
        <f aca="false">Raw_Donors!B662</f>
        <v>38746</v>
      </c>
      <c r="D662" s="9" t="n">
        <f aca="false">Raw_Donors!C662</f>
        <v>0</v>
      </c>
      <c r="E662" s="9" t="str">
        <f aca="false">IFERROR(IF(Raw_Donors!D662="","Unknown",Raw_Donors!D662),"Unknown")</f>
        <v>Single</v>
      </c>
      <c r="F662" s="9" t="str">
        <f aca="false">IFERROR(IF(Raw_Donors!E662="","Unknown",Raw_Donors!E662),"Unknown")</f>
        <v>Female</v>
      </c>
      <c r="G662" s="9" t="str">
        <f aca="false">PROPER(TRIM(Raw_Donors!F662))</f>
        <v>Individual Donor</v>
      </c>
      <c r="H662" s="9" t="str">
        <f aca="false">IFERROR(IF(Raw_Donors!G662="","N",Raw_Donors!G662),"N")</f>
        <v>N</v>
      </c>
      <c r="I662" s="9" t="str">
        <f aca="false">IF(Raw_Donors!H662="","Not Rated",Raw_Donors!H662)</f>
        <v>Not Rated</v>
      </c>
      <c r="J662" s="9" t="str">
        <f aca="false">IF(TRIM(Raw_Donors!I662)="","Unknown",TRIM(Raw_Donors!I662))</f>
        <v>HOME</v>
      </c>
      <c r="K662" s="9" t="str">
        <f aca="false">Raw_Donors!J662</f>
        <v>N</v>
      </c>
      <c r="L662" s="9" t="n">
        <f aca="false">Raw_Donors!K662</f>
        <v>1</v>
      </c>
      <c r="M662" s="10" t="n">
        <f aca="false">IFERROR(VALUE(SUBSTITUTE(SUBSTITUTE(Raw_Donors!L662,"$",""),",","")),0)</f>
        <v>0</v>
      </c>
      <c r="N662" s="10" t="n">
        <f aca="false">IFERROR(VALUE(SUBSTITUTE(SUBSTITUTE(Raw_Donors!M662,"$",""),",","")),0)</f>
        <v>0</v>
      </c>
      <c r="O662" s="10" t="n">
        <f aca="false">IFERROR(VALUE(SUBSTITUTE(SUBSTITUTE(Raw_Donors!N662,"$",""),",","")),0)</f>
        <v>0</v>
      </c>
      <c r="P662" s="10" t="n">
        <f aca="false">IFERROR(VALUE(SUBSTITUTE(SUBSTITUTE(Raw_Donors!O662,"$",""),",","")),0)</f>
        <v>0</v>
      </c>
      <c r="Q662" s="10" t="n">
        <f aca="false">IFERROR(VALUE(SUBSTITUTE(SUBSTITUTE(Raw_Donors!P662,"$",""),",","")),0)</f>
        <v>0</v>
      </c>
      <c r="R662" s="10" t="n">
        <f aca="false">Raw_Donors!Q662</f>
        <v>35</v>
      </c>
      <c r="S662" s="9" t="str">
        <f aca="false">Raw_Donors!R662</f>
        <v>Y</v>
      </c>
      <c r="T662" s="9" t="str">
        <f aca="false">IF(Raw_Donors!S662="","",Raw_Donors!S662)</f>
        <v/>
      </c>
      <c r="U662" s="9" t="str">
        <f aca="false">IF(AND((O662+P662)&gt;0,Q662=0),"Lapsed - Follow Up","")</f>
        <v/>
      </c>
      <c r="V662" s="9" t="n">
        <f aca="false">RANK(R662,$R$2:$R$759)+COUNTIF($R$2:R662,R662)-1</f>
        <v>410</v>
      </c>
      <c r="W662" s="9" t="str">
        <f aca="false">IF(U662="Lapsed - Follow Up",COUNTIF($U$2:U662,"Lapsed - Follow Up"),"")</f>
        <v/>
      </c>
    </row>
    <row r="663" customFormat="false" ht="15" hidden="false" customHeight="true" outlineLevel="0" collapsed="false">
      <c r="A663" s="9" t="str">
        <f aca="false">Raw_Donors!A663</f>
        <v>D1661</v>
      </c>
      <c r="B663" s="9" t="str">
        <f aca="false">IF(ISNUMBER(SEARCH("-DUP",A663)),"Duplicate ID","")</f>
        <v/>
      </c>
      <c r="C663" s="9" t="n">
        <f aca="false">Raw_Donors!B663</f>
        <v>75248</v>
      </c>
      <c r="D663" s="9" t="n">
        <f aca="false">Raw_Donors!C663</f>
        <v>34</v>
      </c>
      <c r="E663" s="9" t="str">
        <f aca="false">IFERROR(IF(Raw_Donors!D663="","Unknown",Raw_Donors!D663),"Unknown")</f>
        <v>Unknown</v>
      </c>
      <c r="F663" s="9" t="str">
        <f aca="false">IFERROR(IF(Raw_Donors!E663="","Unknown",Raw_Donors!E663),"Unknown")</f>
        <v>Unknown</v>
      </c>
      <c r="G663" s="9" t="str">
        <f aca="false">PROPER(TRIM(Raw_Donors!F663))</f>
        <v>Individual Donor</v>
      </c>
      <c r="H663" s="9" t="str">
        <f aca="false">IFERROR(IF(Raw_Donors!G663="","N",Raw_Donors!G663),"N")</f>
        <v>N</v>
      </c>
      <c r="I663" s="9" t="str">
        <f aca="false">IF(Raw_Donors!H663="","Not Rated",Raw_Donors!H663)</f>
        <v>Not Rated</v>
      </c>
      <c r="J663" s="9" t="str">
        <f aca="false">IF(TRIM(Raw_Donors!I663)="","Unknown",TRIM(Raw_Donors!I663))</f>
        <v>HOME</v>
      </c>
      <c r="K663" s="9" t="str">
        <f aca="false">Raw_Donors!J663</f>
        <v>N</v>
      </c>
      <c r="L663" s="9" t="n">
        <f aca="false">Raw_Donors!K663</f>
        <v>0</v>
      </c>
      <c r="M663" s="10" t="n">
        <f aca="false">IFERROR(VALUE(SUBSTITUTE(SUBSTITUTE(Raw_Donors!L663,"$",""),",","")),0)</f>
        <v>0</v>
      </c>
      <c r="N663" s="10" t="n">
        <f aca="false">IFERROR(VALUE(SUBSTITUTE(SUBSTITUTE(Raw_Donors!M663,"$",""),",","")),0)</f>
        <v>0</v>
      </c>
      <c r="O663" s="10" t="n">
        <f aca="false">IFERROR(VALUE(SUBSTITUTE(SUBSTITUTE(Raw_Donors!N663,"$",""),",","")),0)</f>
        <v>0</v>
      </c>
      <c r="P663" s="10" t="n">
        <f aca="false">IFERROR(VALUE(SUBSTITUTE(SUBSTITUTE(Raw_Donors!O663,"$",""),",","")),0)</f>
        <v>0</v>
      </c>
      <c r="Q663" s="10" t="n">
        <f aca="false">IFERROR(VALUE(SUBSTITUTE(SUBSTITUTE(Raw_Donors!P663,"$",""),",","")),0)</f>
        <v>0</v>
      </c>
      <c r="R663" s="10" t="n">
        <f aca="false">Raw_Donors!Q663</f>
        <v>35</v>
      </c>
      <c r="S663" s="9" t="str">
        <f aca="false">Raw_Donors!R663</f>
        <v>Y</v>
      </c>
      <c r="T663" s="9" t="str">
        <f aca="false">IF(Raw_Donors!S663="","",Raw_Donors!S663)</f>
        <v>1983-12-10</v>
      </c>
      <c r="U663" s="9" t="str">
        <f aca="false">IF(AND((O663+P663)&gt;0,Q663=0),"Lapsed - Follow Up","")</f>
        <v/>
      </c>
      <c r="V663" s="9" t="n">
        <f aca="false">RANK(R663,$R$2:$R$759)+COUNTIF($R$2:R663,R663)-1</f>
        <v>411</v>
      </c>
      <c r="W663" s="9" t="str">
        <f aca="false">IF(U663="Lapsed - Follow Up",COUNTIF($U$2:U663,"Lapsed - Follow Up"),"")</f>
        <v/>
      </c>
    </row>
    <row r="664" customFormat="false" ht="15" hidden="false" customHeight="true" outlineLevel="0" collapsed="false">
      <c r="A664" s="9" t="str">
        <f aca="false">Raw_Donors!A664</f>
        <v>D1662</v>
      </c>
      <c r="B664" s="9" t="str">
        <f aca="false">IF(ISNUMBER(SEARCH("-DUP",A664)),"Duplicate ID","")</f>
        <v/>
      </c>
      <c r="C664" s="9" t="n">
        <f aca="false">Raw_Donors!B664</f>
        <v>38389</v>
      </c>
      <c r="D664" s="9" t="n">
        <f aca="false">Raw_Donors!C664</f>
        <v>35</v>
      </c>
      <c r="E664" s="9" t="str">
        <f aca="false">IFERROR(IF(Raw_Donors!D664="","Unknown",Raw_Donors!D664),"Unknown")</f>
        <v>Unknown</v>
      </c>
      <c r="F664" s="9" t="str">
        <f aca="false">IFERROR(IF(Raw_Donors!E664="","Unknown",Raw_Donors!E664),"Unknown")</f>
        <v>Male</v>
      </c>
      <c r="G664" s="9" t="str">
        <f aca="false">PROPER(TRIM(Raw_Donors!F664))</f>
        <v>Community Partner</v>
      </c>
      <c r="H664" s="9" t="str">
        <f aca="false">IFERROR(IF(Raw_Donors!G664="","N",Raw_Donors!G664),"N")</f>
        <v>Y</v>
      </c>
      <c r="I664" s="9" t="str">
        <f aca="false">IF(Raw_Donors!H664="","Not Rated",Raw_Donors!H664)</f>
        <v>Not Rated</v>
      </c>
      <c r="J664" s="9" t="str">
        <f aca="false">IF(TRIM(Raw_Donors!I664)="","Unknown",TRIM(Raw_Donors!I664))</f>
        <v>HOME</v>
      </c>
      <c r="K664" s="9" t="str">
        <f aca="false">Raw_Donors!J664</f>
        <v>Y</v>
      </c>
      <c r="L664" s="9" t="n">
        <f aca="false">Raw_Donors!K664</f>
        <v>0</v>
      </c>
      <c r="M664" s="10" t="n">
        <f aca="false">IFERROR(VALUE(SUBSTITUTE(SUBSTITUTE(Raw_Donors!L664,"$",""),",","")),0)</f>
        <v>0</v>
      </c>
      <c r="N664" s="10" t="n">
        <f aca="false">IFERROR(VALUE(SUBSTITUTE(SUBSTITUTE(Raw_Donors!M664,"$",""),",","")),0)</f>
        <v>0</v>
      </c>
      <c r="O664" s="10" t="n">
        <f aca="false">IFERROR(VALUE(SUBSTITUTE(SUBSTITUTE(Raw_Donors!N664,"$",""),",","")),0)</f>
        <v>0</v>
      </c>
      <c r="P664" s="10" t="n">
        <f aca="false">IFERROR(VALUE(SUBSTITUTE(SUBSTITUTE(Raw_Donors!O664,"$",""),",","")),0)</f>
        <v>0</v>
      </c>
      <c r="Q664" s="10" t="n">
        <f aca="false">IFERROR(VALUE(SUBSTITUTE(SUBSTITUTE(Raw_Donors!P664,"$",""),",","")),0)</f>
        <v>0</v>
      </c>
      <c r="R664" s="10" t="n">
        <f aca="false">Raw_Donors!Q664</f>
        <v>100</v>
      </c>
      <c r="S664" s="9" t="str">
        <f aca="false">Raw_Donors!R664</f>
        <v>Y</v>
      </c>
      <c r="T664" s="9" t="str">
        <f aca="false">IF(Raw_Donors!S664="","",Raw_Donors!S664)</f>
        <v>1982-01-05</v>
      </c>
      <c r="U664" s="9" t="str">
        <f aca="false">IF(AND((O664+P664)&gt;0,Q664=0),"Lapsed - Follow Up","")</f>
        <v/>
      </c>
      <c r="V664" s="9" t="n">
        <f aca="false">RANK(R664,$R$2:$R$759)+COUNTIF($R$2:R664,R664)-1</f>
        <v>302</v>
      </c>
      <c r="W664" s="9" t="str">
        <f aca="false">IF(U664="Lapsed - Follow Up",COUNTIF($U$2:U664,"Lapsed - Follow Up"),"")</f>
        <v/>
      </c>
    </row>
    <row r="665" customFormat="false" ht="15" hidden="false" customHeight="true" outlineLevel="0" collapsed="false">
      <c r="A665" s="9" t="str">
        <f aca="false">Raw_Donors!A665</f>
        <v>D1663</v>
      </c>
      <c r="B665" s="9" t="str">
        <f aca="false">IF(ISNUMBER(SEARCH("-DUP",A665)),"Duplicate ID","")</f>
        <v/>
      </c>
      <c r="C665" s="9" t="n">
        <f aca="false">Raw_Donors!B665</f>
        <v>37246</v>
      </c>
      <c r="D665" s="9" t="n">
        <f aca="false">Raw_Donors!C665</f>
        <v>0</v>
      </c>
      <c r="E665" s="9" t="str">
        <f aca="false">IFERROR(IF(Raw_Donors!D665="","Unknown",Raw_Donors!D665),"Unknown")</f>
        <v>Unknown</v>
      </c>
      <c r="F665" s="9" t="str">
        <f aca="false">IFERROR(IF(Raw_Donors!E665="","Unknown",Raw_Donors!E665),"Unknown")</f>
        <v>Male</v>
      </c>
      <c r="G665" s="9" t="str">
        <f aca="false">PROPER(TRIM(Raw_Donors!F665))</f>
        <v>Individual Donor</v>
      </c>
      <c r="H665" s="9" t="str">
        <f aca="false">IFERROR(IF(Raw_Donors!G665="","N",Raw_Donors!G665),"N")</f>
        <v>N</v>
      </c>
      <c r="I665" s="9" t="str">
        <f aca="false">IF(Raw_Donors!H665="","Not Rated",Raw_Donors!H665)</f>
        <v>Not Rated</v>
      </c>
      <c r="J665" s="9" t="str">
        <f aca="false">IF(TRIM(Raw_Donors!I665)="","Unknown",TRIM(Raw_Donors!I665))</f>
        <v>HOME</v>
      </c>
      <c r="K665" s="9" t="str">
        <f aca="false">Raw_Donors!J665</f>
        <v>N</v>
      </c>
      <c r="L665" s="9" t="n">
        <f aca="false">Raw_Donors!K665</f>
        <v>1</v>
      </c>
      <c r="M665" s="10" t="n">
        <f aca="false">IFERROR(VALUE(SUBSTITUTE(SUBSTITUTE(Raw_Donors!L665,"$",""),",","")),0)</f>
        <v>0</v>
      </c>
      <c r="N665" s="10" t="n">
        <f aca="false">IFERROR(VALUE(SUBSTITUTE(SUBSTITUTE(Raw_Donors!M665,"$",""),",","")),0)</f>
        <v>0</v>
      </c>
      <c r="O665" s="10" t="n">
        <f aca="false">IFERROR(VALUE(SUBSTITUTE(SUBSTITUTE(Raw_Donors!N665,"$",""),",","")),0)</f>
        <v>0</v>
      </c>
      <c r="P665" s="10" t="n">
        <f aca="false">IFERROR(VALUE(SUBSTITUTE(SUBSTITUTE(Raw_Donors!O665,"$",""),",","")),0)</f>
        <v>0</v>
      </c>
      <c r="Q665" s="10" t="n">
        <f aca="false">IFERROR(VALUE(SUBSTITUTE(SUBSTITUTE(Raw_Donors!P665,"$",""),",","")),0)</f>
        <v>0</v>
      </c>
      <c r="R665" s="10" t="n">
        <f aca="false">Raw_Donors!Q665</f>
        <v>25</v>
      </c>
      <c r="S665" s="9" t="str">
        <f aca="false">Raw_Donors!R665</f>
        <v>Y</v>
      </c>
      <c r="T665" s="9" t="str">
        <f aca="false">IF(Raw_Donors!S665="","",Raw_Donors!S665)</f>
        <v/>
      </c>
      <c r="U665" s="9" t="str">
        <f aca="false">IF(AND((O665+P665)&gt;0,Q665=0),"Lapsed - Follow Up","")</f>
        <v/>
      </c>
      <c r="V665" s="9" t="n">
        <f aca="false">RANK(R665,$R$2:$R$759)+COUNTIF($R$2:R665,R665)-1</f>
        <v>461</v>
      </c>
      <c r="W665" s="9" t="str">
        <f aca="false">IF(U665="Lapsed - Follow Up",COUNTIF($U$2:U665,"Lapsed - Follow Up"),"")</f>
        <v/>
      </c>
    </row>
    <row r="666" customFormat="false" ht="15" hidden="false" customHeight="true" outlineLevel="0" collapsed="false">
      <c r="A666" s="9" t="str">
        <f aca="false">Raw_Donors!A666</f>
        <v>D1664</v>
      </c>
      <c r="B666" s="9" t="str">
        <f aca="false">IF(ISNUMBER(SEARCH("-DUP",A666)),"Duplicate ID","")</f>
        <v/>
      </c>
      <c r="C666" s="9" t="n">
        <f aca="false">Raw_Donors!B666</f>
        <v>98207</v>
      </c>
      <c r="D666" s="9" t="n">
        <f aca="false">Raw_Donors!C666</f>
        <v>0</v>
      </c>
      <c r="E666" s="9" t="str">
        <f aca="false">IFERROR(IF(Raw_Donors!D666="","Unknown",Raw_Donors!D666),"Unknown")</f>
        <v>Unknown</v>
      </c>
      <c r="F666" s="9" t="str">
        <f aca="false">IFERROR(IF(Raw_Donors!E666="","Unknown",Raw_Donors!E666),"Unknown")</f>
        <v>Female</v>
      </c>
      <c r="G666" s="9" t="str">
        <f aca="false">PROPER(TRIM(Raw_Donors!F666))</f>
        <v>Individual Donor</v>
      </c>
      <c r="H666" s="9" t="str">
        <f aca="false">IFERROR(IF(Raw_Donors!G666="","N",Raw_Donors!G666),"N")</f>
        <v>N</v>
      </c>
      <c r="I666" s="9" t="str">
        <f aca="false">IF(Raw_Donors!H666="","Not Rated",Raw_Donors!H666)</f>
        <v>Not Rated</v>
      </c>
      <c r="J666" s="9" t="str">
        <f aca="false">IF(TRIM(Raw_Donors!I666)="","Unknown",TRIM(Raw_Donors!I666))</f>
        <v>HOME</v>
      </c>
      <c r="K666" s="9" t="str">
        <f aca="false">Raw_Donors!J666</f>
        <v>Y</v>
      </c>
      <c r="L666" s="9" t="n">
        <f aca="false">Raw_Donors!K666</f>
        <v>0</v>
      </c>
      <c r="M666" s="10" t="n">
        <f aca="false">IFERROR(VALUE(SUBSTITUTE(SUBSTITUTE(Raw_Donors!L666,"$",""),",","")),0)</f>
        <v>0</v>
      </c>
      <c r="N666" s="10" t="n">
        <f aca="false">IFERROR(VALUE(SUBSTITUTE(SUBSTITUTE(Raw_Donors!M666,"$",""),",","")),0)</f>
        <v>0</v>
      </c>
      <c r="O666" s="10" t="n">
        <f aca="false">IFERROR(VALUE(SUBSTITUTE(SUBSTITUTE(Raw_Donors!N666,"$",""),",","")),0)</f>
        <v>0</v>
      </c>
      <c r="P666" s="10" t="n">
        <f aca="false">IFERROR(VALUE(SUBSTITUTE(SUBSTITUTE(Raw_Donors!O666,"$",""),",","")),0)</f>
        <v>0</v>
      </c>
      <c r="Q666" s="10" t="n">
        <f aca="false">IFERROR(VALUE(SUBSTITUTE(SUBSTITUTE(Raw_Donors!P666,"$",""),",","")),0)</f>
        <v>0</v>
      </c>
      <c r="R666" s="10" t="n">
        <f aca="false">Raw_Donors!Q666</f>
        <v>400</v>
      </c>
      <c r="S666" s="9" t="str">
        <f aca="false">Raw_Donors!R666</f>
        <v>Y</v>
      </c>
      <c r="T666" s="9" t="str">
        <f aca="false">IF(Raw_Donors!S666="","",Raw_Donors!S666)</f>
        <v/>
      </c>
      <c r="U666" s="9" t="str">
        <f aca="false">IF(AND((O666+P666)&gt;0,Q666=0),"Lapsed - Follow Up","")</f>
        <v/>
      </c>
      <c r="V666" s="9" t="n">
        <f aca="false">RANK(R666,$R$2:$R$759)+COUNTIF($R$2:R666,R666)-1</f>
        <v>113</v>
      </c>
      <c r="W666" s="9" t="str">
        <f aca="false">IF(U666="Lapsed - Follow Up",COUNTIF($U$2:U666,"Lapsed - Follow Up"),"")</f>
        <v/>
      </c>
    </row>
    <row r="667" customFormat="false" ht="15" hidden="false" customHeight="true" outlineLevel="0" collapsed="false">
      <c r="A667" s="9" t="str">
        <f aca="false">Raw_Donors!A667</f>
        <v>D1665</v>
      </c>
      <c r="B667" s="9" t="str">
        <f aca="false">IF(ISNUMBER(SEARCH("-DUP",A667)),"Duplicate ID","")</f>
        <v/>
      </c>
      <c r="C667" s="9" t="n">
        <f aca="false">Raw_Donors!B667</f>
        <v>65236</v>
      </c>
      <c r="D667" s="9" t="n">
        <f aca="false">Raw_Donors!C667</f>
        <v>0</v>
      </c>
      <c r="E667" s="9" t="str">
        <f aca="false">IFERROR(IF(Raw_Donors!D667="","Unknown",Raw_Donors!D667),"Unknown")</f>
        <v>Married</v>
      </c>
      <c r="F667" s="9" t="str">
        <f aca="false">IFERROR(IF(Raw_Donors!E667="","Unknown",Raw_Donors!E667),"Unknown")</f>
        <v>Female</v>
      </c>
      <c r="G667" s="9" t="str">
        <f aca="false">PROPER(TRIM(Raw_Donors!F667))</f>
        <v>Individual Donor</v>
      </c>
      <c r="H667" s="9" t="str">
        <f aca="false">IFERROR(IF(Raw_Donors!G667="","N",Raw_Donors!G667),"N")</f>
        <v>N</v>
      </c>
      <c r="I667" s="9" t="str">
        <f aca="false">IF(Raw_Donors!H667="","Not Rated",Raw_Donors!H667)</f>
        <v>Not Rated</v>
      </c>
      <c r="J667" s="9" t="str">
        <f aca="false">IF(TRIM(Raw_Donors!I667)="","Unknown",TRIM(Raw_Donors!I667))</f>
        <v>HOME</v>
      </c>
      <c r="K667" s="9" t="str">
        <f aca="false">Raw_Donors!J667</f>
        <v>Y</v>
      </c>
      <c r="L667" s="9" t="n">
        <f aca="false">Raw_Donors!K667</f>
        <v>0</v>
      </c>
      <c r="M667" s="10" t="n">
        <f aca="false">IFERROR(VALUE(SUBSTITUTE(SUBSTITUTE(Raw_Donors!L667,"$",""),",","")),0)</f>
        <v>0</v>
      </c>
      <c r="N667" s="10" t="n">
        <f aca="false">IFERROR(VALUE(SUBSTITUTE(SUBSTITUTE(Raw_Donors!M667,"$",""),",","")),0)</f>
        <v>0</v>
      </c>
      <c r="O667" s="10" t="n">
        <f aca="false">IFERROR(VALUE(SUBSTITUTE(SUBSTITUTE(Raw_Donors!N667,"$",""),",","")),0)</f>
        <v>0</v>
      </c>
      <c r="P667" s="10" t="n">
        <f aca="false">IFERROR(VALUE(SUBSTITUTE(SUBSTITUTE(Raw_Donors!O667,"$",""),",","")),0)</f>
        <v>0</v>
      </c>
      <c r="Q667" s="10" t="n">
        <f aca="false">IFERROR(VALUE(SUBSTITUTE(SUBSTITUTE(Raw_Donors!P667,"$",""),",","")),0)</f>
        <v>165</v>
      </c>
      <c r="R667" s="10" t="n">
        <f aca="false">Raw_Donors!Q667</f>
        <v>744</v>
      </c>
      <c r="S667" s="9" t="str">
        <f aca="false">Raw_Donors!R667</f>
        <v>Y</v>
      </c>
      <c r="T667" s="9" t="str">
        <f aca="false">IF(Raw_Donors!S667="","",Raw_Donors!S667)</f>
        <v/>
      </c>
      <c r="U667" s="9" t="str">
        <f aca="false">IF(AND((O667+P667)&gt;0,Q667=0),"Lapsed - Follow Up","")</f>
        <v/>
      </c>
      <c r="V667" s="9" t="n">
        <f aca="false">RANK(R667,$R$2:$R$759)+COUNTIF($R$2:R667,R667)-1</f>
        <v>69</v>
      </c>
      <c r="W667" s="9" t="str">
        <f aca="false">IF(U667="Lapsed - Follow Up",COUNTIF($U$2:U667,"Lapsed - Follow Up"),"")</f>
        <v/>
      </c>
    </row>
    <row r="668" customFormat="false" ht="15" hidden="false" customHeight="true" outlineLevel="0" collapsed="false">
      <c r="A668" s="9" t="str">
        <f aca="false">Raw_Donors!A668</f>
        <v>D1666</v>
      </c>
      <c r="B668" s="9" t="str">
        <f aca="false">IF(ISNUMBER(SEARCH("-DUP",A668)),"Duplicate ID","")</f>
        <v/>
      </c>
      <c r="C668" s="9" t="n">
        <f aca="false">Raw_Donors!B668</f>
        <v>19112</v>
      </c>
      <c r="D668" s="9" t="n">
        <f aca="false">Raw_Donors!C668</f>
        <v>43</v>
      </c>
      <c r="E668" s="9" t="str">
        <f aca="false">IFERROR(IF(Raw_Donors!D668="","Unknown",Raw_Donors!D668),"Unknown")</f>
        <v>Unknown</v>
      </c>
      <c r="F668" s="9" t="str">
        <f aca="false">IFERROR(IF(Raw_Donors!E668="","Unknown",Raw_Donors!E668),"Unknown")</f>
        <v>Female</v>
      </c>
      <c r="G668" s="9" t="str">
        <f aca="false">PROPER(TRIM(Raw_Donors!F668))</f>
        <v>Community Partner</v>
      </c>
      <c r="H668" s="9" t="str">
        <f aca="false">IFERROR(IF(Raw_Donors!G668="","N",Raw_Donors!G668),"N")</f>
        <v>Y</v>
      </c>
      <c r="I668" s="9" t="str">
        <f aca="false">IF(Raw_Donors!H668="","Not Rated",Raw_Donors!H668)</f>
        <v>Not Rated</v>
      </c>
      <c r="J668" s="9" t="str">
        <f aca="false">IF(TRIM(Raw_Donors!I668)="","Unknown",TRIM(Raw_Donors!I668))</f>
        <v>Unknown</v>
      </c>
      <c r="K668" s="9" t="str">
        <f aca="false">Raw_Donors!J668</f>
        <v>N</v>
      </c>
      <c r="L668" s="9" t="n">
        <f aca="false">Raw_Donors!K668</f>
        <v>1</v>
      </c>
      <c r="M668" s="10" t="n">
        <f aca="false">IFERROR(VALUE(SUBSTITUTE(SUBSTITUTE(Raw_Donors!L668,"$",""),",","")),0)</f>
        <v>0</v>
      </c>
      <c r="N668" s="10" t="n">
        <f aca="false">IFERROR(VALUE(SUBSTITUTE(SUBSTITUTE(Raw_Donors!M668,"$",""),",","")),0)</f>
        <v>0</v>
      </c>
      <c r="O668" s="10" t="n">
        <f aca="false">IFERROR(VALUE(SUBSTITUTE(SUBSTITUTE(Raw_Donors!N668,"$",""),",","")),0)</f>
        <v>0</v>
      </c>
      <c r="P668" s="10" t="n">
        <f aca="false">IFERROR(VALUE(SUBSTITUTE(SUBSTITUTE(Raw_Donors!O668,"$",""),",","")),0)</f>
        <v>0</v>
      </c>
      <c r="Q668" s="10" t="n">
        <f aca="false">IFERROR(VALUE(SUBSTITUTE(SUBSTITUTE(Raw_Donors!P668,"$",""),",","")),0)</f>
        <v>35</v>
      </c>
      <c r="R668" s="10" t="n">
        <f aca="false">Raw_Donors!Q668</f>
        <v>35</v>
      </c>
      <c r="S668" s="9" t="str">
        <f aca="false">Raw_Donors!R668</f>
        <v>Y</v>
      </c>
      <c r="T668" s="9" t="str">
        <f aca="false">IF(Raw_Donors!S668="","",Raw_Donors!S668)</f>
        <v>1974-08-15</v>
      </c>
      <c r="U668" s="9" t="str">
        <f aca="false">IF(AND((O668+P668)&gt;0,Q668=0),"Lapsed - Follow Up","")</f>
        <v/>
      </c>
      <c r="V668" s="9" t="n">
        <f aca="false">RANK(R668,$R$2:$R$759)+COUNTIF($R$2:R668,R668)-1</f>
        <v>412</v>
      </c>
      <c r="W668" s="9" t="str">
        <f aca="false">IF(U668="Lapsed - Follow Up",COUNTIF($U$2:U668,"Lapsed - Follow Up"),"")</f>
        <v/>
      </c>
    </row>
    <row r="669" customFormat="false" ht="15" hidden="false" customHeight="true" outlineLevel="0" collapsed="false">
      <c r="A669" s="9" t="str">
        <f aca="false">Raw_Donors!A669</f>
        <v>D1667</v>
      </c>
      <c r="B669" s="9" t="str">
        <f aca="false">IF(ISNUMBER(SEARCH("-DUP",A669)),"Duplicate ID","")</f>
        <v/>
      </c>
      <c r="C669" s="9" t="n">
        <f aca="false">Raw_Donors!B669</f>
        <v>31605</v>
      </c>
      <c r="D669" s="9" t="n">
        <f aca="false">Raw_Donors!C669</f>
        <v>0</v>
      </c>
      <c r="E669" s="9" t="str">
        <f aca="false">IFERROR(IF(Raw_Donors!D669="","Unknown",Raw_Donors!D669),"Unknown")</f>
        <v>Married</v>
      </c>
      <c r="F669" s="9" t="str">
        <f aca="false">IFERROR(IF(Raw_Donors!E669="","Unknown",Raw_Donors!E669),"Unknown")</f>
        <v>Male</v>
      </c>
      <c r="G669" s="9" t="str">
        <f aca="false">PROPER(TRIM(Raw_Donors!F669))</f>
        <v>Individual Donor</v>
      </c>
      <c r="H669" s="9" t="str">
        <f aca="false">IFERROR(IF(Raw_Donors!G669="","N",Raw_Donors!G669),"N")</f>
        <v>N</v>
      </c>
      <c r="I669" s="9" t="str">
        <f aca="false">IF(Raw_Donors!H669="","Not Rated",Raw_Donors!H669)</f>
        <v>Not Rated</v>
      </c>
      <c r="J669" s="9" t="str">
        <f aca="false">IF(TRIM(Raw_Donors!I669)="","Unknown",TRIM(Raw_Donors!I669))</f>
        <v>HOME</v>
      </c>
      <c r="K669" s="9" t="str">
        <f aca="false">Raw_Donors!J669</f>
        <v>N</v>
      </c>
      <c r="L669" s="9" t="n">
        <f aca="false">Raw_Donors!K669</f>
        <v>0</v>
      </c>
      <c r="M669" s="10" t="n">
        <f aca="false">IFERROR(VALUE(SUBSTITUTE(SUBSTITUTE(Raw_Donors!L669,"$",""),",","")),0)</f>
        <v>0</v>
      </c>
      <c r="N669" s="10" t="n">
        <f aca="false">IFERROR(VALUE(SUBSTITUTE(SUBSTITUTE(Raw_Donors!M669,"$",""),",","")),0)</f>
        <v>0</v>
      </c>
      <c r="O669" s="10" t="n">
        <f aca="false">IFERROR(VALUE(SUBSTITUTE(SUBSTITUTE(Raw_Donors!N669,"$",""),",","")),0)</f>
        <v>0</v>
      </c>
      <c r="P669" s="10" t="n">
        <f aca="false">IFERROR(VALUE(SUBSTITUTE(SUBSTITUTE(Raw_Donors!O669,"$",""),",","")),0)</f>
        <v>0</v>
      </c>
      <c r="Q669" s="10" t="n">
        <f aca="false">IFERROR(VALUE(SUBSTITUTE(SUBSTITUTE(Raw_Donors!P669,"$",""),",","")),0)</f>
        <v>0</v>
      </c>
      <c r="R669" s="10" t="n">
        <f aca="false">Raw_Donors!Q669</f>
        <v>0</v>
      </c>
      <c r="S669" s="9" t="str">
        <f aca="false">Raw_Donors!R669</f>
        <v>N</v>
      </c>
      <c r="T669" s="9" t="str">
        <f aca="false">IF(Raw_Donors!S669="","",Raw_Donors!S669)</f>
        <v/>
      </c>
      <c r="U669" s="9" t="str">
        <f aca="false">IF(AND((O669+P669)&gt;0,Q669=0),"Lapsed - Follow Up","")</f>
        <v/>
      </c>
      <c r="V669" s="9" t="n">
        <f aca="false">RANK(R669,$R$2:$R$759)+COUNTIF($R$2:R669,R669)-1</f>
        <v>736</v>
      </c>
      <c r="W669" s="9" t="str">
        <f aca="false">IF(U669="Lapsed - Follow Up",COUNTIF($U$2:U669,"Lapsed - Follow Up"),"")</f>
        <v/>
      </c>
    </row>
    <row r="670" customFormat="false" ht="15" hidden="false" customHeight="true" outlineLevel="0" collapsed="false">
      <c r="A670" s="9" t="str">
        <f aca="false">Raw_Donors!A670</f>
        <v>D1668</v>
      </c>
      <c r="B670" s="9" t="str">
        <f aca="false">IF(ISNUMBER(SEARCH("-DUP",A670)),"Duplicate ID","")</f>
        <v/>
      </c>
      <c r="C670" s="9" t="n">
        <f aca="false">Raw_Donors!B670</f>
        <v>41746</v>
      </c>
      <c r="D670" s="9" t="n">
        <f aca="false">Raw_Donors!C670</f>
        <v>0</v>
      </c>
      <c r="E670" s="9" t="str">
        <f aca="false">IFERROR(IF(Raw_Donors!D670="","Unknown",Raw_Donors!D670),"Unknown")</f>
        <v>Unknown</v>
      </c>
      <c r="F670" s="9" t="str">
        <f aca="false">IFERROR(IF(Raw_Donors!E670="","Unknown",Raw_Donors!E670),"Unknown")</f>
        <v>Female</v>
      </c>
      <c r="G670" s="9" t="str">
        <f aca="false">PROPER(TRIM(Raw_Donors!F670))</f>
        <v>Individual Donor</v>
      </c>
      <c r="H670" s="9" t="str">
        <f aca="false">IFERROR(IF(Raw_Donors!G670="","N",Raw_Donors!G670),"N")</f>
        <v>N</v>
      </c>
      <c r="I670" s="9" t="str">
        <f aca="false">IF(Raw_Donors!H670="","Not Rated",Raw_Donors!H670)</f>
        <v>Not Rated</v>
      </c>
      <c r="J670" s="9" t="str">
        <f aca="false">IF(TRIM(Raw_Donors!I670)="","Unknown",TRIM(Raw_Donors!I670))</f>
        <v>HOME</v>
      </c>
      <c r="K670" s="9" t="str">
        <f aca="false">Raw_Donors!J670</f>
        <v>N</v>
      </c>
      <c r="L670" s="9" t="n">
        <f aca="false">Raw_Donors!K670</f>
        <v>1</v>
      </c>
      <c r="M670" s="10" t="n">
        <f aca="false">IFERROR(VALUE(SUBSTITUTE(SUBSTITUTE(Raw_Donors!L670,"$",""),",","")),0)</f>
        <v>0</v>
      </c>
      <c r="N670" s="10" t="n">
        <f aca="false">IFERROR(VALUE(SUBSTITUTE(SUBSTITUTE(Raw_Donors!M670,"$",""),",","")),0)</f>
        <v>0</v>
      </c>
      <c r="O670" s="10" t="n">
        <f aca="false">IFERROR(VALUE(SUBSTITUTE(SUBSTITUTE(Raw_Donors!N670,"$",""),",","")),0)</f>
        <v>0</v>
      </c>
      <c r="P670" s="10" t="n">
        <f aca="false">IFERROR(VALUE(SUBSTITUTE(SUBSTITUTE(Raw_Donors!O670,"$",""),",","")),0)</f>
        <v>0</v>
      </c>
      <c r="Q670" s="10" t="n">
        <f aca="false">IFERROR(VALUE(SUBSTITUTE(SUBSTITUTE(Raw_Donors!P670,"$",""),",","")),0)</f>
        <v>0</v>
      </c>
      <c r="R670" s="10" t="n">
        <f aca="false">Raw_Donors!Q670</f>
        <v>500</v>
      </c>
      <c r="S670" s="9" t="str">
        <f aca="false">Raw_Donors!R670</f>
        <v>Y</v>
      </c>
      <c r="T670" s="9" t="str">
        <f aca="false">IF(Raw_Donors!S670="","",Raw_Donors!S670)</f>
        <v/>
      </c>
      <c r="U670" s="9" t="str">
        <f aca="false">IF(AND((O670+P670)&gt;0,Q670=0),"Lapsed - Follow Up","")</f>
        <v/>
      </c>
      <c r="V670" s="9" t="n">
        <f aca="false">RANK(R670,$R$2:$R$759)+COUNTIF($R$2:R670,R670)-1</f>
        <v>94</v>
      </c>
      <c r="W670" s="9" t="str">
        <f aca="false">IF(U670="Lapsed - Follow Up",COUNTIF($U$2:U670,"Lapsed - Follow Up"),"")</f>
        <v/>
      </c>
    </row>
    <row r="671" customFormat="false" ht="15" hidden="false" customHeight="true" outlineLevel="0" collapsed="false">
      <c r="A671" s="9" t="str">
        <f aca="false">Raw_Donors!A671</f>
        <v>D1669</v>
      </c>
      <c r="B671" s="9" t="str">
        <f aca="false">IF(ISNUMBER(SEARCH("-DUP",A671)),"Duplicate ID","")</f>
        <v/>
      </c>
      <c r="C671" s="9" t="n">
        <f aca="false">Raw_Donors!B671</f>
        <v>90265</v>
      </c>
      <c r="D671" s="9" t="n">
        <f aca="false">Raw_Donors!C671</f>
        <v>47</v>
      </c>
      <c r="E671" s="9" t="str">
        <f aca="false">IFERROR(IF(Raw_Donors!D671="","Unknown",Raw_Donors!D671),"Unknown")</f>
        <v>Unknown</v>
      </c>
      <c r="F671" s="9" t="str">
        <f aca="false">IFERROR(IF(Raw_Donors!E671="","Unknown",Raw_Donors!E671),"Unknown")</f>
        <v>Male</v>
      </c>
      <c r="G671" s="9" t="str">
        <f aca="false">PROPER(TRIM(Raw_Donors!F671))</f>
        <v>Community Partner</v>
      </c>
      <c r="H671" s="9" t="str">
        <f aca="false">IFERROR(IF(Raw_Donors!G671="","N",Raw_Donors!G671),"N")</f>
        <v>Y</v>
      </c>
      <c r="I671" s="9" t="str">
        <f aca="false">IF(Raw_Donors!H671="","Not Rated",Raw_Donors!H671)</f>
        <v>Not Rated</v>
      </c>
      <c r="J671" s="9" t="str">
        <f aca="false">IF(TRIM(Raw_Donors!I671)="","Unknown",TRIM(Raw_Donors!I671))</f>
        <v>HOME</v>
      </c>
      <c r="K671" s="9" t="str">
        <f aca="false">Raw_Donors!J671</f>
        <v>Y</v>
      </c>
      <c r="L671" s="9" t="n">
        <f aca="false">Raw_Donors!K671</f>
        <v>0</v>
      </c>
      <c r="M671" s="10" t="n">
        <f aca="false">IFERROR(VALUE(SUBSTITUTE(SUBSTITUTE(Raw_Donors!L671,"$",""),",","")),0)</f>
        <v>0</v>
      </c>
      <c r="N671" s="10" t="n">
        <f aca="false">IFERROR(VALUE(SUBSTITUTE(SUBSTITUTE(Raw_Donors!M671,"$",""),",","")),0)</f>
        <v>0</v>
      </c>
      <c r="O671" s="10" t="n">
        <f aca="false">IFERROR(VALUE(SUBSTITUTE(SUBSTITUTE(Raw_Donors!N671,"$",""),",","")),0)</f>
        <v>0</v>
      </c>
      <c r="P671" s="10" t="n">
        <f aca="false">IFERROR(VALUE(SUBSTITUTE(SUBSTITUTE(Raw_Donors!O671,"$",""),",","")),0)</f>
        <v>0</v>
      </c>
      <c r="Q671" s="10" t="n">
        <f aca="false">IFERROR(VALUE(SUBSTITUTE(SUBSTITUTE(Raw_Donors!P671,"$",""),",","")),0)</f>
        <v>0</v>
      </c>
      <c r="R671" s="10" t="n">
        <f aca="false">Raw_Donors!Q671</f>
        <v>25</v>
      </c>
      <c r="S671" s="9" t="str">
        <f aca="false">Raw_Donors!R671</f>
        <v>Y</v>
      </c>
      <c r="T671" s="9" t="str">
        <f aca="false">IF(Raw_Donors!S671="","",Raw_Donors!S671)</f>
        <v>1970-08-17</v>
      </c>
      <c r="U671" s="9" t="str">
        <f aca="false">IF(AND((O671+P671)&gt;0,Q671=0),"Lapsed - Follow Up","")</f>
        <v/>
      </c>
      <c r="V671" s="9" t="n">
        <f aca="false">RANK(R671,$R$2:$R$759)+COUNTIF($R$2:R671,R671)-1</f>
        <v>462</v>
      </c>
      <c r="W671" s="9" t="str">
        <f aca="false">IF(U671="Lapsed - Follow Up",COUNTIF($U$2:U671,"Lapsed - Follow Up"),"")</f>
        <v/>
      </c>
    </row>
    <row r="672" customFormat="false" ht="15" hidden="false" customHeight="true" outlineLevel="0" collapsed="false">
      <c r="A672" s="9" t="str">
        <f aca="false">Raw_Donors!A672</f>
        <v>D1670</v>
      </c>
      <c r="B672" s="9" t="str">
        <f aca="false">IF(ISNUMBER(SEARCH("-DUP",A672)),"Duplicate ID","")</f>
        <v/>
      </c>
      <c r="C672" s="9" t="n">
        <f aca="false">Raw_Donors!B672</f>
        <v>85722</v>
      </c>
      <c r="D672" s="9" t="n">
        <f aca="false">Raw_Donors!C672</f>
        <v>0</v>
      </c>
      <c r="E672" s="9" t="str">
        <f aca="false">IFERROR(IF(Raw_Donors!D672="","Unknown",Raw_Donors!D672),"Unknown")</f>
        <v>Unknown</v>
      </c>
      <c r="F672" s="9" t="str">
        <f aca="false">IFERROR(IF(Raw_Donors!E672="","Unknown",Raw_Donors!E672),"Unknown")</f>
        <v>Female</v>
      </c>
      <c r="G672" s="9" t="str">
        <f aca="false">PROPER(TRIM(Raw_Donors!F672))</f>
        <v>Individual Donor</v>
      </c>
      <c r="H672" s="9" t="str">
        <f aca="false">IFERROR(IF(Raw_Donors!G672="","N",Raw_Donors!G672),"N")</f>
        <v>N</v>
      </c>
      <c r="I672" s="9" t="str">
        <f aca="false">IF(Raw_Donors!H672="","Not Rated",Raw_Donors!H672)</f>
        <v>Not Rated</v>
      </c>
      <c r="J672" s="9" t="str">
        <f aca="false">IF(TRIM(Raw_Donors!I672)="","Unknown",TRIM(Raw_Donors!I672))</f>
        <v>HOME</v>
      </c>
      <c r="K672" s="9" t="str">
        <f aca="false">Raw_Donors!J672</f>
        <v>Y</v>
      </c>
      <c r="L672" s="9" t="n">
        <f aca="false">Raw_Donors!K672</f>
        <v>1</v>
      </c>
      <c r="M672" s="10" t="n">
        <f aca="false">IFERROR(VALUE(SUBSTITUTE(SUBSTITUTE(Raw_Donors!L672,"$",""),",","")),0)</f>
        <v>35</v>
      </c>
      <c r="N672" s="10" t="n">
        <f aca="false">IFERROR(VALUE(SUBSTITUTE(SUBSTITUTE(Raw_Donors!M672,"$",""),",","")),0)</f>
        <v>0</v>
      </c>
      <c r="O672" s="10" t="n">
        <f aca="false">IFERROR(VALUE(SUBSTITUTE(SUBSTITUTE(Raw_Donors!N672,"$",""),",","")),0)</f>
        <v>0</v>
      </c>
      <c r="P672" s="10" t="n">
        <f aca="false">IFERROR(VALUE(SUBSTITUTE(SUBSTITUTE(Raw_Donors!O672,"$",""),",","")),0)</f>
        <v>0</v>
      </c>
      <c r="Q672" s="10" t="n">
        <f aca="false">IFERROR(VALUE(SUBSTITUTE(SUBSTITUTE(Raw_Donors!P672,"$",""),",","")),0)</f>
        <v>0</v>
      </c>
      <c r="R672" s="10" t="n">
        <f aca="false">Raw_Donors!Q672</f>
        <v>270</v>
      </c>
      <c r="S672" s="9" t="str">
        <f aca="false">Raw_Donors!R672</f>
        <v>Y</v>
      </c>
      <c r="T672" s="9" t="str">
        <f aca="false">IF(Raw_Donors!S672="","",Raw_Donors!S672)</f>
        <v/>
      </c>
      <c r="U672" s="9" t="str">
        <f aca="false">IF(AND((O672+P672)&gt;0,Q672=0),"Lapsed - Follow Up","")</f>
        <v/>
      </c>
      <c r="V672" s="9" t="n">
        <f aca="false">RANK(R672,$R$2:$R$759)+COUNTIF($R$2:R672,R672)-1</f>
        <v>154</v>
      </c>
      <c r="W672" s="9" t="str">
        <f aca="false">IF(U672="Lapsed - Follow Up",COUNTIF($U$2:U672,"Lapsed - Follow Up"),"")</f>
        <v/>
      </c>
    </row>
    <row r="673" customFormat="false" ht="15" hidden="false" customHeight="true" outlineLevel="0" collapsed="false">
      <c r="A673" s="9" t="str">
        <f aca="false">Raw_Donors!A673</f>
        <v>D1671</v>
      </c>
      <c r="B673" s="9" t="str">
        <f aca="false">IF(ISNUMBER(SEARCH("-DUP",A673)),"Duplicate ID","")</f>
        <v/>
      </c>
      <c r="C673" s="9" t="n">
        <f aca="false">Raw_Donors!B673</f>
        <v>91016</v>
      </c>
      <c r="D673" s="9" t="n">
        <f aca="false">Raw_Donors!C673</f>
        <v>0</v>
      </c>
      <c r="E673" s="9" t="str">
        <f aca="false">IFERROR(IF(Raw_Donors!D673="","Unknown",Raw_Donors!D673),"Unknown")</f>
        <v>Unknown</v>
      </c>
      <c r="F673" s="9" t="str">
        <f aca="false">IFERROR(IF(Raw_Donors!E673="","Unknown",Raw_Donors!E673),"Unknown")</f>
        <v>Male</v>
      </c>
      <c r="G673" s="9" t="str">
        <f aca="false">PROPER(TRIM(Raw_Donors!F673))</f>
        <v>Individual Donor</v>
      </c>
      <c r="H673" s="9" t="str">
        <f aca="false">IFERROR(IF(Raw_Donors!G673="","N",Raw_Donors!G673),"N")</f>
        <v>N</v>
      </c>
      <c r="I673" s="9" t="str">
        <f aca="false">IF(Raw_Donors!H673="","Not Rated",Raw_Donors!H673)</f>
        <v>Not Rated</v>
      </c>
      <c r="J673" s="9" t="str">
        <f aca="false">IF(TRIM(Raw_Donors!I673)="","Unknown",TRIM(Raw_Donors!I673))</f>
        <v>HOME</v>
      </c>
      <c r="K673" s="9" t="str">
        <f aca="false">Raw_Donors!J673</f>
        <v>N</v>
      </c>
      <c r="L673" s="9" t="n">
        <f aca="false">Raw_Donors!K673</f>
        <v>2</v>
      </c>
      <c r="M673" s="10" t="n">
        <f aca="false">IFERROR(VALUE(SUBSTITUTE(SUBSTITUTE(Raw_Donors!L673,"$",""),",","")),0)</f>
        <v>0</v>
      </c>
      <c r="N673" s="10" t="n">
        <f aca="false">IFERROR(VALUE(SUBSTITUTE(SUBSTITUTE(Raw_Donors!M673,"$",""),",","")),0)</f>
        <v>0</v>
      </c>
      <c r="O673" s="10" t="n">
        <f aca="false">IFERROR(VALUE(SUBSTITUTE(SUBSTITUTE(Raw_Donors!N673,"$",""),",","")),0)</f>
        <v>0</v>
      </c>
      <c r="P673" s="10" t="n">
        <f aca="false">IFERROR(VALUE(SUBSTITUTE(SUBSTITUTE(Raw_Donors!O673,"$",""),",","")),0)</f>
        <v>0</v>
      </c>
      <c r="Q673" s="10" t="n">
        <f aca="false">IFERROR(VALUE(SUBSTITUTE(SUBSTITUTE(Raw_Donors!P673,"$",""),",","")),0)</f>
        <v>0</v>
      </c>
      <c r="R673" s="10" t="n">
        <f aca="false">Raw_Donors!Q673</f>
        <v>0</v>
      </c>
      <c r="S673" s="9" t="str">
        <f aca="false">Raw_Donors!R673</f>
        <v>N</v>
      </c>
      <c r="T673" s="9" t="str">
        <f aca="false">IF(Raw_Donors!S673="","",Raw_Donors!S673)</f>
        <v/>
      </c>
      <c r="U673" s="9" t="str">
        <f aca="false">IF(AND((O673+P673)&gt;0,Q673=0),"Lapsed - Follow Up","")</f>
        <v/>
      </c>
      <c r="V673" s="9" t="n">
        <f aca="false">RANK(R673,$R$2:$R$759)+COUNTIF($R$2:R673,R673)-1</f>
        <v>737</v>
      </c>
      <c r="W673" s="9" t="str">
        <f aca="false">IF(U673="Lapsed - Follow Up",COUNTIF($U$2:U673,"Lapsed - Follow Up"),"")</f>
        <v/>
      </c>
    </row>
    <row r="674" customFormat="false" ht="15" hidden="false" customHeight="true" outlineLevel="0" collapsed="false">
      <c r="A674" s="9" t="str">
        <f aca="false">Raw_Donors!A674</f>
        <v>D1672</v>
      </c>
      <c r="B674" s="9" t="str">
        <f aca="false">IF(ISNUMBER(SEARCH("-DUP",A674)),"Duplicate ID","")</f>
        <v/>
      </c>
      <c r="C674" s="9" t="n">
        <f aca="false">Raw_Donors!B674</f>
        <v>96260</v>
      </c>
      <c r="D674" s="9" t="n">
        <f aca="false">Raw_Donors!C674</f>
        <v>45</v>
      </c>
      <c r="E674" s="9" t="str">
        <f aca="false">IFERROR(IF(Raw_Donors!D674="","Unknown",Raw_Donors!D674),"Unknown")</f>
        <v>Unknown</v>
      </c>
      <c r="F674" s="9" t="str">
        <f aca="false">IFERROR(IF(Raw_Donors!E674="","Unknown",Raw_Donors!E674),"Unknown")</f>
        <v>Male</v>
      </c>
      <c r="G674" s="9" t="str">
        <f aca="false">PROPER(TRIM(Raw_Donors!F674))</f>
        <v>Individual Donor</v>
      </c>
      <c r="H674" s="9" t="str">
        <f aca="false">IFERROR(IF(Raw_Donors!G674="","N",Raw_Donors!G674),"N")</f>
        <v>N</v>
      </c>
      <c r="I674" s="9" t="str">
        <f aca="false">IF(Raw_Donors!H674="","Not Rated",Raw_Donors!H674)</f>
        <v>Not Rated</v>
      </c>
      <c r="J674" s="9" t="str">
        <f aca="false">IF(TRIM(Raw_Donors!I674)="","Unknown",TRIM(Raw_Donors!I674))</f>
        <v>HOME</v>
      </c>
      <c r="K674" s="9" t="str">
        <f aca="false">Raw_Donors!J674</f>
        <v>N</v>
      </c>
      <c r="L674" s="9" t="n">
        <f aca="false">Raw_Donors!K674</f>
        <v>0</v>
      </c>
      <c r="M674" s="10" t="n">
        <f aca="false">IFERROR(VALUE(SUBSTITUTE(SUBSTITUTE(Raw_Donors!L674,"$",""),",","")),0)</f>
        <v>0</v>
      </c>
      <c r="N674" s="10" t="n">
        <f aca="false">IFERROR(VALUE(SUBSTITUTE(SUBSTITUTE(Raw_Donors!M674,"$",""),",","")),0)</f>
        <v>0</v>
      </c>
      <c r="O674" s="10" t="n">
        <f aca="false">IFERROR(VALUE(SUBSTITUTE(SUBSTITUTE(Raw_Donors!N674,"$",""),",","")),0)</f>
        <v>0</v>
      </c>
      <c r="P674" s="10" t="n">
        <f aca="false">IFERROR(VALUE(SUBSTITUTE(SUBSTITUTE(Raw_Donors!O674,"$",""),",","")),0)</f>
        <v>0</v>
      </c>
      <c r="Q674" s="10" t="n">
        <f aca="false">IFERROR(VALUE(SUBSTITUTE(SUBSTITUTE(Raw_Donors!P674,"$",""),",","")),0)</f>
        <v>0</v>
      </c>
      <c r="R674" s="10" t="n">
        <f aca="false">Raw_Donors!Q674</f>
        <v>0</v>
      </c>
      <c r="S674" s="9" t="str">
        <f aca="false">Raw_Donors!R674</f>
        <v>N</v>
      </c>
      <c r="T674" s="9" t="str">
        <f aca="false">IF(Raw_Donors!S674="","",Raw_Donors!S674)</f>
        <v>1972-12-09</v>
      </c>
      <c r="U674" s="9" t="str">
        <f aca="false">IF(AND((O674+P674)&gt;0,Q674=0),"Lapsed - Follow Up","")</f>
        <v/>
      </c>
      <c r="V674" s="9" t="n">
        <f aca="false">RANK(R674,$R$2:$R$759)+COUNTIF($R$2:R674,R674)-1</f>
        <v>738</v>
      </c>
      <c r="W674" s="9" t="str">
        <f aca="false">IF(U674="Lapsed - Follow Up",COUNTIF($U$2:U674,"Lapsed - Follow Up"),"")</f>
        <v/>
      </c>
    </row>
    <row r="675" customFormat="false" ht="15" hidden="false" customHeight="true" outlineLevel="0" collapsed="false">
      <c r="A675" s="9" t="str">
        <f aca="false">Raw_Donors!A675</f>
        <v>D1673</v>
      </c>
      <c r="B675" s="9" t="str">
        <f aca="false">IF(ISNUMBER(SEARCH("-DUP",A675)),"Duplicate ID","")</f>
        <v/>
      </c>
      <c r="C675" s="9" t="n">
        <f aca="false">Raw_Donors!B675</f>
        <v>78043</v>
      </c>
      <c r="D675" s="9" t="n">
        <f aca="false">Raw_Donors!C675</f>
        <v>0</v>
      </c>
      <c r="E675" s="9" t="str">
        <f aca="false">IFERROR(IF(Raw_Donors!D675="","Unknown",Raw_Donors!D675),"Unknown")</f>
        <v>Unknown</v>
      </c>
      <c r="F675" s="9" t="str">
        <f aca="false">IFERROR(IF(Raw_Donors!E675="","Unknown",Raw_Donors!E675),"Unknown")</f>
        <v>Female</v>
      </c>
      <c r="G675" s="9" t="str">
        <f aca="false">PROPER(TRIM(Raw_Donors!F675))</f>
        <v>Individual Donor</v>
      </c>
      <c r="H675" s="9" t="str">
        <f aca="false">IFERROR(IF(Raw_Donors!G675="","N",Raw_Donors!G675),"N")</f>
        <v>N</v>
      </c>
      <c r="I675" s="9" t="str">
        <f aca="false">IF(Raw_Donors!H675="","Not Rated",Raw_Donors!H675)</f>
        <v>Not Rated</v>
      </c>
      <c r="J675" s="9" t="str">
        <f aca="false">IF(TRIM(Raw_Donors!I675)="","Unknown",TRIM(Raw_Donors!I675))</f>
        <v>HOME</v>
      </c>
      <c r="K675" s="9" t="str">
        <f aca="false">Raw_Donors!J675</f>
        <v>N</v>
      </c>
      <c r="L675" s="9" t="n">
        <f aca="false">Raw_Donors!K675</f>
        <v>2</v>
      </c>
      <c r="M675" s="10" t="n">
        <f aca="false">IFERROR(VALUE(SUBSTITUTE(SUBSTITUTE(Raw_Donors!L675,"$",""),",","")),0)</f>
        <v>0</v>
      </c>
      <c r="N675" s="10" t="n">
        <f aca="false">IFERROR(VALUE(SUBSTITUTE(SUBSTITUTE(Raw_Donors!M675,"$",""),",","")),0)</f>
        <v>0</v>
      </c>
      <c r="O675" s="10" t="n">
        <f aca="false">IFERROR(VALUE(SUBSTITUTE(SUBSTITUTE(Raw_Donors!N675,"$",""),",","")),0)</f>
        <v>0</v>
      </c>
      <c r="P675" s="10" t="n">
        <f aca="false">IFERROR(VALUE(SUBSTITUTE(SUBSTITUTE(Raw_Donors!O675,"$",""),",","")),0)</f>
        <v>0</v>
      </c>
      <c r="Q675" s="10" t="n">
        <f aca="false">IFERROR(VALUE(SUBSTITUTE(SUBSTITUTE(Raw_Donors!P675,"$",""),",","")),0)</f>
        <v>0</v>
      </c>
      <c r="R675" s="10" t="n">
        <f aca="false">Raw_Donors!Q675</f>
        <v>255</v>
      </c>
      <c r="S675" s="9" t="str">
        <f aca="false">Raw_Donors!R675</f>
        <v>Y</v>
      </c>
      <c r="T675" s="9" t="str">
        <f aca="false">IF(Raw_Donors!S675="","",Raw_Donors!S675)</f>
        <v/>
      </c>
      <c r="U675" s="9" t="str">
        <f aca="false">IF(AND((O675+P675)&gt;0,Q675=0),"Lapsed - Follow Up","")</f>
        <v/>
      </c>
      <c r="V675" s="9" t="n">
        <f aca="false">RANK(R675,$R$2:$R$759)+COUNTIF($R$2:R675,R675)-1</f>
        <v>161</v>
      </c>
      <c r="W675" s="9" t="str">
        <f aca="false">IF(U675="Lapsed - Follow Up",COUNTIF($U$2:U675,"Lapsed - Follow Up"),"")</f>
        <v/>
      </c>
    </row>
    <row r="676" customFormat="false" ht="15" hidden="false" customHeight="true" outlineLevel="0" collapsed="false">
      <c r="A676" s="9" t="str">
        <f aca="false">Raw_Donors!A676</f>
        <v>D1674</v>
      </c>
      <c r="B676" s="9" t="str">
        <f aca="false">IF(ISNUMBER(SEARCH("-DUP",A676)),"Duplicate ID","")</f>
        <v/>
      </c>
      <c r="C676" s="9" t="n">
        <f aca="false">Raw_Donors!B676</f>
        <v>90265</v>
      </c>
      <c r="D676" s="9" t="n">
        <f aca="false">Raw_Donors!C676</f>
        <v>0</v>
      </c>
      <c r="E676" s="9" t="str">
        <f aca="false">IFERROR(IF(Raw_Donors!D676="","Unknown",Raw_Donors!D676),"Unknown")</f>
        <v>Unknown</v>
      </c>
      <c r="F676" s="9" t="str">
        <f aca="false">IFERROR(IF(Raw_Donors!E676="","Unknown",Raw_Donors!E676),"Unknown")</f>
        <v>Male</v>
      </c>
      <c r="G676" s="9" t="str">
        <f aca="false">PROPER(TRIM(Raw_Donors!F676))</f>
        <v>Individual Donor</v>
      </c>
      <c r="H676" s="9" t="str">
        <f aca="false">IFERROR(IF(Raw_Donors!G676="","N",Raw_Donors!G676),"N")</f>
        <v>Y</v>
      </c>
      <c r="I676" s="9" t="str">
        <f aca="false">IF(Raw_Donors!H676="","Not Rated",Raw_Donors!H676)</f>
        <v>Not Rated</v>
      </c>
      <c r="J676" s="9" t="str">
        <f aca="false">IF(TRIM(Raw_Donors!I676)="","Unknown",TRIM(Raw_Donors!I676))</f>
        <v>HOME</v>
      </c>
      <c r="K676" s="9" t="str">
        <f aca="false">Raw_Donors!J676</f>
        <v>N</v>
      </c>
      <c r="L676" s="9" t="n">
        <f aca="false">Raw_Donors!K676</f>
        <v>3</v>
      </c>
      <c r="M676" s="10" t="n">
        <f aca="false">IFERROR(VALUE(SUBSTITUTE(SUBSTITUTE(Raw_Donors!L676,"$",""),",","")),0)</f>
        <v>0</v>
      </c>
      <c r="N676" s="10" t="n">
        <f aca="false">IFERROR(VALUE(SUBSTITUTE(SUBSTITUTE(Raw_Donors!M676,"$",""),",","")),0)</f>
        <v>0</v>
      </c>
      <c r="O676" s="10" t="n">
        <f aca="false">IFERROR(VALUE(SUBSTITUTE(SUBSTITUTE(Raw_Donors!N676,"$",""),",","")),0)</f>
        <v>0</v>
      </c>
      <c r="P676" s="10" t="n">
        <f aca="false">IFERROR(VALUE(SUBSTITUTE(SUBSTITUTE(Raw_Donors!O676,"$",""),",","")),0)</f>
        <v>0</v>
      </c>
      <c r="Q676" s="10" t="n">
        <f aca="false">IFERROR(VALUE(SUBSTITUTE(SUBSTITUTE(Raw_Donors!P676,"$",""),",","")),0)</f>
        <v>0</v>
      </c>
      <c r="R676" s="10" t="n">
        <f aca="false">Raw_Donors!Q676</f>
        <v>32</v>
      </c>
      <c r="S676" s="9" t="str">
        <f aca="false">Raw_Donors!R676</f>
        <v>Y</v>
      </c>
      <c r="T676" s="9" t="str">
        <f aca="false">IF(Raw_Donors!S676="","",Raw_Donors!S676)</f>
        <v/>
      </c>
      <c r="U676" s="9" t="str">
        <f aca="false">IF(AND((O676+P676)&gt;0,Q676=0),"Lapsed - Follow Up","")</f>
        <v/>
      </c>
      <c r="V676" s="9" t="n">
        <f aca="false">RANK(R676,$R$2:$R$759)+COUNTIF($R$2:R676,R676)-1</f>
        <v>413</v>
      </c>
      <c r="W676" s="9" t="str">
        <f aca="false">IF(U676="Lapsed - Follow Up",COUNTIF($U$2:U676,"Lapsed - Follow Up"),"")</f>
        <v/>
      </c>
    </row>
    <row r="677" customFormat="false" ht="15" hidden="false" customHeight="true" outlineLevel="0" collapsed="false">
      <c r="A677" s="9" t="str">
        <f aca="false">Raw_Donors!A677</f>
        <v>D1675</v>
      </c>
      <c r="B677" s="9" t="str">
        <f aca="false">IF(ISNUMBER(SEARCH("-DUP",A677)),"Duplicate ID","")</f>
        <v/>
      </c>
      <c r="C677" s="9" t="n">
        <f aca="false">Raw_Donors!B677</f>
        <v>64864</v>
      </c>
      <c r="D677" s="9" t="n">
        <f aca="false">Raw_Donors!C677</f>
        <v>0</v>
      </c>
      <c r="E677" s="9" t="str">
        <f aca="false">IFERROR(IF(Raw_Donors!D677="","Unknown",Raw_Donors!D677),"Unknown")</f>
        <v>Unknown</v>
      </c>
      <c r="F677" s="9" t="str">
        <f aca="false">IFERROR(IF(Raw_Donors!E677="","Unknown",Raw_Donors!E677),"Unknown")</f>
        <v>Male</v>
      </c>
      <c r="G677" s="9" t="str">
        <f aca="false">PROPER(TRIM(Raw_Donors!F677))</f>
        <v>Individual Donor</v>
      </c>
      <c r="H677" s="9" t="str">
        <f aca="false">IFERROR(IF(Raw_Donors!G677="","N",Raw_Donors!G677),"N")</f>
        <v>N</v>
      </c>
      <c r="I677" s="9" t="str">
        <f aca="false">IF(Raw_Donors!H677="","Not Rated",Raw_Donors!H677)</f>
        <v>Not Rated</v>
      </c>
      <c r="J677" s="9" t="str">
        <f aca="false">IF(TRIM(Raw_Donors!I677)="","Unknown",TRIM(Raw_Donors!I677))</f>
        <v>HOME</v>
      </c>
      <c r="K677" s="9" t="str">
        <f aca="false">Raw_Donors!J677</f>
        <v>N</v>
      </c>
      <c r="L677" s="9" t="n">
        <f aca="false">Raw_Donors!K677</f>
        <v>2</v>
      </c>
      <c r="M677" s="10" t="n">
        <f aca="false">IFERROR(VALUE(SUBSTITUTE(SUBSTITUTE(Raw_Donors!L677,"$",""),",","")),0)</f>
        <v>0</v>
      </c>
      <c r="N677" s="10" t="n">
        <f aca="false">IFERROR(VALUE(SUBSTITUTE(SUBSTITUTE(Raw_Donors!M677,"$",""),",","")),0)</f>
        <v>0</v>
      </c>
      <c r="O677" s="10" t="n">
        <f aca="false">IFERROR(VALUE(SUBSTITUTE(SUBSTITUTE(Raw_Donors!N677,"$",""),",","")),0)</f>
        <v>0</v>
      </c>
      <c r="P677" s="10" t="n">
        <f aca="false">IFERROR(VALUE(SUBSTITUTE(SUBSTITUTE(Raw_Donors!O677,"$",""),",","")),0)</f>
        <v>0</v>
      </c>
      <c r="Q677" s="10" t="n">
        <f aca="false">IFERROR(VALUE(SUBSTITUTE(SUBSTITUTE(Raw_Donors!P677,"$",""),",","")),0)</f>
        <v>0</v>
      </c>
      <c r="R677" s="10" t="n">
        <f aca="false">Raw_Donors!Q677</f>
        <v>0</v>
      </c>
      <c r="S677" s="9" t="str">
        <f aca="false">Raw_Donors!R677</f>
        <v>N</v>
      </c>
      <c r="T677" s="9" t="str">
        <f aca="false">IF(Raw_Donors!S677="","",Raw_Donors!S677)</f>
        <v/>
      </c>
      <c r="U677" s="9" t="str">
        <f aca="false">IF(AND((O677+P677)&gt;0,Q677=0),"Lapsed - Follow Up","")</f>
        <v/>
      </c>
      <c r="V677" s="9" t="n">
        <f aca="false">RANK(R677,$R$2:$R$759)+COUNTIF($R$2:R677,R677)-1</f>
        <v>739</v>
      </c>
      <c r="W677" s="9" t="str">
        <f aca="false">IF(U677="Lapsed - Follow Up",COUNTIF($U$2:U677,"Lapsed - Follow Up"),"")</f>
        <v/>
      </c>
    </row>
    <row r="678" customFormat="false" ht="15" hidden="false" customHeight="true" outlineLevel="0" collapsed="false">
      <c r="A678" s="9" t="str">
        <f aca="false">Raw_Donors!A678</f>
        <v>D1676</v>
      </c>
      <c r="B678" s="9" t="str">
        <f aca="false">IF(ISNUMBER(SEARCH("-DUP",A678)),"Duplicate ID","")</f>
        <v/>
      </c>
      <c r="C678" s="9" t="n">
        <f aca="false">Raw_Donors!B678</f>
        <v>50217</v>
      </c>
      <c r="D678" s="9" t="n">
        <f aca="false">Raw_Donors!C678</f>
        <v>0</v>
      </c>
      <c r="E678" s="9" t="str">
        <f aca="false">IFERROR(IF(Raw_Donors!D678="","Unknown",Raw_Donors!D678),"Unknown")</f>
        <v>Unknown</v>
      </c>
      <c r="F678" s="9" t="str">
        <f aca="false">IFERROR(IF(Raw_Donors!E678="","Unknown",Raw_Donors!E678),"Unknown")</f>
        <v>Female</v>
      </c>
      <c r="G678" s="9" t="str">
        <f aca="false">PROPER(TRIM(Raw_Donors!F678))</f>
        <v>Individual Donor</v>
      </c>
      <c r="H678" s="9" t="str">
        <f aca="false">IFERROR(IF(Raw_Donors!G678="","N",Raw_Donors!G678),"N")</f>
        <v>N</v>
      </c>
      <c r="I678" s="9" t="str">
        <f aca="false">IF(Raw_Donors!H678="","Not Rated",Raw_Donors!H678)</f>
        <v>Not Rated</v>
      </c>
      <c r="J678" s="9" t="str">
        <f aca="false">IF(TRIM(Raw_Donors!I678)="","Unknown",TRIM(Raw_Donors!I678))</f>
        <v>HOME</v>
      </c>
      <c r="K678" s="9" t="str">
        <f aca="false">Raw_Donors!J678</f>
        <v>N</v>
      </c>
      <c r="L678" s="9" t="n">
        <f aca="false">Raw_Donors!K678</f>
        <v>1</v>
      </c>
      <c r="M678" s="10" t="n">
        <f aca="false">IFERROR(VALUE(SUBSTITUTE(SUBSTITUTE(Raw_Donors!L678,"$",""),",","")),0)</f>
        <v>0</v>
      </c>
      <c r="N678" s="10" t="n">
        <f aca="false">IFERROR(VALUE(SUBSTITUTE(SUBSTITUTE(Raw_Donors!M678,"$",""),",","")),0)</f>
        <v>0</v>
      </c>
      <c r="O678" s="10" t="n">
        <f aca="false">IFERROR(VALUE(SUBSTITUTE(SUBSTITUTE(Raw_Donors!N678,"$",""),",","")),0)</f>
        <v>0</v>
      </c>
      <c r="P678" s="10" t="n">
        <f aca="false">IFERROR(VALUE(SUBSTITUTE(SUBSTITUTE(Raw_Donors!O678,"$",""),",","")),0)</f>
        <v>0</v>
      </c>
      <c r="Q678" s="10" t="n">
        <f aca="false">IFERROR(VALUE(SUBSTITUTE(SUBSTITUTE(Raw_Donors!P678,"$",""),",","")),0)</f>
        <v>0</v>
      </c>
      <c r="R678" s="10" t="n">
        <f aca="false">Raw_Donors!Q678</f>
        <v>1</v>
      </c>
      <c r="S678" s="9" t="str">
        <f aca="false">Raw_Donors!R678</f>
        <v>Y</v>
      </c>
      <c r="T678" s="9" t="str">
        <f aca="false">IF(Raw_Donors!S678="","",Raw_Donors!S678)</f>
        <v/>
      </c>
      <c r="U678" s="9" t="str">
        <f aca="false">IF(AND((O678+P678)&gt;0,Q678=0),"Lapsed - Follow Up","")</f>
        <v/>
      </c>
      <c r="V678" s="9" t="n">
        <f aca="false">RANK(R678,$R$2:$R$759)+COUNTIF($R$2:R678,R678)-1</f>
        <v>554</v>
      </c>
      <c r="W678" s="9" t="str">
        <f aca="false">IF(U678="Lapsed - Follow Up",COUNTIF($U$2:U678,"Lapsed - Follow Up"),"")</f>
        <v/>
      </c>
    </row>
    <row r="679" customFormat="false" ht="15" hidden="false" customHeight="true" outlineLevel="0" collapsed="false">
      <c r="A679" s="9" t="str">
        <f aca="false">Raw_Donors!A679</f>
        <v>D1677</v>
      </c>
      <c r="B679" s="9" t="str">
        <f aca="false">IF(ISNUMBER(SEARCH("-DUP",A679)),"Duplicate ID","")</f>
        <v/>
      </c>
      <c r="C679" s="9" t="n">
        <f aca="false">Raw_Donors!B679</f>
        <v>72478</v>
      </c>
      <c r="D679" s="9" t="n">
        <f aca="false">Raw_Donors!C679</f>
        <v>0</v>
      </c>
      <c r="E679" s="9" t="str">
        <f aca="false">IFERROR(IF(Raw_Donors!D679="","Unknown",Raw_Donors!D679),"Unknown")</f>
        <v>Unknown</v>
      </c>
      <c r="F679" s="9" t="str">
        <f aca="false">IFERROR(IF(Raw_Donors!E679="","Unknown",Raw_Donors!E679),"Unknown")</f>
        <v>Male</v>
      </c>
      <c r="G679" s="9" t="str">
        <f aca="false">PROPER(TRIM(Raw_Donors!F679))</f>
        <v>Individual Donor</v>
      </c>
      <c r="H679" s="9" t="str">
        <f aca="false">IFERROR(IF(Raw_Donors!G679="","N",Raw_Donors!G679),"N")</f>
        <v>N</v>
      </c>
      <c r="I679" s="9" t="str">
        <f aca="false">IF(Raw_Donors!H679="","Not Rated",Raw_Donors!H679)</f>
        <v>Not Rated</v>
      </c>
      <c r="J679" s="9" t="str">
        <f aca="false">IF(TRIM(Raw_Donors!I679)="","Unknown",TRIM(Raw_Donors!I679))</f>
        <v>Unknown</v>
      </c>
      <c r="K679" s="9" t="str">
        <f aca="false">Raw_Donors!J679</f>
        <v>N</v>
      </c>
      <c r="L679" s="9" t="n">
        <f aca="false">Raw_Donors!K679</f>
        <v>1</v>
      </c>
      <c r="M679" s="10" t="n">
        <f aca="false">IFERROR(VALUE(SUBSTITUTE(SUBSTITUTE(Raw_Donors!L679,"$",""),",","")),0)</f>
        <v>0</v>
      </c>
      <c r="N679" s="10" t="n">
        <f aca="false">IFERROR(VALUE(SUBSTITUTE(SUBSTITUTE(Raw_Donors!M679,"$",""),",","")),0)</f>
        <v>0</v>
      </c>
      <c r="O679" s="10" t="n">
        <f aca="false">IFERROR(VALUE(SUBSTITUTE(SUBSTITUTE(Raw_Donors!N679,"$",""),",","")),0)</f>
        <v>0</v>
      </c>
      <c r="P679" s="10" t="n">
        <f aca="false">IFERROR(VALUE(SUBSTITUTE(SUBSTITUTE(Raw_Donors!O679,"$",""),",","")),0)</f>
        <v>0</v>
      </c>
      <c r="Q679" s="10" t="n">
        <f aca="false">IFERROR(VALUE(SUBSTITUTE(SUBSTITUTE(Raw_Donors!P679,"$",""),",","")),0)</f>
        <v>0</v>
      </c>
      <c r="R679" s="10" t="n">
        <f aca="false">Raw_Donors!Q679</f>
        <v>0</v>
      </c>
      <c r="S679" s="9" t="str">
        <f aca="false">Raw_Donors!R679</f>
        <v>N</v>
      </c>
      <c r="T679" s="9" t="str">
        <f aca="false">IF(Raw_Donors!S679="","",Raw_Donors!S679)</f>
        <v/>
      </c>
      <c r="U679" s="9" t="str">
        <f aca="false">IF(AND((O679+P679)&gt;0,Q679=0),"Lapsed - Follow Up","")</f>
        <v/>
      </c>
      <c r="V679" s="9" t="n">
        <f aca="false">RANK(R679,$R$2:$R$759)+COUNTIF($R$2:R679,R679)-1</f>
        <v>740</v>
      </c>
      <c r="W679" s="9" t="str">
        <f aca="false">IF(U679="Lapsed - Follow Up",COUNTIF($U$2:U679,"Lapsed - Follow Up"),"")</f>
        <v/>
      </c>
    </row>
    <row r="680" customFormat="false" ht="15" hidden="false" customHeight="true" outlineLevel="0" collapsed="false">
      <c r="A680" s="9" t="str">
        <f aca="false">Raw_Donors!A680</f>
        <v>D1678</v>
      </c>
      <c r="B680" s="9" t="str">
        <f aca="false">IF(ISNUMBER(SEARCH("-DUP",A680)),"Duplicate ID","")</f>
        <v/>
      </c>
      <c r="C680" s="9" t="n">
        <f aca="false">Raw_Donors!B680</f>
        <v>71268</v>
      </c>
      <c r="D680" s="9" t="n">
        <f aca="false">Raw_Donors!C680</f>
        <v>73</v>
      </c>
      <c r="E680" s="9" t="str">
        <f aca="false">IFERROR(IF(Raw_Donors!D680="","Unknown",Raw_Donors!D680),"Unknown")</f>
        <v>Unknown</v>
      </c>
      <c r="F680" s="9" t="str">
        <f aca="false">IFERROR(IF(Raw_Donors!E680="","Unknown",Raw_Donors!E680),"Unknown")</f>
        <v>Male</v>
      </c>
      <c r="G680" s="9" t="str">
        <f aca="false">PROPER(TRIM(Raw_Donors!F680))</f>
        <v>Individual Donor</v>
      </c>
      <c r="H680" s="9" t="str">
        <f aca="false">IFERROR(IF(Raw_Donors!G680="","N",Raw_Donors!G680),"N")</f>
        <v>N</v>
      </c>
      <c r="I680" s="9" t="str">
        <f aca="false">IF(Raw_Donors!H680="","Not Rated",Raw_Donors!H680)</f>
        <v>Not Rated</v>
      </c>
      <c r="J680" s="9" t="str">
        <f aca="false">IF(TRIM(Raw_Donors!I680)="","Unknown",TRIM(Raw_Donors!I680))</f>
        <v>HOME</v>
      </c>
      <c r="K680" s="9" t="str">
        <f aca="false">Raw_Donors!J680</f>
        <v>N</v>
      </c>
      <c r="L680" s="9" t="n">
        <f aca="false">Raw_Donors!K680</f>
        <v>0</v>
      </c>
      <c r="M680" s="10" t="n">
        <f aca="false">IFERROR(VALUE(SUBSTITUTE(SUBSTITUTE(Raw_Donors!L680,"$",""),",","")),0)</f>
        <v>0</v>
      </c>
      <c r="N680" s="10" t="n">
        <f aca="false">IFERROR(VALUE(SUBSTITUTE(SUBSTITUTE(Raw_Donors!M680,"$",""),",","")),0)</f>
        <v>0</v>
      </c>
      <c r="O680" s="10" t="n">
        <f aca="false">IFERROR(VALUE(SUBSTITUTE(SUBSTITUTE(Raw_Donors!N680,"$",""),",","")),0)</f>
        <v>0</v>
      </c>
      <c r="P680" s="10" t="n">
        <f aca="false">IFERROR(VALUE(SUBSTITUTE(SUBSTITUTE(Raw_Donors!O680,"$",""),",","")),0)</f>
        <v>0</v>
      </c>
      <c r="Q680" s="10" t="n">
        <f aca="false">IFERROR(VALUE(SUBSTITUTE(SUBSTITUTE(Raw_Donors!P680,"$",""),",","")),0)</f>
        <v>0</v>
      </c>
      <c r="R680" s="10" t="n">
        <f aca="false">Raw_Donors!Q680</f>
        <v>0</v>
      </c>
      <c r="S680" s="9" t="str">
        <f aca="false">Raw_Donors!R680</f>
        <v>N</v>
      </c>
      <c r="T680" s="9" t="str">
        <f aca="false">IF(Raw_Donors!S680="","",Raw_Donors!S680)</f>
        <v>1944-09-08</v>
      </c>
      <c r="U680" s="9" t="str">
        <f aca="false">IF(AND((O680+P680)&gt;0,Q680=0),"Lapsed - Follow Up","")</f>
        <v/>
      </c>
      <c r="V680" s="9" t="n">
        <f aca="false">RANK(R680,$R$2:$R$759)+COUNTIF($R$2:R680,R680)-1</f>
        <v>741</v>
      </c>
      <c r="W680" s="9" t="str">
        <f aca="false">IF(U680="Lapsed - Follow Up",COUNTIF($U$2:U680,"Lapsed - Follow Up"),"")</f>
        <v/>
      </c>
    </row>
    <row r="681" customFormat="false" ht="15" hidden="false" customHeight="true" outlineLevel="0" collapsed="false">
      <c r="A681" s="9" t="str">
        <f aca="false">Raw_Donors!A681</f>
        <v>D1679</v>
      </c>
      <c r="B681" s="9" t="str">
        <f aca="false">IF(ISNUMBER(SEARCH("-DUP",A681)),"Duplicate ID","")</f>
        <v/>
      </c>
      <c r="C681" s="9" t="n">
        <f aca="false">Raw_Donors!B681</f>
        <v>62523</v>
      </c>
      <c r="D681" s="9" t="n">
        <f aca="false">Raw_Donors!C681</f>
        <v>0</v>
      </c>
      <c r="E681" s="9" t="str">
        <f aca="false">IFERROR(IF(Raw_Donors!D681="","Unknown",Raw_Donors!D681),"Unknown")</f>
        <v>Unknown</v>
      </c>
      <c r="F681" s="9" t="str">
        <f aca="false">IFERROR(IF(Raw_Donors!E681="","Unknown",Raw_Donors!E681),"Unknown")</f>
        <v>Female</v>
      </c>
      <c r="G681" s="9" t="str">
        <f aca="false">PROPER(TRIM(Raw_Donors!F681))</f>
        <v>Individual Donor</v>
      </c>
      <c r="H681" s="9" t="str">
        <f aca="false">IFERROR(IF(Raw_Donors!G681="","N",Raw_Donors!G681),"N")</f>
        <v>N</v>
      </c>
      <c r="I681" s="9" t="str">
        <f aca="false">IF(Raw_Donors!H681="","Not Rated",Raw_Donors!H681)</f>
        <v>Not Rated</v>
      </c>
      <c r="J681" s="9" t="str">
        <f aca="false">IF(TRIM(Raw_Donors!I681)="","Unknown",TRIM(Raw_Donors!I681))</f>
        <v>HOME</v>
      </c>
      <c r="K681" s="9" t="str">
        <f aca="false">Raw_Donors!J681</f>
        <v>Y</v>
      </c>
      <c r="L681" s="9" t="n">
        <f aca="false">Raw_Donors!K681</f>
        <v>1</v>
      </c>
      <c r="M681" s="10" t="n">
        <f aca="false">IFERROR(VALUE(SUBSTITUTE(SUBSTITUTE(Raw_Donors!L681,"$",""),",","")),0)</f>
        <v>0</v>
      </c>
      <c r="N681" s="10" t="n">
        <f aca="false">IFERROR(VALUE(SUBSTITUTE(SUBSTITUTE(Raw_Donors!M681,"$",""),",","")),0)</f>
        <v>0</v>
      </c>
      <c r="O681" s="10" t="n">
        <f aca="false">IFERROR(VALUE(SUBSTITUTE(SUBSTITUTE(Raw_Donors!N681,"$",""),",","")),0)</f>
        <v>0</v>
      </c>
      <c r="P681" s="10" t="n">
        <f aca="false">IFERROR(VALUE(SUBSTITUTE(SUBSTITUTE(Raw_Donors!O681,"$",""),",","")),0)</f>
        <v>0</v>
      </c>
      <c r="Q681" s="10" t="n">
        <f aca="false">IFERROR(VALUE(SUBSTITUTE(SUBSTITUTE(Raw_Donors!P681,"$",""),",","")),0)</f>
        <v>0</v>
      </c>
      <c r="R681" s="10" t="n">
        <f aca="false">Raw_Donors!Q681</f>
        <v>100</v>
      </c>
      <c r="S681" s="9" t="str">
        <f aca="false">Raw_Donors!R681</f>
        <v>Y</v>
      </c>
      <c r="T681" s="9" t="str">
        <f aca="false">IF(Raw_Donors!S681="","",Raw_Donors!S681)</f>
        <v/>
      </c>
      <c r="U681" s="9" t="str">
        <f aca="false">IF(AND((O681+P681)&gt;0,Q681=0),"Lapsed - Follow Up","")</f>
        <v/>
      </c>
      <c r="V681" s="9" t="n">
        <f aca="false">RANK(R681,$R$2:$R$759)+COUNTIF($R$2:R681,R681)-1</f>
        <v>303</v>
      </c>
      <c r="W681" s="9" t="str">
        <f aca="false">IF(U681="Lapsed - Follow Up",COUNTIF($U$2:U681,"Lapsed - Follow Up"),"")</f>
        <v/>
      </c>
    </row>
    <row r="682" customFormat="false" ht="15" hidden="false" customHeight="true" outlineLevel="0" collapsed="false">
      <c r="A682" s="9" t="str">
        <f aca="false">Raw_Donors!A682</f>
        <v>D1680</v>
      </c>
      <c r="B682" s="9" t="str">
        <f aca="false">IF(ISNUMBER(SEARCH("-DUP",A682)),"Duplicate ID","")</f>
        <v/>
      </c>
      <c r="C682" s="9" t="n">
        <f aca="false">Raw_Donors!B682</f>
        <v>38876</v>
      </c>
      <c r="D682" s="9" t="n">
        <f aca="false">Raw_Donors!C682</f>
        <v>0</v>
      </c>
      <c r="E682" s="9" t="str">
        <f aca="false">IFERROR(IF(Raw_Donors!D682="","Unknown",Raw_Donors!D682),"Unknown")</f>
        <v>Unknown</v>
      </c>
      <c r="F682" s="9" t="str">
        <f aca="false">IFERROR(IF(Raw_Donors!E682="","Unknown",Raw_Donors!E682),"Unknown")</f>
        <v>Female</v>
      </c>
      <c r="G682" s="9" t="str">
        <f aca="false">PROPER(TRIM(Raw_Donors!F682))</f>
        <v>Individual Donor</v>
      </c>
      <c r="H682" s="9" t="str">
        <f aca="false">IFERROR(IF(Raw_Donors!G682="","N",Raw_Donors!G682),"N")</f>
        <v>N</v>
      </c>
      <c r="I682" s="9" t="str">
        <f aca="false">IF(Raw_Donors!H682="","Not Rated",Raw_Donors!H682)</f>
        <v>Not Rated</v>
      </c>
      <c r="J682" s="9" t="str">
        <f aca="false">IF(TRIM(Raw_Donors!I682)="","Unknown",TRIM(Raw_Donors!I682))</f>
        <v>HOME</v>
      </c>
      <c r="K682" s="9" t="str">
        <f aca="false">Raw_Donors!J682</f>
        <v>N</v>
      </c>
      <c r="L682" s="9" t="n">
        <f aca="false">Raw_Donors!K682</f>
        <v>1</v>
      </c>
      <c r="M682" s="10" t="n">
        <f aca="false">IFERROR(VALUE(SUBSTITUTE(SUBSTITUTE(Raw_Donors!L682,"$",""),",","")),0)</f>
        <v>0</v>
      </c>
      <c r="N682" s="10" t="n">
        <f aca="false">IFERROR(VALUE(SUBSTITUTE(SUBSTITUTE(Raw_Donors!M682,"$",""),",","")),0)</f>
        <v>0</v>
      </c>
      <c r="O682" s="10" t="n">
        <f aca="false">IFERROR(VALUE(SUBSTITUTE(SUBSTITUTE(Raw_Donors!N682,"$",""),",","")),0)</f>
        <v>30</v>
      </c>
      <c r="P682" s="10" t="n">
        <f aca="false">IFERROR(VALUE(SUBSTITUTE(SUBSTITUTE(Raw_Donors!O682,"$",""),",","")),0)</f>
        <v>0</v>
      </c>
      <c r="Q682" s="10" t="n">
        <f aca="false">IFERROR(VALUE(SUBSTITUTE(SUBSTITUTE(Raw_Donors!P682,"$",""),",","")),0)</f>
        <v>1100</v>
      </c>
      <c r="R682" s="10" t="n">
        <f aca="false">Raw_Donors!Q682</f>
        <v>1130</v>
      </c>
      <c r="S682" s="9" t="str">
        <f aca="false">Raw_Donors!R682</f>
        <v>Y</v>
      </c>
      <c r="T682" s="9" t="str">
        <f aca="false">IF(Raw_Donors!S682="","",Raw_Donors!S682)</f>
        <v/>
      </c>
      <c r="U682" s="9" t="str">
        <f aca="false">IF(AND((O682+P682)&gt;0,Q682=0),"Lapsed - Follow Up","")</f>
        <v/>
      </c>
      <c r="V682" s="9" t="n">
        <f aca="false">RANK(R682,$R$2:$R$759)+COUNTIF($R$2:R682,R682)-1</f>
        <v>53</v>
      </c>
      <c r="W682" s="9" t="str">
        <f aca="false">IF(U682="Lapsed - Follow Up",COUNTIF($U$2:U682,"Lapsed - Follow Up"),"")</f>
        <v/>
      </c>
    </row>
    <row r="683" customFormat="false" ht="15" hidden="false" customHeight="true" outlineLevel="0" collapsed="false">
      <c r="A683" s="9" t="str">
        <f aca="false">Raw_Donors!A683</f>
        <v>D1681</v>
      </c>
      <c r="B683" s="9" t="str">
        <f aca="false">IF(ISNUMBER(SEARCH("-DUP",A683)),"Duplicate ID","")</f>
        <v/>
      </c>
      <c r="C683" s="9" t="n">
        <f aca="false">Raw_Donors!B683</f>
        <v>83316</v>
      </c>
      <c r="D683" s="9" t="n">
        <f aca="false">Raw_Donors!C683</f>
        <v>0</v>
      </c>
      <c r="E683" s="9" t="str">
        <f aca="false">IFERROR(IF(Raw_Donors!D683="","Unknown",Raw_Donors!D683),"Unknown")</f>
        <v>Married</v>
      </c>
      <c r="F683" s="9" t="str">
        <f aca="false">IFERROR(IF(Raw_Donors!E683="","Unknown",Raw_Donors!E683),"Unknown")</f>
        <v>Female</v>
      </c>
      <c r="G683" s="9" t="str">
        <f aca="false">PROPER(TRIM(Raw_Donors!F683))</f>
        <v>Individual Donor</v>
      </c>
      <c r="H683" s="9" t="str">
        <f aca="false">IFERROR(IF(Raw_Donors!G683="","N",Raw_Donors!G683),"N")</f>
        <v>N</v>
      </c>
      <c r="I683" s="9" t="str">
        <f aca="false">IF(Raw_Donors!H683="","Not Rated",Raw_Donors!H683)</f>
        <v>Not Rated</v>
      </c>
      <c r="J683" s="9" t="str">
        <f aca="false">IF(TRIM(Raw_Donors!I683)="","Unknown",TRIM(Raw_Donors!I683))</f>
        <v>HOME</v>
      </c>
      <c r="K683" s="9" t="str">
        <f aca="false">Raw_Donors!J683</f>
        <v>N</v>
      </c>
      <c r="L683" s="9" t="n">
        <f aca="false">Raw_Donors!K683</f>
        <v>0</v>
      </c>
      <c r="M683" s="10" t="n">
        <f aca="false">IFERROR(VALUE(SUBSTITUTE(SUBSTITUTE(Raw_Donors!L683,"$",""),",","")),0)</f>
        <v>0</v>
      </c>
      <c r="N683" s="10" t="n">
        <f aca="false">IFERROR(VALUE(SUBSTITUTE(SUBSTITUTE(Raw_Donors!M683,"$",""),",","")),0)</f>
        <v>30</v>
      </c>
      <c r="O683" s="10" t="n">
        <f aca="false">IFERROR(VALUE(SUBSTITUTE(SUBSTITUTE(Raw_Donors!N683,"$",""),",","")),0)</f>
        <v>0</v>
      </c>
      <c r="P683" s="10" t="n">
        <f aca="false">IFERROR(VALUE(SUBSTITUTE(SUBSTITUTE(Raw_Donors!O683,"$",""),",","")),0)</f>
        <v>0</v>
      </c>
      <c r="Q683" s="10" t="n">
        <f aca="false">IFERROR(VALUE(SUBSTITUTE(SUBSTITUTE(Raw_Donors!P683,"$",""),",","")),0)</f>
        <v>0</v>
      </c>
      <c r="R683" s="10" t="n">
        <f aca="false">Raw_Donors!Q683</f>
        <v>30</v>
      </c>
      <c r="S683" s="9" t="str">
        <f aca="false">Raw_Donors!R683</f>
        <v>Y</v>
      </c>
      <c r="T683" s="9" t="str">
        <f aca="false">IF(Raw_Donors!S683="","",Raw_Donors!S683)</f>
        <v/>
      </c>
      <c r="U683" s="9" t="str">
        <f aca="false">IF(AND((O683+P683)&gt;0,Q683=0),"Lapsed - Follow Up","")</f>
        <v/>
      </c>
      <c r="V683" s="9" t="n">
        <f aca="false">RANK(R683,$R$2:$R$759)+COUNTIF($R$2:R683,R683)-1</f>
        <v>424</v>
      </c>
      <c r="W683" s="9" t="str">
        <f aca="false">IF(U683="Lapsed - Follow Up",COUNTIF($U$2:U683,"Lapsed - Follow Up"),"")</f>
        <v/>
      </c>
    </row>
    <row r="684" customFormat="false" ht="15" hidden="false" customHeight="true" outlineLevel="0" collapsed="false">
      <c r="A684" s="9" t="str">
        <f aca="false">Raw_Donors!A684</f>
        <v>D1682</v>
      </c>
      <c r="B684" s="9" t="str">
        <f aca="false">IF(ISNUMBER(SEARCH("-DUP",A684)),"Duplicate ID","")</f>
        <v/>
      </c>
      <c r="C684" s="9" t="n">
        <f aca="false">Raw_Donors!B684</f>
        <v>90265</v>
      </c>
      <c r="D684" s="9" t="n">
        <f aca="false">Raw_Donors!C684</f>
        <v>50</v>
      </c>
      <c r="E684" s="9" t="str">
        <f aca="false">IFERROR(IF(Raw_Donors!D684="","Unknown",Raw_Donors!D684),"Unknown")</f>
        <v>Married</v>
      </c>
      <c r="F684" s="9" t="str">
        <f aca="false">IFERROR(IF(Raw_Donors!E684="","Unknown",Raw_Donors!E684),"Unknown")</f>
        <v>Male</v>
      </c>
      <c r="G684" s="9" t="str">
        <f aca="false">PROPER(TRIM(Raw_Donors!F684))</f>
        <v>Community Partner</v>
      </c>
      <c r="H684" s="9" t="str">
        <f aca="false">IFERROR(IF(Raw_Donors!G684="","N",Raw_Donors!G684),"N")</f>
        <v>Y</v>
      </c>
      <c r="I684" s="9" t="str">
        <f aca="false">IF(Raw_Donors!H684="","Not Rated",Raw_Donors!H684)</f>
        <v>Not Rated</v>
      </c>
      <c r="J684" s="9" t="str">
        <f aca="false">IF(TRIM(Raw_Donors!I684)="","Unknown",TRIM(Raw_Donors!I684))</f>
        <v>HOME</v>
      </c>
      <c r="K684" s="9" t="str">
        <f aca="false">Raw_Donors!J684</f>
        <v>N</v>
      </c>
      <c r="L684" s="9" t="n">
        <f aca="false">Raw_Donors!K684</f>
        <v>0</v>
      </c>
      <c r="M684" s="10" t="n">
        <f aca="false">IFERROR(VALUE(SUBSTITUTE(SUBSTITUTE(Raw_Donors!L684,"$",""),",","")),0)</f>
        <v>0</v>
      </c>
      <c r="N684" s="10" t="n">
        <f aca="false">IFERROR(VALUE(SUBSTITUTE(SUBSTITUTE(Raw_Donors!M684,"$",""),",","")),0)</f>
        <v>0</v>
      </c>
      <c r="O684" s="10" t="n">
        <f aca="false">IFERROR(VALUE(SUBSTITUTE(SUBSTITUTE(Raw_Donors!N684,"$",""),",","")),0)</f>
        <v>0</v>
      </c>
      <c r="P684" s="10" t="n">
        <f aca="false">IFERROR(VALUE(SUBSTITUTE(SUBSTITUTE(Raw_Donors!O684,"$",""),",","")),0)</f>
        <v>0</v>
      </c>
      <c r="Q684" s="10" t="n">
        <f aca="false">IFERROR(VALUE(SUBSTITUTE(SUBSTITUTE(Raw_Donors!P684,"$",""),",","")),0)</f>
        <v>165</v>
      </c>
      <c r="R684" s="10" t="n">
        <f aca="false">Raw_Donors!Q684</f>
        <v>165</v>
      </c>
      <c r="S684" s="9" t="str">
        <f aca="false">Raw_Donors!R684</f>
        <v>Y</v>
      </c>
      <c r="T684" s="9" t="str">
        <f aca="false">IF(Raw_Donors!S684="","",Raw_Donors!S684)</f>
        <v>1967-12-16</v>
      </c>
      <c r="U684" s="9" t="str">
        <f aca="false">IF(AND((O684+P684)&gt;0,Q684=0),"Lapsed - Follow Up","")</f>
        <v/>
      </c>
      <c r="V684" s="9" t="n">
        <f aca="false">RANK(R684,$R$2:$R$759)+COUNTIF($R$2:R684,R684)-1</f>
        <v>224</v>
      </c>
      <c r="W684" s="9" t="str">
        <f aca="false">IF(U684="Lapsed - Follow Up",COUNTIF($U$2:U684,"Lapsed - Follow Up"),"")</f>
        <v/>
      </c>
    </row>
    <row r="685" customFormat="false" ht="15" hidden="false" customHeight="true" outlineLevel="0" collapsed="false">
      <c r="A685" s="9" t="str">
        <f aca="false">Raw_Donors!A685</f>
        <v>D1683</v>
      </c>
      <c r="B685" s="9" t="str">
        <f aca="false">IF(ISNUMBER(SEARCH("-DUP",A685)),"Duplicate ID","")</f>
        <v/>
      </c>
      <c r="C685" s="9" t="n">
        <f aca="false">Raw_Donors!B685</f>
        <v>32406</v>
      </c>
      <c r="D685" s="9" t="n">
        <f aca="false">Raw_Donors!C685</f>
        <v>0</v>
      </c>
      <c r="E685" s="9" t="str">
        <f aca="false">IFERROR(IF(Raw_Donors!D685="","Unknown",Raw_Donors!D685),"Unknown")</f>
        <v>Unknown</v>
      </c>
      <c r="F685" s="9" t="str">
        <f aca="false">IFERROR(IF(Raw_Donors!E685="","Unknown",Raw_Donors!E685),"Unknown")</f>
        <v>Male</v>
      </c>
      <c r="G685" s="9" t="str">
        <f aca="false">PROPER(TRIM(Raw_Donors!F685))</f>
        <v>Individual Donor</v>
      </c>
      <c r="H685" s="9" t="str">
        <f aca="false">IFERROR(IF(Raw_Donors!G685="","N",Raw_Donors!G685),"N")</f>
        <v>N</v>
      </c>
      <c r="I685" s="9" t="str">
        <f aca="false">IF(Raw_Donors!H685="","Not Rated",Raw_Donors!H685)</f>
        <v>Not Rated</v>
      </c>
      <c r="J685" s="9" t="str">
        <f aca="false">IF(TRIM(Raw_Donors!I685)="","Unknown",TRIM(Raw_Donors!I685))</f>
        <v>HOME</v>
      </c>
      <c r="K685" s="9" t="str">
        <f aca="false">Raw_Donors!J685</f>
        <v>N</v>
      </c>
      <c r="L685" s="9" t="n">
        <f aca="false">Raw_Donors!K685</f>
        <v>1</v>
      </c>
      <c r="M685" s="10" t="n">
        <f aca="false">IFERROR(VALUE(SUBSTITUTE(SUBSTITUTE(Raw_Donors!L685,"$",""),",","")),0)</f>
        <v>0</v>
      </c>
      <c r="N685" s="10" t="n">
        <f aca="false">IFERROR(VALUE(SUBSTITUTE(SUBSTITUTE(Raw_Donors!M685,"$",""),",","")),0)</f>
        <v>0</v>
      </c>
      <c r="O685" s="10" t="n">
        <f aca="false">IFERROR(VALUE(SUBSTITUTE(SUBSTITUTE(Raw_Donors!N685,"$",""),",","")),0)</f>
        <v>0</v>
      </c>
      <c r="P685" s="10" t="n">
        <f aca="false">IFERROR(VALUE(SUBSTITUTE(SUBSTITUTE(Raw_Donors!O685,"$",""),",","")),0)</f>
        <v>0</v>
      </c>
      <c r="Q685" s="10" t="n">
        <f aca="false">IFERROR(VALUE(SUBSTITUTE(SUBSTITUTE(Raw_Donors!P685,"$",""),",","")),0)</f>
        <v>0</v>
      </c>
      <c r="R685" s="10" t="n">
        <f aca="false">Raw_Donors!Q685</f>
        <v>75</v>
      </c>
      <c r="S685" s="9" t="str">
        <f aca="false">Raw_Donors!R685</f>
        <v>Y</v>
      </c>
      <c r="T685" s="9" t="str">
        <f aca="false">IF(Raw_Donors!S685="","",Raw_Donors!S685)</f>
        <v/>
      </c>
      <c r="U685" s="9" t="str">
        <f aca="false">IF(AND((O685+P685)&gt;0,Q685=0),"Lapsed - Follow Up","")</f>
        <v/>
      </c>
      <c r="V685" s="9" t="n">
        <f aca="false">RANK(R685,$R$2:$R$759)+COUNTIF($R$2:R685,R685)-1</f>
        <v>337</v>
      </c>
      <c r="W685" s="9" t="str">
        <f aca="false">IF(U685="Lapsed - Follow Up",COUNTIF($U$2:U685,"Lapsed - Follow Up"),"")</f>
        <v/>
      </c>
    </row>
    <row r="686" customFormat="false" ht="15" hidden="false" customHeight="true" outlineLevel="0" collapsed="false">
      <c r="A686" s="9" t="str">
        <f aca="false">Raw_Donors!A686</f>
        <v>D1684</v>
      </c>
      <c r="B686" s="9" t="str">
        <f aca="false">IF(ISNUMBER(SEARCH("-DUP",A686)),"Duplicate ID","")</f>
        <v/>
      </c>
      <c r="C686" s="9" t="n">
        <f aca="false">Raw_Donors!B686</f>
        <v>969</v>
      </c>
      <c r="D686" s="9" t="n">
        <f aca="false">Raw_Donors!C686</f>
        <v>0</v>
      </c>
      <c r="E686" s="9" t="str">
        <f aca="false">IFERROR(IF(Raw_Donors!D686="","Unknown",Raw_Donors!D686),"Unknown")</f>
        <v>Married</v>
      </c>
      <c r="F686" s="9" t="str">
        <f aca="false">IFERROR(IF(Raw_Donors!E686="","Unknown",Raw_Donors!E686),"Unknown")</f>
        <v>Female</v>
      </c>
      <c r="G686" s="9" t="str">
        <f aca="false">PROPER(TRIM(Raw_Donors!F686))</f>
        <v>Individual Donor</v>
      </c>
      <c r="H686" s="9" t="str">
        <f aca="false">IFERROR(IF(Raw_Donors!G686="","N",Raw_Donors!G686),"N")</f>
        <v>N</v>
      </c>
      <c r="I686" s="9" t="str">
        <f aca="false">IF(Raw_Donors!H686="","Not Rated",Raw_Donors!H686)</f>
        <v>Not Rated</v>
      </c>
      <c r="J686" s="9" t="str">
        <f aca="false">IF(TRIM(Raw_Donors!I686)="","Unknown",TRIM(Raw_Donors!I686))</f>
        <v>HOME</v>
      </c>
      <c r="K686" s="9" t="str">
        <f aca="false">Raw_Donors!J686</f>
        <v>N</v>
      </c>
      <c r="L686" s="9" t="n">
        <f aca="false">Raw_Donors!K686</f>
        <v>1</v>
      </c>
      <c r="M686" s="10" t="n">
        <f aca="false">IFERROR(VALUE(SUBSTITUTE(SUBSTITUTE(Raw_Donors!L686,"$",""),",","")),0)</f>
        <v>0</v>
      </c>
      <c r="N686" s="10" t="n">
        <f aca="false">IFERROR(VALUE(SUBSTITUTE(SUBSTITUTE(Raw_Donors!M686,"$",""),",","")),0)</f>
        <v>20</v>
      </c>
      <c r="O686" s="10" t="n">
        <f aca="false">IFERROR(VALUE(SUBSTITUTE(SUBSTITUTE(Raw_Donors!N686,"$",""),",","")),0)</f>
        <v>0</v>
      </c>
      <c r="P686" s="10" t="n">
        <f aca="false">IFERROR(VALUE(SUBSTITUTE(SUBSTITUTE(Raw_Donors!O686,"$",""),",","")),0)</f>
        <v>0</v>
      </c>
      <c r="Q686" s="10" t="n">
        <f aca="false">IFERROR(VALUE(SUBSTITUTE(SUBSTITUTE(Raw_Donors!P686,"$",""),",","")),0)</f>
        <v>0</v>
      </c>
      <c r="R686" s="10" t="n">
        <f aca="false">Raw_Donors!Q686</f>
        <v>115</v>
      </c>
      <c r="S686" s="9" t="str">
        <f aca="false">Raw_Donors!R686</f>
        <v>Y</v>
      </c>
      <c r="T686" s="9" t="str">
        <f aca="false">IF(Raw_Donors!S686="","",Raw_Donors!S686)</f>
        <v/>
      </c>
      <c r="U686" s="9" t="str">
        <f aca="false">IF(AND((O686+P686)&gt;0,Q686=0),"Lapsed - Follow Up","")</f>
        <v/>
      </c>
      <c r="V686" s="9" t="n">
        <f aca="false">RANK(R686,$R$2:$R$759)+COUNTIF($R$2:R686,R686)-1</f>
        <v>262</v>
      </c>
      <c r="W686" s="9" t="str">
        <f aca="false">IF(U686="Lapsed - Follow Up",COUNTIF($U$2:U686,"Lapsed - Follow Up"),"")</f>
        <v/>
      </c>
    </row>
    <row r="687" customFormat="false" ht="15" hidden="false" customHeight="true" outlineLevel="0" collapsed="false">
      <c r="A687" s="9" t="str">
        <f aca="false">Raw_Donors!A687</f>
        <v>D1685</v>
      </c>
      <c r="B687" s="9" t="str">
        <f aca="false">IF(ISNUMBER(SEARCH("-DUP",A687)),"Duplicate ID","")</f>
        <v/>
      </c>
      <c r="C687" s="9" t="n">
        <f aca="false">Raw_Donors!B687</f>
        <v>71107</v>
      </c>
      <c r="D687" s="9" t="n">
        <f aca="false">Raw_Donors!C687</f>
        <v>0</v>
      </c>
      <c r="E687" s="9" t="str">
        <f aca="false">IFERROR(IF(Raw_Donors!D687="","Unknown",Raw_Donors!D687),"Unknown")</f>
        <v>Unknown</v>
      </c>
      <c r="F687" s="9" t="str">
        <f aca="false">IFERROR(IF(Raw_Donors!E687="","Unknown",Raw_Donors!E687),"Unknown")</f>
        <v>Female</v>
      </c>
      <c r="G687" s="9" t="str">
        <f aca="false">PROPER(TRIM(Raw_Donors!F687))</f>
        <v>Individual Donor</v>
      </c>
      <c r="H687" s="9" t="str">
        <f aca="false">IFERROR(IF(Raw_Donors!G687="","N",Raw_Donors!G687),"N")</f>
        <v>N</v>
      </c>
      <c r="I687" s="9" t="str">
        <f aca="false">IF(Raw_Donors!H687="","Not Rated",Raw_Donors!H687)</f>
        <v>Not Rated</v>
      </c>
      <c r="J687" s="9" t="str">
        <f aca="false">IF(TRIM(Raw_Donors!I687)="","Unknown",TRIM(Raw_Donors!I687))</f>
        <v>HOME</v>
      </c>
      <c r="K687" s="9" t="str">
        <f aca="false">Raw_Donors!J687</f>
        <v>N</v>
      </c>
      <c r="L687" s="9" t="n">
        <f aca="false">Raw_Donors!K687</f>
        <v>1</v>
      </c>
      <c r="M687" s="10" t="n">
        <f aca="false">IFERROR(VALUE(SUBSTITUTE(SUBSTITUTE(Raw_Donors!L687,"$",""),",","")),0)</f>
        <v>0</v>
      </c>
      <c r="N687" s="10" t="n">
        <f aca="false">IFERROR(VALUE(SUBSTITUTE(SUBSTITUTE(Raw_Donors!M687,"$",""),",","")),0)</f>
        <v>0</v>
      </c>
      <c r="O687" s="10" t="n">
        <f aca="false">IFERROR(VALUE(SUBSTITUTE(SUBSTITUTE(Raw_Donors!N687,"$",""),",","")),0)</f>
        <v>0</v>
      </c>
      <c r="P687" s="10" t="n">
        <f aca="false">IFERROR(VALUE(SUBSTITUTE(SUBSTITUTE(Raw_Donors!O687,"$",""),",","")),0)</f>
        <v>0</v>
      </c>
      <c r="Q687" s="10" t="n">
        <f aca="false">IFERROR(VALUE(SUBSTITUTE(SUBSTITUTE(Raw_Donors!P687,"$",""),",","")),0)</f>
        <v>0</v>
      </c>
      <c r="R687" s="10" t="n">
        <f aca="false">Raw_Donors!Q687</f>
        <v>0</v>
      </c>
      <c r="S687" s="9" t="str">
        <f aca="false">Raw_Donors!R687</f>
        <v>N</v>
      </c>
      <c r="T687" s="9" t="str">
        <f aca="false">IF(Raw_Donors!S687="","",Raw_Donors!S687)</f>
        <v/>
      </c>
      <c r="U687" s="9" t="str">
        <f aca="false">IF(AND((O687+P687)&gt;0,Q687=0),"Lapsed - Follow Up","")</f>
        <v/>
      </c>
      <c r="V687" s="9" t="n">
        <f aca="false">RANK(R687,$R$2:$R$759)+COUNTIF($R$2:R687,R687)-1</f>
        <v>742</v>
      </c>
      <c r="W687" s="9" t="str">
        <f aca="false">IF(U687="Lapsed - Follow Up",COUNTIF($U$2:U687,"Lapsed - Follow Up"),"")</f>
        <v/>
      </c>
    </row>
    <row r="688" customFormat="false" ht="15" hidden="false" customHeight="true" outlineLevel="0" collapsed="false">
      <c r="A688" s="9" t="str">
        <f aca="false">Raw_Donors!A688</f>
        <v>D1686</v>
      </c>
      <c r="B688" s="9" t="str">
        <f aca="false">IF(ISNUMBER(SEARCH("-DUP",A688)),"Duplicate ID","")</f>
        <v/>
      </c>
      <c r="C688" s="9" t="n">
        <f aca="false">Raw_Donors!B688</f>
        <v>73194</v>
      </c>
      <c r="D688" s="9" t="n">
        <f aca="false">Raw_Donors!C688</f>
        <v>0</v>
      </c>
      <c r="E688" s="9" t="str">
        <f aca="false">IFERROR(IF(Raw_Donors!D688="","Unknown",Raw_Donors!D688),"Unknown")</f>
        <v>Unknown</v>
      </c>
      <c r="F688" s="9" t="str">
        <f aca="false">IFERROR(IF(Raw_Donors!E688="","Unknown",Raw_Donors!E688),"Unknown")</f>
        <v>Male</v>
      </c>
      <c r="G688" s="9" t="str">
        <f aca="false">PROPER(TRIM(Raw_Donors!F688))</f>
        <v>Individual Donor</v>
      </c>
      <c r="H688" s="9" t="str">
        <f aca="false">IFERROR(IF(Raw_Donors!G688="","N",Raw_Donors!G688),"N")</f>
        <v>N</v>
      </c>
      <c r="I688" s="9" t="str">
        <f aca="false">IF(Raw_Donors!H688="","Not Rated",Raw_Donors!H688)</f>
        <v>Not Rated</v>
      </c>
      <c r="J688" s="9" t="str">
        <f aca="false">IF(TRIM(Raw_Donors!I688)="","Unknown",TRIM(Raw_Donors!I688))</f>
        <v>HOME</v>
      </c>
      <c r="K688" s="9" t="str">
        <f aca="false">Raw_Donors!J688</f>
        <v>N</v>
      </c>
      <c r="L688" s="9" t="n">
        <f aca="false">Raw_Donors!K688</f>
        <v>1</v>
      </c>
      <c r="M688" s="10" t="n">
        <f aca="false">IFERROR(VALUE(SUBSTITUTE(SUBSTITUTE(Raw_Donors!L688,"$",""),",","")),0)</f>
        <v>0</v>
      </c>
      <c r="N688" s="10" t="n">
        <f aca="false">IFERROR(VALUE(SUBSTITUTE(SUBSTITUTE(Raw_Donors!M688,"$",""),",","")),0)</f>
        <v>0</v>
      </c>
      <c r="O688" s="10" t="n">
        <f aca="false">IFERROR(VALUE(SUBSTITUTE(SUBSTITUTE(Raw_Donors!N688,"$",""),",","")),0)</f>
        <v>0</v>
      </c>
      <c r="P688" s="10" t="n">
        <f aca="false">IFERROR(VALUE(SUBSTITUTE(SUBSTITUTE(Raw_Donors!O688,"$",""),",","")),0)</f>
        <v>0</v>
      </c>
      <c r="Q688" s="10" t="n">
        <f aca="false">IFERROR(VALUE(SUBSTITUTE(SUBSTITUTE(Raw_Donors!P688,"$",""),",","")),0)</f>
        <v>0</v>
      </c>
      <c r="R688" s="10" t="n">
        <f aca="false">Raw_Donors!Q688</f>
        <v>0</v>
      </c>
      <c r="S688" s="9" t="str">
        <f aca="false">Raw_Donors!R688</f>
        <v>N</v>
      </c>
      <c r="T688" s="9" t="str">
        <f aca="false">IF(Raw_Donors!S688="","",Raw_Donors!S688)</f>
        <v/>
      </c>
      <c r="U688" s="9" t="str">
        <f aca="false">IF(AND((O688+P688)&gt;0,Q688=0),"Lapsed - Follow Up","")</f>
        <v/>
      </c>
      <c r="V688" s="9" t="n">
        <f aca="false">RANK(R688,$R$2:$R$759)+COUNTIF($R$2:R688,R688)-1</f>
        <v>743</v>
      </c>
      <c r="W688" s="9" t="str">
        <f aca="false">IF(U688="Lapsed - Follow Up",COUNTIF($U$2:U688,"Lapsed - Follow Up"),"")</f>
        <v/>
      </c>
    </row>
    <row r="689" customFormat="false" ht="15" hidden="false" customHeight="true" outlineLevel="0" collapsed="false">
      <c r="A689" s="9" t="str">
        <f aca="false">Raw_Donors!A689</f>
        <v>D1687</v>
      </c>
      <c r="B689" s="9" t="str">
        <f aca="false">IF(ISNUMBER(SEARCH("-DUP",A689)),"Duplicate ID","")</f>
        <v/>
      </c>
      <c r="C689" s="9" t="n">
        <f aca="false">Raw_Donors!B689</f>
        <v>66040</v>
      </c>
      <c r="D689" s="9" t="n">
        <f aca="false">Raw_Donors!C689</f>
        <v>0</v>
      </c>
      <c r="E689" s="9" t="str">
        <f aca="false">IFERROR(IF(Raw_Donors!D689="","Unknown",Raw_Donors!D689),"Unknown")</f>
        <v>Married</v>
      </c>
      <c r="F689" s="9" t="str">
        <f aca="false">IFERROR(IF(Raw_Donors!E689="","Unknown",Raw_Donors!E689),"Unknown")</f>
        <v>Female</v>
      </c>
      <c r="G689" s="9" t="str">
        <f aca="false">PROPER(TRIM(Raw_Donors!F689))</f>
        <v>Individual Donor</v>
      </c>
      <c r="H689" s="9" t="str">
        <f aca="false">IFERROR(IF(Raw_Donors!G689="","N",Raw_Donors!G689),"N")</f>
        <v>N</v>
      </c>
      <c r="I689" s="9" t="str">
        <f aca="false">IF(Raw_Donors!H689="","Not Rated",Raw_Donors!H689)</f>
        <v>Not Rated</v>
      </c>
      <c r="J689" s="9" t="str">
        <f aca="false">IF(TRIM(Raw_Donors!I689)="","Unknown",TRIM(Raw_Donors!I689))</f>
        <v>Unknown</v>
      </c>
      <c r="K689" s="9" t="str">
        <f aca="false">Raw_Donors!J689</f>
        <v>N</v>
      </c>
      <c r="L689" s="9" t="n">
        <f aca="false">Raw_Donors!K689</f>
        <v>0</v>
      </c>
      <c r="M689" s="10" t="n">
        <f aca="false">IFERROR(VALUE(SUBSTITUTE(SUBSTITUTE(Raw_Donors!L689,"$",""),",","")),0)</f>
        <v>0</v>
      </c>
      <c r="N689" s="10" t="n">
        <f aca="false">IFERROR(VALUE(SUBSTITUTE(SUBSTITUTE(Raw_Donors!M689,"$",""),",","")),0)</f>
        <v>0</v>
      </c>
      <c r="O689" s="10" t="n">
        <f aca="false">IFERROR(VALUE(SUBSTITUTE(SUBSTITUTE(Raw_Donors!N689,"$",""),",","")),0)</f>
        <v>0</v>
      </c>
      <c r="P689" s="10" t="n">
        <f aca="false">IFERROR(VALUE(SUBSTITUTE(SUBSTITUTE(Raw_Donors!O689,"$",""),",","")),0)</f>
        <v>0</v>
      </c>
      <c r="Q689" s="10" t="n">
        <f aca="false">IFERROR(VALUE(SUBSTITUTE(SUBSTITUTE(Raw_Donors!P689,"$",""),",","")),0)</f>
        <v>0</v>
      </c>
      <c r="R689" s="10" t="n">
        <f aca="false">Raw_Donors!Q689</f>
        <v>50</v>
      </c>
      <c r="S689" s="9" t="str">
        <f aca="false">Raw_Donors!R689</f>
        <v>Y</v>
      </c>
      <c r="T689" s="9" t="str">
        <f aca="false">IF(Raw_Donors!S689="","",Raw_Donors!S689)</f>
        <v/>
      </c>
      <c r="U689" s="9" t="str">
        <f aca="false">IF(AND((O689+P689)&gt;0,Q689=0),"Lapsed - Follow Up","")</f>
        <v/>
      </c>
      <c r="V689" s="9" t="n">
        <f aca="false">RANK(R689,$R$2:$R$759)+COUNTIF($R$2:R689,R689)-1</f>
        <v>384</v>
      </c>
      <c r="W689" s="9" t="str">
        <f aca="false">IF(U689="Lapsed - Follow Up",COUNTIF($U$2:U689,"Lapsed - Follow Up"),"")</f>
        <v/>
      </c>
    </row>
    <row r="690" customFormat="false" ht="15" hidden="false" customHeight="true" outlineLevel="0" collapsed="false">
      <c r="A690" s="9" t="str">
        <f aca="false">Raw_Donors!A690</f>
        <v>D1688</v>
      </c>
      <c r="B690" s="9" t="str">
        <f aca="false">IF(ISNUMBER(SEARCH("-DUP",A690)),"Duplicate ID","")</f>
        <v/>
      </c>
      <c r="C690" s="9" t="n">
        <f aca="false">Raw_Donors!B690</f>
        <v>19606</v>
      </c>
      <c r="D690" s="9" t="n">
        <f aca="false">Raw_Donors!C690</f>
        <v>60</v>
      </c>
      <c r="E690" s="9" t="str">
        <f aca="false">IFERROR(IF(Raw_Donors!D690="","Unknown",Raw_Donors!D690),"Unknown")</f>
        <v>Unknown</v>
      </c>
      <c r="F690" s="9" t="str">
        <f aca="false">IFERROR(IF(Raw_Donors!E690="","Unknown",Raw_Donors!E690),"Unknown")</f>
        <v>Male</v>
      </c>
      <c r="G690" s="9" t="str">
        <f aca="false">PROPER(TRIM(Raw_Donors!F690))</f>
        <v>Individual Donor</v>
      </c>
      <c r="H690" s="9" t="str">
        <f aca="false">IFERROR(IF(Raw_Donors!G690="","N",Raw_Donors!G690),"N")</f>
        <v>N</v>
      </c>
      <c r="I690" s="9" t="str">
        <f aca="false">IF(Raw_Donors!H690="","Not Rated",Raw_Donors!H690)</f>
        <v>Not Rated</v>
      </c>
      <c r="J690" s="9" t="str">
        <f aca="false">IF(TRIM(Raw_Donors!I690)="","Unknown",TRIM(Raw_Donors!I690))</f>
        <v>HOME</v>
      </c>
      <c r="K690" s="9" t="str">
        <f aca="false">Raw_Donors!J690</f>
        <v>N</v>
      </c>
      <c r="L690" s="9" t="n">
        <f aca="false">Raw_Donors!K690</f>
        <v>0</v>
      </c>
      <c r="M690" s="10" t="n">
        <f aca="false">IFERROR(VALUE(SUBSTITUTE(SUBSTITUTE(Raw_Donors!L690,"$",""),",","")),0)</f>
        <v>0</v>
      </c>
      <c r="N690" s="10" t="n">
        <f aca="false">IFERROR(VALUE(SUBSTITUTE(SUBSTITUTE(Raw_Donors!M690,"$",""),",","")),0)</f>
        <v>0</v>
      </c>
      <c r="O690" s="10" t="n">
        <f aca="false">IFERROR(VALUE(SUBSTITUTE(SUBSTITUTE(Raw_Donors!N690,"$",""),",","")),0)</f>
        <v>0</v>
      </c>
      <c r="P690" s="10" t="n">
        <f aca="false">IFERROR(VALUE(SUBSTITUTE(SUBSTITUTE(Raw_Donors!O690,"$",""),",","")),0)</f>
        <v>0</v>
      </c>
      <c r="Q690" s="10" t="n">
        <f aca="false">IFERROR(VALUE(SUBSTITUTE(SUBSTITUTE(Raw_Donors!P690,"$",""),",","")),0)</f>
        <v>0</v>
      </c>
      <c r="R690" s="10" t="n">
        <f aca="false">Raw_Donors!Q690</f>
        <v>4</v>
      </c>
      <c r="S690" s="9" t="str">
        <f aca="false">Raw_Donors!R690</f>
        <v>Y</v>
      </c>
      <c r="T690" s="9" t="str">
        <f aca="false">IF(Raw_Donors!S690="","",Raw_Donors!S690)</f>
        <v>1957-09-13</v>
      </c>
      <c r="U690" s="9" t="str">
        <f aca="false">IF(AND((O690+P690)&gt;0,Q690=0),"Lapsed - Follow Up","")</f>
        <v/>
      </c>
      <c r="V690" s="9" t="n">
        <f aca="false">RANK(R690,$R$2:$R$759)+COUNTIF($R$2:R690,R690)-1</f>
        <v>523</v>
      </c>
      <c r="W690" s="9" t="str">
        <f aca="false">IF(U690="Lapsed - Follow Up",COUNTIF($U$2:U690,"Lapsed - Follow Up"),"")</f>
        <v/>
      </c>
    </row>
    <row r="691" customFormat="false" ht="15" hidden="false" customHeight="true" outlineLevel="0" collapsed="false">
      <c r="A691" s="9" t="str">
        <f aca="false">Raw_Donors!A691</f>
        <v>D1689</v>
      </c>
      <c r="B691" s="9" t="str">
        <f aca="false">IF(ISNUMBER(SEARCH("-DUP",A691)),"Duplicate ID","")</f>
        <v/>
      </c>
      <c r="C691" s="9" t="n">
        <f aca="false">Raw_Donors!B691</f>
        <v>94538</v>
      </c>
      <c r="D691" s="9" t="n">
        <f aca="false">Raw_Donors!C691</f>
        <v>0</v>
      </c>
      <c r="E691" s="9" t="str">
        <f aca="false">IFERROR(IF(Raw_Donors!D691="","Unknown",Raw_Donors!D691),"Unknown")</f>
        <v>Married</v>
      </c>
      <c r="F691" s="9" t="str">
        <f aca="false">IFERROR(IF(Raw_Donors!E691="","Unknown",Raw_Donors!E691),"Unknown")</f>
        <v>Male</v>
      </c>
      <c r="G691" s="9" t="str">
        <f aca="false">PROPER(TRIM(Raw_Donors!F691))</f>
        <v>Individual Donor</v>
      </c>
      <c r="H691" s="9" t="str">
        <f aca="false">IFERROR(IF(Raw_Donors!G691="","N",Raw_Donors!G691),"N")</f>
        <v>N</v>
      </c>
      <c r="I691" s="9" t="str">
        <f aca="false">IF(Raw_Donors!H691="","Not Rated",Raw_Donors!H691)</f>
        <v>Not Rated</v>
      </c>
      <c r="J691" s="9" t="str">
        <f aca="false">IF(TRIM(Raw_Donors!I691)="","Unknown",TRIM(Raw_Donors!I691))</f>
        <v>HOME</v>
      </c>
      <c r="K691" s="9" t="str">
        <f aca="false">Raw_Donors!J691</f>
        <v>N</v>
      </c>
      <c r="L691" s="9" t="n">
        <f aca="false">Raw_Donors!K691</f>
        <v>2</v>
      </c>
      <c r="M691" s="10" t="n">
        <f aca="false">IFERROR(VALUE(SUBSTITUTE(SUBSTITUTE(Raw_Donors!L691,"$",""),",","")),0)</f>
        <v>96</v>
      </c>
      <c r="N691" s="10" t="n">
        <f aca="false">IFERROR(VALUE(SUBSTITUTE(SUBSTITUTE(Raw_Donors!M691,"$",""),",","")),0)</f>
        <v>0</v>
      </c>
      <c r="O691" s="10" t="n">
        <f aca="false">IFERROR(VALUE(SUBSTITUTE(SUBSTITUTE(Raw_Donors!N691,"$",""),",","")),0)</f>
        <v>0</v>
      </c>
      <c r="P691" s="10" t="n">
        <f aca="false">IFERROR(VALUE(SUBSTITUTE(SUBSTITUTE(Raw_Donors!O691,"$",""),",","")),0)</f>
        <v>0</v>
      </c>
      <c r="Q691" s="10" t="n">
        <f aca="false">IFERROR(VALUE(SUBSTITUTE(SUBSTITUTE(Raw_Donors!P691,"$",""),",","")),0)</f>
        <v>0</v>
      </c>
      <c r="R691" s="10" t="n">
        <f aca="false">Raw_Donors!Q691</f>
        <v>11077</v>
      </c>
      <c r="S691" s="9" t="str">
        <f aca="false">Raw_Donors!R691</f>
        <v>Y</v>
      </c>
      <c r="T691" s="9" t="str">
        <f aca="false">IF(Raw_Donors!S691="","",Raw_Donors!S691)</f>
        <v/>
      </c>
      <c r="U691" s="9" t="str">
        <f aca="false">IF(AND((O691+P691)&gt;0,Q691=0),"Lapsed - Follow Up","")</f>
        <v/>
      </c>
      <c r="V691" s="9" t="n">
        <f aca="false">RANK(R691,$R$2:$R$759)+COUNTIF($R$2:R691,R691)-1</f>
        <v>8</v>
      </c>
      <c r="W691" s="9" t="str">
        <f aca="false">IF(U691="Lapsed - Follow Up",COUNTIF($U$2:U691,"Lapsed - Follow Up"),"")</f>
        <v/>
      </c>
    </row>
    <row r="692" customFormat="false" ht="15" hidden="false" customHeight="true" outlineLevel="0" collapsed="false">
      <c r="A692" s="9" t="str">
        <f aca="false">Raw_Donors!A692</f>
        <v>D1690</v>
      </c>
      <c r="B692" s="9" t="str">
        <f aca="false">IF(ISNUMBER(SEARCH("-DUP",A692)),"Duplicate ID","")</f>
        <v/>
      </c>
      <c r="C692" s="9" t="n">
        <f aca="false">Raw_Donors!B692</f>
        <v>8010</v>
      </c>
      <c r="D692" s="9" t="n">
        <f aca="false">Raw_Donors!C692</f>
        <v>35</v>
      </c>
      <c r="E692" s="9" t="str">
        <f aca="false">IFERROR(IF(Raw_Donors!D692="","Unknown",Raw_Donors!D692),"Unknown")</f>
        <v>Unknown</v>
      </c>
      <c r="F692" s="9" t="str">
        <f aca="false">IFERROR(IF(Raw_Donors!E692="","Unknown",Raw_Donors!E692),"Unknown")</f>
        <v>Female</v>
      </c>
      <c r="G692" s="9" t="str">
        <f aca="false">PROPER(TRIM(Raw_Donors!F692))</f>
        <v>Community Partner</v>
      </c>
      <c r="H692" s="9" t="str">
        <f aca="false">IFERROR(IF(Raw_Donors!G692="","N",Raw_Donors!G692),"N")</f>
        <v>Y</v>
      </c>
      <c r="I692" s="9" t="str">
        <f aca="false">IF(Raw_Donors!H692="","Not Rated",Raw_Donors!H692)</f>
        <v>Not Rated</v>
      </c>
      <c r="J692" s="9" t="str">
        <f aca="false">IF(TRIM(Raw_Donors!I692)="","Unknown",TRIM(Raw_Donors!I692))</f>
        <v>HOME</v>
      </c>
      <c r="K692" s="9" t="str">
        <f aca="false">Raw_Donors!J692</f>
        <v>Y</v>
      </c>
      <c r="L692" s="9" t="n">
        <f aca="false">Raw_Donors!K692</f>
        <v>4</v>
      </c>
      <c r="M692" s="10" t="n">
        <f aca="false">IFERROR(VALUE(SUBSTITUTE(SUBSTITUTE(Raw_Donors!L692,"$",""),",","")),0)</f>
        <v>105</v>
      </c>
      <c r="N692" s="10" t="n">
        <f aca="false">IFERROR(VALUE(SUBSTITUTE(SUBSTITUTE(Raw_Donors!M692,"$",""),",","")),0)</f>
        <v>0</v>
      </c>
      <c r="O692" s="10" t="n">
        <f aca="false">IFERROR(VALUE(SUBSTITUTE(SUBSTITUTE(Raw_Donors!N692,"$",""),",","")),0)</f>
        <v>0</v>
      </c>
      <c r="P692" s="10" t="n">
        <f aca="false">IFERROR(VALUE(SUBSTITUTE(SUBSTITUTE(Raw_Donors!O692,"$",""),",","")),0)</f>
        <v>0</v>
      </c>
      <c r="Q692" s="10" t="n">
        <f aca="false">IFERROR(VALUE(SUBSTITUTE(SUBSTITUTE(Raw_Donors!P692,"$",""),",","")),0)</f>
        <v>0</v>
      </c>
      <c r="R692" s="10" t="n">
        <f aca="false">Raw_Donors!Q692</f>
        <v>105</v>
      </c>
      <c r="S692" s="9" t="str">
        <f aca="false">Raw_Donors!R692</f>
        <v>Y</v>
      </c>
      <c r="T692" s="9" t="str">
        <f aca="false">IF(Raw_Donors!S692="","",Raw_Donors!S692)</f>
        <v>1982-06-16</v>
      </c>
      <c r="U692" s="9" t="str">
        <f aca="false">IF(AND((O692+P692)&gt;0,Q692=0),"Lapsed - Follow Up","")</f>
        <v/>
      </c>
      <c r="V692" s="9" t="n">
        <f aca="false">RANK(R692,$R$2:$R$759)+COUNTIF($R$2:R692,R692)-1</f>
        <v>268</v>
      </c>
      <c r="W692" s="9" t="str">
        <f aca="false">IF(U692="Lapsed - Follow Up",COUNTIF($U$2:U692,"Lapsed - Follow Up"),"")</f>
        <v/>
      </c>
    </row>
    <row r="693" customFormat="false" ht="15" hidden="false" customHeight="true" outlineLevel="0" collapsed="false">
      <c r="A693" s="9" t="str">
        <f aca="false">Raw_Donors!A693</f>
        <v>D1691</v>
      </c>
      <c r="B693" s="9" t="str">
        <f aca="false">IF(ISNUMBER(SEARCH("-DUP",A693)),"Duplicate ID","")</f>
        <v/>
      </c>
      <c r="C693" s="9" t="n">
        <f aca="false">Raw_Donors!B693</f>
        <v>39110</v>
      </c>
      <c r="D693" s="9" t="n">
        <f aca="false">Raw_Donors!C693</f>
        <v>0</v>
      </c>
      <c r="E693" s="9" t="str">
        <f aca="false">IFERROR(IF(Raw_Donors!D693="","Unknown",Raw_Donors!D693),"Unknown")</f>
        <v>Unknown</v>
      </c>
      <c r="F693" s="9" t="str">
        <f aca="false">IFERROR(IF(Raw_Donors!E693="","Unknown",Raw_Donors!E693),"Unknown")</f>
        <v>Male</v>
      </c>
      <c r="G693" s="9" t="str">
        <f aca="false">PROPER(TRIM(Raw_Donors!F693))</f>
        <v>Individual Donor</v>
      </c>
      <c r="H693" s="9" t="str">
        <f aca="false">IFERROR(IF(Raw_Donors!G693="","N",Raw_Donors!G693),"N")</f>
        <v>N</v>
      </c>
      <c r="I693" s="9" t="str">
        <f aca="false">IF(Raw_Donors!H693="","Not Rated",Raw_Donors!H693)</f>
        <v>Not Rated</v>
      </c>
      <c r="J693" s="9" t="str">
        <f aca="false">IF(TRIM(Raw_Donors!I693)="","Unknown",TRIM(Raw_Donors!I693))</f>
        <v>HOME</v>
      </c>
      <c r="K693" s="9" t="str">
        <f aca="false">Raw_Donors!J693</f>
        <v>N</v>
      </c>
      <c r="L693" s="9" t="n">
        <f aca="false">Raw_Donors!K693</f>
        <v>5</v>
      </c>
      <c r="M693" s="10" t="n">
        <f aca="false">IFERROR(VALUE(SUBSTITUTE(SUBSTITUTE(Raw_Donors!L693,"$",""),",","")),0)</f>
        <v>240</v>
      </c>
      <c r="N693" s="10" t="n">
        <f aca="false">IFERROR(VALUE(SUBSTITUTE(SUBSTITUTE(Raw_Donors!M693,"$",""),",","")),0)</f>
        <v>0</v>
      </c>
      <c r="O693" s="10" t="n">
        <f aca="false">IFERROR(VALUE(SUBSTITUTE(SUBSTITUTE(Raw_Donors!N693,"$",""),",","")),0)</f>
        <v>0</v>
      </c>
      <c r="P693" s="10" t="n">
        <f aca="false">IFERROR(VALUE(SUBSTITUTE(SUBSTITUTE(Raw_Donors!O693,"$",""),",","")),0)</f>
        <v>0</v>
      </c>
      <c r="Q693" s="10" t="n">
        <f aca="false">IFERROR(VALUE(SUBSTITUTE(SUBSTITUTE(Raw_Donors!P693,"$",""),",","")),0)</f>
        <v>0</v>
      </c>
      <c r="R693" s="10" t="n">
        <f aca="false">Raw_Donors!Q693</f>
        <v>240</v>
      </c>
      <c r="S693" s="9" t="str">
        <f aca="false">Raw_Donors!R693</f>
        <v>Y</v>
      </c>
      <c r="T693" s="9" t="str">
        <f aca="false">IF(Raw_Donors!S693="","",Raw_Donors!S693)</f>
        <v/>
      </c>
      <c r="U693" s="9" t="str">
        <f aca="false">IF(AND((O693+P693)&gt;0,Q693=0),"Lapsed - Follow Up","")</f>
        <v/>
      </c>
      <c r="V693" s="9" t="n">
        <f aca="false">RANK(R693,$R$2:$R$759)+COUNTIF($R$2:R693,R693)-1</f>
        <v>179</v>
      </c>
      <c r="W693" s="9" t="str">
        <f aca="false">IF(U693="Lapsed - Follow Up",COUNTIF($U$2:U693,"Lapsed - Follow Up"),"")</f>
        <v/>
      </c>
    </row>
    <row r="694" customFormat="false" ht="15" hidden="false" customHeight="true" outlineLevel="0" collapsed="false">
      <c r="A694" s="9" t="str">
        <f aca="false">Raw_Donors!A694</f>
        <v>D1692</v>
      </c>
      <c r="B694" s="9" t="str">
        <f aca="false">IF(ISNUMBER(SEARCH("-DUP",A694)),"Duplicate ID","")</f>
        <v/>
      </c>
      <c r="C694" s="9" t="n">
        <f aca="false">Raw_Donors!B694</f>
        <v>89570</v>
      </c>
      <c r="D694" s="9" t="n">
        <f aca="false">Raw_Donors!C694</f>
        <v>0</v>
      </c>
      <c r="E694" s="9" t="str">
        <f aca="false">IFERROR(IF(Raw_Donors!D694="","Unknown",Raw_Donors!D694),"Unknown")</f>
        <v>Married</v>
      </c>
      <c r="F694" s="9" t="str">
        <f aca="false">IFERROR(IF(Raw_Donors!E694="","Unknown",Raw_Donors!E694),"Unknown")</f>
        <v>Male</v>
      </c>
      <c r="G694" s="9" t="str">
        <f aca="false">PROPER(TRIM(Raw_Donors!F694))</f>
        <v>Family Donor</v>
      </c>
      <c r="H694" s="9" t="str">
        <f aca="false">IFERROR(IF(Raw_Donors!G694="","N",Raw_Donors!G694),"N")</f>
        <v>N</v>
      </c>
      <c r="I694" s="9" t="str">
        <f aca="false">IF(Raw_Donors!H694="","Not Rated",Raw_Donors!H694)</f>
        <v>Not Rated</v>
      </c>
      <c r="J694" s="9" t="str">
        <f aca="false">IF(TRIM(Raw_Donors!I694)="","Unknown",TRIM(Raw_Donors!I694))</f>
        <v>HOME</v>
      </c>
      <c r="K694" s="9" t="str">
        <f aca="false">Raw_Donors!J694</f>
        <v>N</v>
      </c>
      <c r="L694" s="9" t="n">
        <f aca="false">Raw_Donors!K694</f>
        <v>0</v>
      </c>
      <c r="M694" s="10" t="n">
        <f aca="false">IFERROR(VALUE(SUBSTITUTE(SUBSTITUTE(Raw_Donors!L694,"$",""),",","")),0)</f>
        <v>0</v>
      </c>
      <c r="N694" s="10" t="n">
        <f aca="false">IFERROR(VALUE(SUBSTITUTE(SUBSTITUTE(Raw_Donors!M694,"$",""),",","")),0)</f>
        <v>0</v>
      </c>
      <c r="O694" s="10" t="n">
        <f aca="false">IFERROR(VALUE(SUBSTITUTE(SUBSTITUTE(Raw_Donors!N694,"$",""),",","")),0)</f>
        <v>0</v>
      </c>
      <c r="P694" s="10" t="n">
        <f aca="false">IFERROR(VALUE(SUBSTITUTE(SUBSTITUTE(Raw_Donors!O694,"$",""),",","")),0)</f>
        <v>0</v>
      </c>
      <c r="Q694" s="10" t="n">
        <f aca="false">IFERROR(VALUE(SUBSTITUTE(SUBSTITUTE(Raw_Donors!P694,"$",""),",","")),0)</f>
        <v>0</v>
      </c>
      <c r="R694" s="10" t="n">
        <f aca="false">Raw_Donors!Q694</f>
        <v>40</v>
      </c>
      <c r="S694" s="9" t="str">
        <f aca="false">Raw_Donors!R694</f>
        <v>Y</v>
      </c>
      <c r="T694" s="9" t="str">
        <f aca="false">IF(Raw_Donors!S694="","",Raw_Donors!S694)</f>
        <v/>
      </c>
      <c r="U694" s="9" t="str">
        <f aca="false">IF(AND((O694+P694)&gt;0,Q694=0),"Lapsed - Follow Up","")</f>
        <v/>
      </c>
      <c r="V694" s="9" t="n">
        <f aca="false">RANK(R694,$R$2:$R$759)+COUNTIF($R$2:R694,R694)-1</f>
        <v>406</v>
      </c>
      <c r="W694" s="9" t="str">
        <f aca="false">IF(U694="Lapsed - Follow Up",COUNTIF($U$2:U694,"Lapsed - Follow Up"),"")</f>
        <v/>
      </c>
    </row>
    <row r="695" customFormat="false" ht="15" hidden="false" customHeight="true" outlineLevel="0" collapsed="false">
      <c r="A695" s="9" t="str">
        <f aca="false">Raw_Donors!A695</f>
        <v>D1693</v>
      </c>
      <c r="B695" s="9" t="str">
        <f aca="false">IF(ISNUMBER(SEARCH("-DUP",A695)),"Duplicate ID","")</f>
        <v/>
      </c>
      <c r="C695" s="9" t="n">
        <f aca="false">Raw_Donors!B695</f>
        <v>73179</v>
      </c>
      <c r="D695" s="9" t="n">
        <f aca="false">Raw_Donors!C695</f>
        <v>44</v>
      </c>
      <c r="E695" s="9" t="str">
        <f aca="false">IFERROR(IF(Raw_Donors!D695="","Unknown",Raw_Donors!D695),"Unknown")</f>
        <v>Unknown</v>
      </c>
      <c r="F695" s="9" t="str">
        <f aca="false">IFERROR(IF(Raw_Donors!E695="","Unknown",Raw_Donors!E695),"Unknown")</f>
        <v>Female</v>
      </c>
      <c r="G695" s="9" t="str">
        <f aca="false">PROPER(TRIM(Raw_Donors!F695))</f>
        <v>Individual Donor</v>
      </c>
      <c r="H695" s="9" t="str">
        <f aca="false">IFERROR(IF(Raw_Donors!G695="","N",Raw_Donors!G695),"N")</f>
        <v>N</v>
      </c>
      <c r="I695" s="9" t="str">
        <f aca="false">IF(Raw_Donors!H695="","Not Rated",Raw_Donors!H695)</f>
        <v>Not Rated</v>
      </c>
      <c r="J695" s="9" t="str">
        <f aca="false">IF(TRIM(Raw_Donors!I695)="","Unknown",TRIM(Raw_Donors!I695))</f>
        <v>HOME</v>
      </c>
      <c r="K695" s="9" t="str">
        <f aca="false">Raw_Donors!J695</f>
        <v>N</v>
      </c>
      <c r="L695" s="9" t="n">
        <f aca="false">Raw_Donors!K695</f>
        <v>0</v>
      </c>
      <c r="M695" s="10" t="n">
        <f aca="false">IFERROR(VALUE(SUBSTITUTE(SUBSTITUTE(Raw_Donors!L695,"$",""),",","")),0)</f>
        <v>0</v>
      </c>
      <c r="N695" s="10" t="n">
        <f aca="false">IFERROR(VALUE(SUBSTITUTE(SUBSTITUTE(Raw_Donors!M695,"$",""),",","")),0)</f>
        <v>0</v>
      </c>
      <c r="O695" s="10" t="n">
        <f aca="false">IFERROR(VALUE(SUBSTITUTE(SUBSTITUTE(Raw_Donors!N695,"$",""),",","")),0)</f>
        <v>0</v>
      </c>
      <c r="P695" s="10" t="n">
        <f aca="false">IFERROR(VALUE(SUBSTITUTE(SUBSTITUTE(Raw_Donors!O695,"$",""),",","")),0)</f>
        <v>0</v>
      </c>
      <c r="Q695" s="10" t="n">
        <f aca="false">IFERROR(VALUE(SUBSTITUTE(SUBSTITUTE(Raw_Donors!P695,"$",""),",","")),0)</f>
        <v>0</v>
      </c>
      <c r="R695" s="10" t="n">
        <f aca="false">Raw_Donors!Q695</f>
        <v>300</v>
      </c>
      <c r="S695" s="9" t="str">
        <f aca="false">Raw_Donors!R695</f>
        <v>Y</v>
      </c>
      <c r="T695" s="9" t="str">
        <f aca="false">IF(Raw_Donors!S695="","",Raw_Donors!S695)</f>
        <v>1973-06-08</v>
      </c>
      <c r="U695" s="9" t="str">
        <f aca="false">IF(AND((O695+P695)&gt;0,Q695=0),"Lapsed - Follow Up","")</f>
        <v/>
      </c>
      <c r="V695" s="9" t="n">
        <f aca="false">RANK(R695,$R$2:$R$759)+COUNTIF($R$2:R695,R695)-1</f>
        <v>146</v>
      </c>
      <c r="W695" s="9" t="str">
        <f aca="false">IF(U695="Lapsed - Follow Up",COUNTIF($U$2:U695,"Lapsed - Follow Up"),"")</f>
        <v/>
      </c>
    </row>
    <row r="696" customFormat="false" ht="15" hidden="false" customHeight="true" outlineLevel="0" collapsed="false">
      <c r="A696" s="9" t="str">
        <f aca="false">Raw_Donors!A696</f>
        <v>D1694</v>
      </c>
      <c r="B696" s="9" t="str">
        <f aca="false">IF(ISNUMBER(SEARCH("-DUP",A696)),"Duplicate ID","")</f>
        <v/>
      </c>
      <c r="C696" s="9" t="n">
        <f aca="false">Raw_Donors!B696</f>
        <v>89152</v>
      </c>
      <c r="D696" s="9" t="n">
        <f aca="false">Raw_Donors!C696</f>
        <v>0</v>
      </c>
      <c r="E696" s="9" t="str">
        <f aca="false">IFERROR(IF(Raw_Donors!D696="","Unknown",Raw_Donors!D696),"Unknown")</f>
        <v>Unknown</v>
      </c>
      <c r="F696" s="9" t="str">
        <f aca="false">IFERROR(IF(Raw_Donors!E696="","Unknown",Raw_Donors!E696),"Unknown")</f>
        <v>Uknown</v>
      </c>
      <c r="G696" s="9" t="str">
        <f aca="false">PROPER(TRIM(Raw_Donors!F696))</f>
        <v>Individual Donor</v>
      </c>
      <c r="H696" s="9" t="str">
        <f aca="false">IFERROR(IF(Raw_Donors!G696="","N",Raw_Donors!G696),"N")</f>
        <v>N</v>
      </c>
      <c r="I696" s="9" t="str">
        <f aca="false">IF(Raw_Donors!H696="","Not Rated",Raw_Donors!H696)</f>
        <v>Not Rated</v>
      </c>
      <c r="J696" s="9" t="str">
        <f aca="false">IF(TRIM(Raw_Donors!I696)="","Unknown",TRIM(Raw_Donors!I696))</f>
        <v>HOME</v>
      </c>
      <c r="K696" s="9" t="str">
        <f aca="false">Raw_Donors!J696</f>
        <v>N</v>
      </c>
      <c r="L696" s="9" t="n">
        <f aca="false">Raw_Donors!K696</f>
        <v>1</v>
      </c>
      <c r="M696" s="10" t="n">
        <f aca="false">IFERROR(VALUE(SUBSTITUTE(SUBSTITUTE(Raw_Donors!L696,"$",""),",","")),0)</f>
        <v>0</v>
      </c>
      <c r="N696" s="10" t="n">
        <f aca="false">IFERROR(VALUE(SUBSTITUTE(SUBSTITUTE(Raw_Donors!M696,"$",""),",","")),0)</f>
        <v>0</v>
      </c>
      <c r="O696" s="10" t="n">
        <f aca="false">IFERROR(VALUE(SUBSTITUTE(SUBSTITUTE(Raw_Donors!N696,"$",""),",","")),0)</f>
        <v>0</v>
      </c>
      <c r="P696" s="10" t="n">
        <f aca="false">IFERROR(VALUE(SUBSTITUTE(SUBSTITUTE(Raw_Donors!O696,"$",""),",","")),0)</f>
        <v>0</v>
      </c>
      <c r="Q696" s="10" t="n">
        <f aca="false">IFERROR(VALUE(SUBSTITUTE(SUBSTITUTE(Raw_Donors!P696,"$",""),",","")),0)</f>
        <v>0</v>
      </c>
      <c r="R696" s="10" t="n">
        <f aca="false">Raw_Donors!Q696</f>
        <v>124</v>
      </c>
      <c r="S696" s="9" t="str">
        <f aca="false">Raw_Donors!R696</f>
        <v>Y</v>
      </c>
      <c r="T696" s="9" t="str">
        <f aca="false">IF(Raw_Donors!S696="","",Raw_Donors!S696)</f>
        <v/>
      </c>
      <c r="U696" s="9" t="str">
        <f aca="false">IF(AND((O696+P696)&gt;0,Q696=0),"Lapsed - Follow Up","")</f>
        <v/>
      </c>
      <c r="V696" s="9" t="n">
        <f aca="false">RANK(R696,$R$2:$R$759)+COUNTIF($R$2:R696,R696)-1</f>
        <v>245</v>
      </c>
      <c r="W696" s="9" t="str">
        <f aca="false">IF(U696="Lapsed - Follow Up",COUNTIF($U$2:U696,"Lapsed - Follow Up"),"")</f>
        <v/>
      </c>
    </row>
    <row r="697" customFormat="false" ht="15" hidden="false" customHeight="true" outlineLevel="0" collapsed="false">
      <c r="A697" s="9" t="str">
        <f aca="false">Raw_Donors!A697</f>
        <v>D1695</v>
      </c>
      <c r="B697" s="9" t="str">
        <f aca="false">IF(ISNUMBER(SEARCH("-DUP",A697)),"Duplicate ID","")</f>
        <v/>
      </c>
      <c r="C697" s="9" t="n">
        <f aca="false">Raw_Donors!B697</f>
        <v>90265</v>
      </c>
      <c r="D697" s="9" t="n">
        <f aca="false">Raw_Donors!C697</f>
        <v>36</v>
      </c>
      <c r="E697" s="9" t="str">
        <f aca="false">IFERROR(IF(Raw_Donors!D697="","Unknown",Raw_Donors!D697),"Unknown")</f>
        <v>Unknown</v>
      </c>
      <c r="F697" s="9" t="str">
        <f aca="false">IFERROR(IF(Raw_Donors!E697="","Unknown",Raw_Donors!E697),"Unknown")</f>
        <v>Male</v>
      </c>
      <c r="G697" s="9" t="str">
        <f aca="false">PROPER(TRIM(Raw_Donors!F697))</f>
        <v>Community Partner</v>
      </c>
      <c r="H697" s="9" t="str">
        <f aca="false">IFERROR(IF(Raw_Donors!G697="","N",Raw_Donors!G697),"N")</f>
        <v>Y</v>
      </c>
      <c r="I697" s="9" t="str">
        <f aca="false">IF(Raw_Donors!H697="","Not Rated",Raw_Donors!H697)</f>
        <v>Not Rated</v>
      </c>
      <c r="J697" s="9" t="str">
        <f aca="false">IF(TRIM(Raw_Donors!I697)="","Unknown",TRIM(Raw_Donors!I697))</f>
        <v>HOME</v>
      </c>
      <c r="K697" s="9" t="str">
        <f aca="false">Raw_Donors!J697</f>
        <v>Y</v>
      </c>
      <c r="L697" s="9" t="n">
        <f aca="false">Raw_Donors!K697</f>
        <v>1</v>
      </c>
      <c r="M697" s="10" t="n">
        <f aca="false">IFERROR(VALUE(SUBSTITUTE(SUBSTITUTE(Raw_Donors!L697,"$",""),",","")),0)</f>
        <v>0</v>
      </c>
      <c r="N697" s="10" t="n">
        <f aca="false">IFERROR(VALUE(SUBSTITUTE(SUBSTITUTE(Raw_Donors!M697,"$",""),",","")),0)</f>
        <v>0</v>
      </c>
      <c r="O697" s="10" t="n">
        <f aca="false">IFERROR(VALUE(SUBSTITUTE(SUBSTITUTE(Raw_Donors!N697,"$",""),",","")),0)</f>
        <v>0</v>
      </c>
      <c r="P697" s="10" t="n">
        <f aca="false">IFERROR(VALUE(SUBSTITUTE(SUBSTITUTE(Raw_Donors!O697,"$",""),",","")),0)</f>
        <v>0</v>
      </c>
      <c r="Q697" s="10" t="n">
        <f aca="false">IFERROR(VALUE(SUBSTITUTE(SUBSTITUTE(Raw_Donors!P697,"$",""),",","")),0)</f>
        <v>0</v>
      </c>
      <c r="R697" s="10" t="n">
        <f aca="false">Raw_Donors!Q697</f>
        <v>254</v>
      </c>
      <c r="S697" s="9" t="str">
        <f aca="false">Raw_Donors!R697</f>
        <v>Y</v>
      </c>
      <c r="T697" s="9" t="str">
        <f aca="false">IF(Raw_Donors!S697="","",Raw_Donors!S697)</f>
        <v>1981-09-08</v>
      </c>
      <c r="U697" s="9" t="str">
        <f aca="false">IF(AND((O697+P697)&gt;0,Q697=0),"Lapsed - Follow Up","")</f>
        <v/>
      </c>
      <c r="V697" s="9" t="n">
        <f aca="false">RANK(R697,$R$2:$R$759)+COUNTIF($R$2:R697,R697)-1</f>
        <v>162</v>
      </c>
      <c r="W697" s="9" t="str">
        <f aca="false">IF(U697="Lapsed - Follow Up",COUNTIF($U$2:U697,"Lapsed - Follow Up"),"")</f>
        <v/>
      </c>
    </row>
    <row r="698" customFormat="false" ht="15" hidden="false" customHeight="true" outlineLevel="0" collapsed="false">
      <c r="A698" s="9" t="str">
        <f aca="false">Raw_Donors!A698</f>
        <v>D1696</v>
      </c>
      <c r="B698" s="9" t="str">
        <f aca="false">IF(ISNUMBER(SEARCH("-DUP",A698)),"Duplicate ID","")</f>
        <v/>
      </c>
      <c r="C698" s="9" t="n">
        <f aca="false">Raw_Donors!B698</f>
        <v>50061</v>
      </c>
      <c r="D698" s="9" t="n">
        <f aca="false">Raw_Donors!C698</f>
        <v>0</v>
      </c>
      <c r="E698" s="9" t="str">
        <f aca="false">IFERROR(IF(Raw_Donors!D698="","Unknown",Raw_Donors!D698),"Unknown")</f>
        <v>Married</v>
      </c>
      <c r="F698" s="9" t="str">
        <f aca="false">IFERROR(IF(Raw_Donors!E698="","Unknown",Raw_Donors!E698),"Unknown")</f>
        <v>Female</v>
      </c>
      <c r="G698" s="9" t="str">
        <f aca="false">PROPER(TRIM(Raw_Donors!F698))</f>
        <v>Individual Donor</v>
      </c>
      <c r="H698" s="9" t="str">
        <f aca="false">IFERROR(IF(Raw_Donors!G698="","N",Raw_Donors!G698),"N")</f>
        <v>N</v>
      </c>
      <c r="I698" s="9" t="str">
        <f aca="false">IF(Raw_Donors!H698="","Not Rated",Raw_Donors!H698)</f>
        <v>Not Rated</v>
      </c>
      <c r="J698" s="9" t="str">
        <f aca="false">IF(TRIM(Raw_Donors!I698)="","Unknown",TRIM(Raw_Donors!I698))</f>
        <v>HOME</v>
      </c>
      <c r="K698" s="9" t="str">
        <f aca="false">Raw_Donors!J698</f>
        <v>N</v>
      </c>
      <c r="L698" s="9" t="n">
        <f aca="false">Raw_Donors!K698</f>
        <v>0</v>
      </c>
      <c r="M698" s="10" t="n">
        <f aca="false">IFERROR(VALUE(SUBSTITUTE(SUBSTITUTE(Raw_Donors!L698,"$",""),",","")),0)</f>
        <v>0</v>
      </c>
      <c r="N698" s="10" t="n">
        <f aca="false">IFERROR(VALUE(SUBSTITUTE(SUBSTITUTE(Raw_Donors!M698,"$",""),",","")),0)</f>
        <v>0</v>
      </c>
      <c r="O698" s="10" t="n">
        <f aca="false">IFERROR(VALUE(SUBSTITUTE(SUBSTITUTE(Raw_Donors!N698,"$",""),",","")),0)</f>
        <v>0</v>
      </c>
      <c r="P698" s="10" t="n">
        <f aca="false">IFERROR(VALUE(SUBSTITUTE(SUBSTITUTE(Raw_Donors!O698,"$",""),",","")),0)</f>
        <v>0</v>
      </c>
      <c r="Q698" s="10" t="n">
        <f aca="false">IFERROR(VALUE(SUBSTITUTE(SUBSTITUTE(Raw_Donors!P698,"$",""),",","")),0)</f>
        <v>0</v>
      </c>
      <c r="R698" s="10" t="n">
        <f aca="false">Raw_Donors!Q698</f>
        <v>0</v>
      </c>
      <c r="S698" s="9" t="str">
        <f aca="false">Raw_Donors!R698</f>
        <v>N</v>
      </c>
      <c r="T698" s="9" t="str">
        <f aca="false">IF(Raw_Donors!S698="","",Raw_Donors!S698)</f>
        <v/>
      </c>
      <c r="U698" s="9" t="str">
        <f aca="false">IF(AND((O698+P698)&gt;0,Q698=0),"Lapsed - Follow Up","")</f>
        <v/>
      </c>
      <c r="V698" s="9" t="n">
        <f aca="false">RANK(R698,$R$2:$R$759)+COUNTIF($R$2:R698,R698)-1</f>
        <v>744</v>
      </c>
      <c r="W698" s="9" t="str">
        <f aca="false">IF(U698="Lapsed - Follow Up",COUNTIF($U$2:U698,"Lapsed - Follow Up"),"")</f>
        <v/>
      </c>
    </row>
    <row r="699" customFormat="false" ht="15" hidden="false" customHeight="true" outlineLevel="0" collapsed="false">
      <c r="A699" s="9" t="str">
        <f aca="false">Raw_Donors!A699</f>
        <v>D1697</v>
      </c>
      <c r="B699" s="9" t="str">
        <f aca="false">IF(ISNUMBER(SEARCH("-DUP",A699)),"Duplicate ID","")</f>
        <v/>
      </c>
      <c r="C699" s="9" t="n">
        <f aca="false">Raw_Donors!B699</f>
        <v>46037</v>
      </c>
      <c r="D699" s="9" t="n">
        <f aca="false">Raw_Donors!C699</f>
        <v>51</v>
      </c>
      <c r="E699" s="9" t="str">
        <f aca="false">IFERROR(IF(Raw_Donors!D699="","Unknown",Raw_Donors!D699),"Unknown")</f>
        <v>Unknown</v>
      </c>
      <c r="F699" s="9" t="str">
        <f aca="false">IFERROR(IF(Raw_Donors!E699="","Unknown",Raw_Donors!E699),"Unknown")</f>
        <v>Female</v>
      </c>
      <c r="G699" s="9" t="str">
        <f aca="false">PROPER(TRIM(Raw_Donors!F699))</f>
        <v>Individual Donor</v>
      </c>
      <c r="H699" s="9" t="str">
        <f aca="false">IFERROR(IF(Raw_Donors!G699="","N",Raw_Donors!G699),"N")</f>
        <v>N</v>
      </c>
      <c r="I699" s="9" t="str">
        <f aca="false">IF(Raw_Donors!H699="","Not Rated",Raw_Donors!H699)</f>
        <v>Not Rated</v>
      </c>
      <c r="J699" s="9" t="str">
        <f aca="false">IF(TRIM(Raw_Donors!I699)="","Unknown",TRIM(Raw_Donors!I699))</f>
        <v>HOME</v>
      </c>
      <c r="K699" s="9" t="str">
        <f aca="false">Raw_Donors!J699</f>
        <v>Y</v>
      </c>
      <c r="L699" s="9" t="n">
        <f aca="false">Raw_Donors!K699</f>
        <v>0</v>
      </c>
      <c r="M699" s="10" t="n">
        <f aca="false">IFERROR(VALUE(SUBSTITUTE(SUBSTITUTE(Raw_Donors!L699,"$",""),",","")),0)</f>
        <v>0</v>
      </c>
      <c r="N699" s="10" t="n">
        <f aca="false">IFERROR(VALUE(SUBSTITUTE(SUBSTITUTE(Raw_Donors!M699,"$",""),",","")),0)</f>
        <v>0</v>
      </c>
      <c r="O699" s="10" t="n">
        <f aca="false">IFERROR(VALUE(SUBSTITUTE(SUBSTITUTE(Raw_Donors!N699,"$",""),",","")),0)</f>
        <v>0</v>
      </c>
      <c r="P699" s="10" t="n">
        <f aca="false">IFERROR(VALUE(SUBSTITUTE(SUBSTITUTE(Raw_Donors!O699,"$",""),",","")),0)</f>
        <v>0</v>
      </c>
      <c r="Q699" s="10" t="n">
        <f aca="false">IFERROR(VALUE(SUBSTITUTE(SUBSTITUTE(Raw_Donors!P699,"$",""),",","")),0)</f>
        <v>0</v>
      </c>
      <c r="R699" s="10" t="n">
        <f aca="false">Raw_Donors!Q699</f>
        <v>204</v>
      </c>
      <c r="S699" s="9" t="str">
        <f aca="false">Raw_Donors!R699</f>
        <v>Y</v>
      </c>
      <c r="T699" s="9" t="str">
        <f aca="false">IF(Raw_Donors!S699="","",Raw_Donors!S699)</f>
        <v>1966-05-11</v>
      </c>
      <c r="U699" s="9" t="str">
        <f aca="false">IF(AND((O699+P699)&gt;0,Q699=0),"Lapsed - Follow Up","")</f>
        <v/>
      </c>
      <c r="V699" s="9" t="n">
        <f aca="false">RANK(R699,$R$2:$R$759)+COUNTIF($R$2:R699,R699)-1</f>
        <v>195</v>
      </c>
      <c r="W699" s="9" t="str">
        <f aca="false">IF(U699="Lapsed - Follow Up",COUNTIF($U$2:U699,"Lapsed - Follow Up"),"")</f>
        <v/>
      </c>
    </row>
    <row r="700" customFormat="false" ht="15" hidden="false" customHeight="true" outlineLevel="0" collapsed="false">
      <c r="A700" s="9" t="str">
        <f aca="false">Raw_Donors!A700</f>
        <v>D1698</v>
      </c>
      <c r="B700" s="9" t="str">
        <f aca="false">IF(ISNUMBER(SEARCH("-DUP",A700)),"Duplicate ID","")</f>
        <v/>
      </c>
      <c r="C700" s="9" t="n">
        <f aca="false">Raw_Donors!B700</f>
        <v>90265</v>
      </c>
      <c r="D700" s="9" t="n">
        <f aca="false">Raw_Donors!C700</f>
        <v>30</v>
      </c>
      <c r="E700" s="9" t="str">
        <f aca="false">IFERROR(IF(Raw_Donors!D700="","Unknown",Raw_Donors!D700),"Unknown")</f>
        <v>Unknown</v>
      </c>
      <c r="F700" s="9" t="str">
        <f aca="false">IFERROR(IF(Raw_Donors!E700="","Unknown",Raw_Donors!E700),"Unknown")</f>
        <v>Female</v>
      </c>
      <c r="G700" s="9" t="str">
        <f aca="false">PROPER(TRIM(Raw_Donors!F700))</f>
        <v>Individual Donor</v>
      </c>
      <c r="H700" s="9" t="str">
        <f aca="false">IFERROR(IF(Raw_Donors!G700="","N",Raw_Donors!G700),"N")</f>
        <v>N</v>
      </c>
      <c r="I700" s="9" t="str">
        <f aca="false">IF(Raw_Donors!H700="","Not Rated",Raw_Donors!H700)</f>
        <v>Not Rated</v>
      </c>
      <c r="J700" s="9" t="str">
        <f aca="false">IF(TRIM(Raw_Donors!I700)="","Unknown",TRIM(Raw_Donors!I700))</f>
        <v>HOME</v>
      </c>
      <c r="K700" s="9" t="str">
        <f aca="false">Raw_Donors!J700</f>
        <v>N</v>
      </c>
      <c r="L700" s="9" t="n">
        <f aca="false">Raw_Donors!K700</f>
        <v>0</v>
      </c>
      <c r="M700" s="10" t="n">
        <f aca="false">IFERROR(VALUE(SUBSTITUTE(SUBSTITUTE(Raw_Donors!L700,"$",""),",","")),0)</f>
        <v>0</v>
      </c>
      <c r="N700" s="10" t="n">
        <f aca="false">IFERROR(VALUE(SUBSTITUTE(SUBSTITUTE(Raw_Donors!M700,"$",""),",","")),0)</f>
        <v>0</v>
      </c>
      <c r="O700" s="10" t="n">
        <f aca="false">IFERROR(VALUE(SUBSTITUTE(SUBSTITUTE(Raw_Donors!N700,"$",""),",","")),0)</f>
        <v>0</v>
      </c>
      <c r="P700" s="10" t="n">
        <f aca="false">IFERROR(VALUE(SUBSTITUTE(SUBSTITUTE(Raw_Donors!O700,"$",""),",","")),0)</f>
        <v>0</v>
      </c>
      <c r="Q700" s="10" t="n">
        <f aca="false">IFERROR(VALUE(SUBSTITUTE(SUBSTITUTE(Raw_Donors!P700,"$",""),",","")),0)</f>
        <v>0</v>
      </c>
      <c r="R700" s="10" t="n">
        <f aca="false">Raw_Donors!Q700</f>
        <v>375</v>
      </c>
      <c r="S700" s="9" t="str">
        <f aca="false">Raw_Donors!R700</f>
        <v>Y</v>
      </c>
      <c r="T700" s="9" t="str">
        <f aca="false">IF(Raw_Donors!S700="","",Raw_Donors!S700)</f>
        <v>1987-08-16</v>
      </c>
      <c r="U700" s="9" t="str">
        <f aca="false">IF(AND((O700+P700)&gt;0,Q700=0),"Lapsed - Follow Up","")</f>
        <v/>
      </c>
      <c r="V700" s="9" t="n">
        <f aca="false">RANK(R700,$R$2:$R$759)+COUNTIF($R$2:R700,R700)-1</f>
        <v>120</v>
      </c>
      <c r="W700" s="9" t="str">
        <f aca="false">IF(U700="Lapsed - Follow Up",COUNTIF($U$2:U700,"Lapsed - Follow Up"),"")</f>
        <v/>
      </c>
    </row>
    <row r="701" customFormat="false" ht="15" hidden="false" customHeight="true" outlineLevel="0" collapsed="false">
      <c r="A701" s="9" t="str">
        <f aca="false">Raw_Donors!A701</f>
        <v>D1699</v>
      </c>
      <c r="B701" s="9" t="str">
        <f aca="false">IF(ISNUMBER(SEARCH("-DUP",A701)),"Duplicate ID","")</f>
        <v/>
      </c>
      <c r="C701" s="9" t="n">
        <f aca="false">Raw_Donors!B701</f>
        <v>76657</v>
      </c>
      <c r="D701" s="9" t="n">
        <f aca="false">Raw_Donors!C701</f>
        <v>0</v>
      </c>
      <c r="E701" s="9" t="str">
        <f aca="false">IFERROR(IF(Raw_Donors!D701="","Unknown",Raw_Donors!D701),"Unknown")</f>
        <v>Married</v>
      </c>
      <c r="F701" s="9" t="str">
        <f aca="false">IFERROR(IF(Raw_Donors!E701="","Unknown",Raw_Donors!E701),"Unknown")</f>
        <v>Female</v>
      </c>
      <c r="G701" s="9" t="str">
        <f aca="false">PROPER(TRIM(Raw_Donors!F701))</f>
        <v>Community Partner</v>
      </c>
      <c r="H701" s="9" t="str">
        <f aca="false">IFERROR(IF(Raw_Donors!G701="","N",Raw_Donors!G701),"N")</f>
        <v>N</v>
      </c>
      <c r="I701" s="9" t="str">
        <f aca="false">IF(Raw_Donors!H701="","Not Rated",Raw_Donors!H701)</f>
        <v>Not Rated</v>
      </c>
      <c r="J701" s="9" t="str">
        <f aca="false">IF(TRIM(Raw_Donors!I701)="","Unknown",TRIM(Raw_Donors!I701))</f>
        <v>HOME</v>
      </c>
      <c r="K701" s="9" t="str">
        <f aca="false">Raw_Donors!J701</f>
        <v>N</v>
      </c>
      <c r="L701" s="9" t="n">
        <f aca="false">Raw_Donors!K701</f>
        <v>0</v>
      </c>
      <c r="M701" s="10" t="n">
        <f aca="false">IFERROR(VALUE(SUBSTITUTE(SUBSTITUTE(Raw_Donors!L701,"$",""),",","")),0)</f>
        <v>0</v>
      </c>
      <c r="N701" s="10" t="n">
        <f aca="false">IFERROR(VALUE(SUBSTITUTE(SUBSTITUTE(Raw_Donors!M701,"$",""),",","")),0)</f>
        <v>0</v>
      </c>
      <c r="O701" s="10" t="n">
        <f aca="false">IFERROR(VALUE(SUBSTITUTE(SUBSTITUTE(Raw_Donors!N701,"$",""),",","")),0)</f>
        <v>0</v>
      </c>
      <c r="P701" s="10" t="n">
        <f aca="false">IFERROR(VALUE(SUBSTITUTE(SUBSTITUTE(Raw_Donors!O701,"$",""),",","")),0)</f>
        <v>0</v>
      </c>
      <c r="Q701" s="10" t="n">
        <f aca="false">IFERROR(VALUE(SUBSTITUTE(SUBSTITUTE(Raw_Donors!P701,"$",""),",","")),0)</f>
        <v>0</v>
      </c>
      <c r="R701" s="10" t="n">
        <f aca="false">Raw_Donors!Q701</f>
        <v>0</v>
      </c>
      <c r="S701" s="9" t="str">
        <f aca="false">Raw_Donors!R701</f>
        <v>N</v>
      </c>
      <c r="T701" s="9" t="str">
        <f aca="false">IF(Raw_Donors!S701="","",Raw_Donors!S701)</f>
        <v/>
      </c>
      <c r="U701" s="9" t="str">
        <f aca="false">IF(AND((O701+P701)&gt;0,Q701=0),"Lapsed - Follow Up","")</f>
        <v/>
      </c>
      <c r="V701" s="9" t="n">
        <f aca="false">RANK(R701,$R$2:$R$759)+COUNTIF($R$2:R701,R701)-1</f>
        <v>745</v>
      </c>
      <c r="W701" s="9" t="str">
        <f aca="false">IF(U701="Lapsed - Follow Up",COUNTIF($U$2:U701,"Lapsed - Follow Up"),"")</f>
        <v/>
      </c>
    </row>
    <row r="702" customFormat="false" ht="15" hidden="false" customHeight="true" outlineLevel="0" collapsed="false">
      <c r="A702" s="9" t="str">
        <f aca="false">Raw_Donors!A702</f>
        <v>D1700</v>
      </c>
      <c r="B702" s="9" t="str">
        <f aca="false">IF(ISNUMBER(SEARCH("-DUP",A702)),"Duplicate ID","")</f>
        <v/>
      </c>
      <c r="C702" s="9" t="n">
        <f aca="false">Raw_Donors!B702</f>
        <v>5158</v>
      </c>
      <c r="D702" s="9" t="n">
        <f aca="false">Raw_Donors!C702</f>
        <v>33</v>
      </c>
      <c r="E702" s="9" t="str">
        <f aca="false">IFERROR(IF(Raw_Donors!D702="","Unknown",Raw_Donors!D702),"Unknown")</f>
        <v>Unknown</v>
      </c>
      <c r="F702" s="9" t="str">
        <f aca="false">IFERROR(IF(Raw_Donors!E702="","Unknown",Raw_Donors!E702),"Unknown")</f>
        <v>Male</v>
      </c>
      <c r="G702" s="9" t="str">
        <f aca="false">PROPER(TRIM(Raw_Donors!F702))</f>
        <v>Community Partner</v>
      </c>
      <c r="H702" s="9" t="str">
        <f aca="false">IFERROR(IF(Raw_Donors!G702="","N",Raw_Donors!G702),"N")</f>
        <v>Y</v>
      </c>
      <c r="I702" s="9" t="str">
        <f aca="false">IF(Raw_Donors!H702="","Not Rated",Raw_Donors!H702)</f>
        <v>Not Rated</v>
      </c>
      <c r="J702" s="9" t="str">
        <f aca="false">IF(TRIM(Raw_Donors!I702)="","Unknown",TRIM(Raw_Donors!I702))</f>
        <v>HOME</v>
      </c>
      <c r="K702" s="9" t="str">
        <f aca="false">Raw_Donors!J702</f>
        <v>Y</v>
      </c>
      <c r="L702" s="9" t="n">
        <f aca="false">Raw_Donors!K702</f>
        <v>0</v>
      </c>
      <c r="M702" s="10" t="n">
        <f aca="false">IFERROR(VALUE(SUBSTITUTE(SUBSTITUTE(Raw_Donors!L702,"$",""),",","")),0)</f>
        <v>0</v>
      </c>
      <c r="N702" s="10" t="n">
        <f aca="false">IFERROR(VALUE(SUBSTITUTE(SUBSTITUTE(Raw_Donors!M702,"$",""),",","")),0)</f>
        <v>0</v>
      </c>
      <c r="O702" s="10" t="n">
        <f aca="false">IFERROR(VALUE(SUBSTITUTE(SUBSTITUTE(Raw_Donors!N702,"$",""),",","")),0)</f>
        <v>0</v>
      </c>
      <c r="P702" s="10" t="n">
        <f aca="false">IFERROR(VALUE(SUBSTITUTE(SUBSTITUTE(Raw_Donors!O702,"$",""),",","")),0)</f>
        <v>0</v>
      </c>
      <c r="Q702" s="10" t="n">
        <f aca="false">IFERROR(VALUE(SUBSTITUTE(SUBSTITUTE(Raw_Donors!P702,"$",""),",","")),0)</f>
        <v>0</v>
      </c>
      <c r="R702" s="10" t="n">
        <f aca="false">Raw_Donors!Q702</f>
        <v>122</v>
      </c>
      <c r="S702" s="9" t="str">
        <f aca="false">Raw_Donors!R702</f>
        <v>Y</v>
      </c>
      <c r="T702" s="9" t="str">
        <f aca="false">IF(Raw_Donors!S702="","",Raw_Donors!S702)</f>
        <v>1984-05-08</v>
      </c>
      <c r="U702" s="9" t="str">
        <f aca="false">IF(AND((O702+P702)&gt;0,Q702=0),"Lapsed - Follow Up","")</f>
        <v/>
      </c>
      <c r="V702" s="9" t="n">
        <f aca="false">RANK(R702,$R$2:$R$759)+COUNTIF($R$2:R702,R702)-1</f>
        <v>248</v>
      </c>
      <c r="W702" s="9" t="str">
        <f aca="false">IF(U702="Lapsed - Follow Up",COUNTIF($U$2:U702,"Lapsed - Follow Up"),"")</f>
        <v/>
      </c>
    </row>
    <row r="703" customFormat="false" ht="15" hidden="false" customHeight="true" outlineLevel="0" collapsed="false">
      <c r="A703" s="9" t="str">
        <f aca="false">Raw_Donors!A703</f>
        <v>D1701</v>
      </c>
      <c r="B703" s="9" t="str">
        <f aca="false">IF(ISNUMBER(SEARCH("-DUP",A703)),"Duplicate ID","")</f>
        <v/>
      </c>
      <c r="C703" s="9" t="n">
        <f aca="false">Raw_Donors!B703</f>
        <v>45042</v>
      </c>
      <c r="D703" s="9" t="n">
        <f aca="false">Raw_Donors!C703</f>
        <v>55</v>
      </c>
      <c r="E703" s="9" t="str">
        <f aca="false">IFERROR(IF(Raw_Donors!D703="","Unknown",Raw_Donors!D703),"Unknown")</f>
        <v>Unknown</v>
      </c>
      <c r="F703" s="9" t="str">
        <f aca="false">IFERROR(IF(Raw_Donors!E703="","Unknown",Raw_Donors!E703),"Unknown")</f>
        <v>Female</v>
      </c>
      <c r="G703" s="9" t="str">
        <f aca="false">PROPER(TRIM(Raw_Donors!F703))</f>
        <v>Individual Donor</v>
      </c>
      <c r="H703" s="9" t="str">
        <f aca="false">IFERROR(IF(Raw_Donors!G703="","N",Raw_Donors!G703),"N")</f>
        <v>N</v>
      </c>
      <c r="I703" s="9" t="str">
        <f aca="false">IF(Raw_Donors!H703="","Not Rated",Raw_Donors!H703)</f>
        <v>Not Rated</v>
      </c>
      <c r="J703" s="9" t="str">
        <f aca="false">IF(TRIM(Raw_Donors!I703)="","Unknown",TRIM(Raw_Donors!I703))</f>
        <v>HOME</v>
      </c>
      <c r="K703" s="9" t="str">
        <f aca="false">Raw_Donors!J703</f>
        <v>Y</v>
      </c>
      <c r="L703" s="9" t="n">
        <f aca="false">Raw_Donors!K703</f>
        <v>0</v>
      </c>
      <c r="M703" s="10" t="n">
        <f aca="false">IFERROR(VALUE(SUBSTITUTE(SUBSTITUTE(Raw_Donors!L703,"$",""),",","")),0)</f>
        <v>0</v>
      </c>
      <c r="N703" s="10" t="n">
        <f aca="false">IFERROR(VALUE(SUBSTITUTE(SUBSTITUTE(Raw_Donors!M703,"$",""),",","")),0)</f>
        <v>0</v>
      </c>
      <c r="O703" s="10" t="n">
        <f aca="false">IFERROR(VALUE(SUBSTITUTE(SUBSTITUTE(Raw_Donors!N703,"$",""),",","")),0)</f>
        <v>0</v>
      </c>
      <c r="P703" s="10" t="n">
        <f aca="false">IFERROR(VALUE(SUBSTITUTE(SUBSTITUTE(Raw_Donors!O703,"$",""),",","")),0)</f>
        <v>0</v>
      </c>
      <c r="Q703" s="10" t="n">
        <f aca="false">IFERROR(VALUE(SUBSTITUTE(SUBSTITUTE(Raw_Donors!P703,"$",""),",","")),0)</f>
        <v>0</v>
      </c>
      <c r="R703" s="10" t="n">
        <f aca="false">Raw_Donors!Q703</f>
        <v>400</v>
      </c>
      <c r="S703" s="9" t="str">
        <f aca="false">Raw_Donors!R703</f>
        <v>Y</v>
      </c>
      <c r="T703" s="9" t="str">
        <f aca="false">IF(Raw_Donors!S703="","",Raw_Donors!S703)</f>
        <v>1962-01-15</v>
      </c>
      <c r="U703" s="9" t="str">
        <f aca="false">IF(AND((O703+P703)&gt;0,Q703=0),"Lapsed - Follow Up","")</f>
        <v/>
      </c>
      <c r="V703" s="9" t="n">
        <f aca="false">RANK(R703,$R$2:$R$759)+COUNTIF($R$2:R703,R703)-1</f>
        <v>114</v>
      </c>
      <c r="W703" s="9" t="str">
        <f aca="false">IF(U703="Lapsed - Follow Up",COUNTIF($U$2:U703,"Lapsed - Follow Up"),"")</f>
        <v/>
      </c>
    </row>
    <row r="704" customFormat="false" ht="15" hidden="false" customHeight="true" outlineLevel="0" collapsed="false">
      <c r="A704" s="9" t="str">
        <f aca="false">Raw_Donors!A704</f>
        <v>D1702</v>
      </c>
      <c r="B704" s="9" t="str">
        <f aca="false">IF(ISNUMBER(SEARCH("-DUP",A704)),"Duplicate ID","")</f>
        <v/>
      </c>
      <c r="C704" s="9" t="n">
        <f aca="false">Raw_Donors!B704</f>
        <v>74052</v>
      </c>
      <c r="D704" s="9" t="n">
        <f aca="false">Raw_Donors!C704</f>
        <v>0</v>
      </c>
      <c r="E704" s="9" t="str">
        <f aca="false">IFERROR(IF(Raw_Donors!D704="","Unknown",Raw_Donors!D704),"Unknown")</f>
        <v>Married</v>
      </c>
      <c r="F704" s="9" t="str">
        <f aca="false">IFERROR(IF(Raw_Donors!E704="","Unknown",Raw_Donors!E704),"Unknown")</f>
        <v>Female</v>
      </c>
      <c r="G704" s="9" t="str">
        <f aca="false">PROPER(TRIM(Raw_Donors!F704))</f>
        <v>Community Partner</v>
      </c>
      <c r="H704" s="9" t="str">
        <f aca="false">IFERROR(IF(Raw_Donors!G704="","N",Raw_Donors!G704),"N")</f>
        <v>Y</v>
      </c>
      <c r="I704" s="9" t="str">
        <f aca="false">IF(Raw_Donors!H704="","Not Rated",Raw_Donors!H704)</f>
        <v>Not Rated</v>
      </c>
      <c r="J704" s="9" t="str">
        <f aca="false">IF(TRIM(Raw_Donors!I704)="","Unknown",TRIM(Raw_Donors!I704))</f>
        <v>HOME</v>
      </c>
      <c r="K704" s="9" t="str">
        <f aca="false">Raw_Donors!J704</f>
        <v>N</v>
      </c>
      <c r="L704" s="9" t="n">
        <f aca="false">Raw_Donors!K704</f>
        <v>5</v>
      </c>
      <c r="M704" s="10" t="n">
        <f aca="false">IFERROR(VALUE(SUBSTITUTE(SUBSTITUTE(Raw_Donors!L704,"$",""),",","")),0)</f>
        <v>100</v>
      </c>
      <c r="N704" s="10" t="n">
        <f aca="false">IFERROR(VALUE(SUBSTITUTE(SUBSTITUTE(Raw_Donors!M704,"$",""),",","")),0)</f>
        <v>0</v>
      </c>
      <c r="O704" s="10" t="n">
        <f aca="false">IFERROR(VALUE(SUBSTITUTE(SUBSTITUTE(Raw_Donors!N704,"$",""),",","")),0)</f>
        <v>0</v>
      </c>
      <c r="P704" s="10" t="n">
        <f aca="false">IFERROR(VALUE(SUBSTITUTE(SUBSTITUTE(Raw_Donors!O704,"$",""),",","")),0)</f>
        <v>0</v>
      </c>
      <c r="Q704" s="10" t="n">
        <f aca="false">IFERROR(VALUE(SUBSTITUTE(SUBSTITUTE(Raw_Donors!P704,"$",""),",","")),0)</f>
        <v>0</v>
      </c>
      <c r="R704" s="10" t="n">
        <f aca="false">Raw_Donors!Q704</f>
        <v>100</v>
      </c>
      <c r="S704" s="9" t="str">
        <f aca="false">Raw_Donors!R704</f>
        <v>Y</v>
      </c>
      <c r="T704" s="9" t="str">
        <f aca="false">IF(Raw_Donors!S704="","",Raw_Donors!S704)</f>
        <v/>
      </c>
      <c r="U704" s="9" t="str">
        <f aca="false">IF(AND((O704+P704)&gt;0,Q704=0),"Lapsed - Follow Up","")</f>
        <v/>
      </c>
      <c r="V704" s="9" t="n">
        <f aca="false">RANK(R704,$R$2:$R$759)+COUNTIF($R$2:R704,R704)-1</f>
        <v>304</v>
      </c>
      <c r="W704" s="9" t="str">
        <f aca="false">IF(U704="Lapsed - Follow Up",COUNTIF($U$2:U704,"Lapsed - Follow Up"),"")</f>
        <v/>
      </c>
    </row>
    <row r="705" customFormat="false" ht="15" hidden="false" customHeight="true" outlineLevel="0" collapsed="false">
      <c r="A705" s="9" t="str">
        <f aca="false">Raw_Donors!A705</f>
        <v>D1703</v>
      </c>
      <c r="B705" s="9" t="str">
        <f aca="false">IF(ISNUMBER(SEARCH("-DUP",A705)),"Duplicate ID","")</f>
        <v/>
      </c>
      <c r="C705" s="9" t="n">
        <f aca="false">Raw_Donors!B705</f>
        <v>90265</v>
      </c>
      <c r="D705" s="9" t="n">
        <f aca="false">Raw_Donors!C705</f>
        <v>0</v>
      </c>
      <c r="E705" s="9" t="str">
        <f aca="false">IFERROR(IF(Raw_Donors!D705="","Unknown",Raw_Donors!D705),"Unknown")</f>
        <v>Unknown</v>
      </c>
      <c r="F705" s="9" t="str">
        <f aca="false">IFERROR(IF(Raw_Donors!E705="","Unknown",Raw_Donors!E705),"Unknown")</f>
        <v>Male</v>
      </c>
      <c r="G705" s="9" t="str">
        <f aca="false">PROPER(TRIM(Raw_Donors!F705))</f>
        <v>Individual Donor</v>
      </c>
      <c r="H705" s="9" t="str">
        <f aca="false">IFERROR(IF(Raw_Donors!G705="","N",Raw_Donors!G705),"N")</f>
        <v>Y</v>
      </c>
      <c r="I705" s="9" t="str">
        <f aca="false">IF(Raw_Donors!H705="","Not Rated",Raw_Donors!H705)</f>
        <v>Not Rated</v>
      </c>
      <c r="J705" s="9" t="str">
        <f aca="false">IF(TRIM(Raw_Donors!I705)="","Unknown",TRIM(Raw_Donors!I705))</f>
        <v>HOME</v>
      </c>
      <c r="K705" s="9" t="str">
        <f aca="false">Raw_Donors!J705</f>
        <v>N</v>
      </c>
      <c r="L705" s="9" t="n">
        <f aca="false">Raw_Donors!K705</f>
        <v>5</v>
      </c>
      <c r="M705" s="10" t="n">
        <f aca="false">IFERROR(VALUE(SUBSTITUTE(SUBSTITUTE(Raw_Donors!L705,"$",""),",","")),0)</f>
        <v>0</v>
      </c>
      <c r="N705" s="10" t="n">
        <f aca="false">IFERROR(VALUE(SUBSTITUTE(SUBSTITUTE(Raw_Donors!M705,"$",""),",","")),0)</f>
        <v>0</v>
      </c>
      <c r="O705" s="10" t="n">
        <f aca="false">IFERROR(VALUE(SUBSTITUTE(SUBSTITUTE(Raw_Donors!N705,"$",""),",","")),0)</f>
        <v>0</v>
      </c>
      <c r="P705" s="10" t="n">
        <f aca="false">IFERROR(VALUE(SUBSTITUTE(SUBSTITUTE(Raw_Donors!O705,"$",""),",","")),0)</f>
        <v>0</v>
      </c>
      <c r="Q705" s="10" t="n">
        <f aca="false">IFERROR(VALUE(SUBSTITUTE(SUBSTITUTE(Raw_Donors!P705,"$",""),",","")),0)</f>
        <v>0</v>
      </c>
      <c r="R705" s="10" t="n">
        <f aca="false">Raw_Donors!Q705</f>
        <v>0</v>
      </c>
      <c r="S705" s="9" t="str">
        <f aca="false">Raw_Donors!R705</f>
        <v>N</v>
      </c>
      <c r="T705" s="9" t="str">
        <f aca="false">IF(Raw_Donors!S705="","",Raw_Donors!S705)</f>
        <v/>
      </c>
      <c r="U705" s="9" t="str">
        <f aca="false">IF(AND((O705+P705)&gt;0,Q705=0),"Lapsed - Follow Up","")</f>
        <v/>
      </c>
      <c r="V705" s="9" t="n">
        <f aca="false">RANK(R705,$R$2:$R$759)+COUNTIF($R$2:R705,R705)-1</f>
        <v>746</v>
      </c>
      <c r="W705" s="9" t="str">
        <f aca="false">IF(U705="Lapsed - Follow Up",COUNTIF($U$2:U705,"Lapsed - Follow Up"),"")</f>
        <v/>
      </c>
    </row>
    <row r="706" customFormat="false" ht="15" hidden="false" customHeight="true" outlineLevel="0" collapsed="false">
      <c r="A706" s="9" t="str">
        <f aca="false">Raw_Donors!A706</f>
        <v>D1704</v>
      </c>
      <c r="B706" s="9" t="str">
        <f aca="false">IF(ISNUMBER(SEARCH("-DUP",A706)),"Duplicate ID","")</f>
        <v/>
      </c>
      <c r="C706" s="9" t="n">
        <f aca="false">Raw_Donors!B706</f>
        <v>9010</v>
      </c>
      <c r="D706" s="9" t="n">
        <f aca="false">Raw_Donors!C706</f>
        <v>43</v>
      </c>
      <c r="E706" s="9" t="str">
        <f aca="false">IFERROR(IF(Raw_Donors!D706="","Unknown",Raw_Donors!D706),"Unknown")</f>
        <v>Unknown</v>
      </c>
      <c r="F706" s="9" t="str">
        <f aca="false">IFERROR(IF(Raw_Donors!E706="","Unknown",Raw_Donors!E706),"Unknown")</f>
        <v>Female</v>
      </c>
      <c r="G706" s="9" t="str">
        <f aca="false">PROPER(TRIM(Raw_Donors!F706))</f>
        <v>Individual Donor</v>
      </c>
      <c r="H706" s="9" t="str">
        <f aca="false">IFERROR(IF(Raw_Donors!G706="","N",Raw_Donors!G706),"N")</f>
        <v>N</v>
      </c>
      <c r="I706" s="9" t="str">
        <f aca="false">IF(Raw_Donors!H706="","Not Rated",Raw_Donors!H706)</f>
        <v>Not Rated</v>
      </c>
      <c r="J706" s="9" t="str">
        <f aca="false">IF(TRIM(Raw_Donors!I706)="","Unknown",TRIM(Raw_Donors!I706))</f>
        <v>HOME</v>
      </c>
      <c r="K706" s="9" t="str">
        <f aca="false">Raw_Donors!J706</f>
        <v>Y</v>
      </c>
      <c r="L706" s="9" t="n">
        <f aca="false">Raw_Donors!K706</f>
        <v>0</v>
      </c>
      <c r="M706" s="10" t="n">
        <f aca="false">IFERROR(VALUE(SUBSTITUTE(SUBSTITUTE(Raw_Donors!L706,"$",""),",","")),0)</f>
        <v>0</v>
      </c>
      <c r="N706" s="10" t="n">
        <f aca="false">IFERROR(VALUE(SUBSTITUTE(SUBSTITUTE(Raw_Donors!M706,"$",""),",","")),0)</f>
        <v>0</v>
      </c>
      <c r="O706" s="10" t="n">
        <f aca="false">IFERROR(VALUE(SUBSTITUTE(SUBSTITUTE(Raw_Donors!N706,"$",""),",","")),0)</f>
        <v>0</v>
      </c>
      <c r="P706" s="10" t="n">
        <f aca="false">IFERROR(VALUE(SUBSTITUTE(SUBSTITUTE(Raw_Donors!O706,"$",""),",","")),0)</f>
        <v>0</v>
      </c>
      <c r="Q706" s="10" t="n">
        <f aca="false">IFERROR(VALUE(SUBSTITUTE(SUBSTITUTE(Raw_Donors!P706,"$",""),",","")),0)</f>
        <v>0</v>
      </c>
      <c r="R706" s="10" t="n">
        <f aca="false">Raw_Donors!Q706</f>
        <v>0</v>
      </c>
      <c r="S706" s="9" t="str">
        <f aca="false">Raw_Donors!R706</f>
        <v>N</v>
      </c>
      <c r="T706" s="9" t="str">
        <f aca="false">IF(Raw_Donors!S706="","",Raw_Donors!S706)</f>
        <v>1974-05-14</v>
      </c>
      <c r="U706" s="9" t="str">
        <f aca="false">IF(AND((O706+P706)&gt;0,Q706=0),"Lapsed - Follow Up","")</f>
        <v/>
      </c>
      <c r="V706" s="9" t="n">
        <f aca="false">RANK(R706,$R$2:$R$759)+COUNTIF($R$2:R706,R706)-1</f>
        <v>747</v>
      </c>
      <c r="W706" s="9" t="str">
        <f aca="false">IF(U706="Lapsed - Follow Up",COUNTIF($U$2:U706,"Lapsed - Follow Up"),"")</f>
        <v/>
      </c>
    </row>
    <row r="707" customFormat="false" ht="15" hidden="false" customHeight="true" outlineLevel="0" collapsed="false">
      <c r="A707" s="9" t="str">
        <f aca="false">Raw_Donors!A707</f>
        <v>D1705</v>
      </c>
      <c r="B707" s="9" t="str">
        <f aca="false">IF(ISNUMBER(SEARCH("-DUP",A707)),"Duplicate ID","")</f>
        <v/>
      </c>
      <c r="C707" s="9" t="n">
        <f aca="false">Raw_Donors!B707</f>
        <v>14606</v>
      </c>
      <c r="D707" s="9" t="n">
        <f aca="false">Raw_Donors!C707</f>
        <v>0</v>
      </c>
      <c r="E707" s="9" t="str">
        <f aca="false">IFERROR(IF(Raw_Donors!D707="","Unknown",Raw_Donors!D707),"Unknown")</f>
        <v>Unknown</v>
      </c>
      <c r="F707" s="9" t="str">
        <f aca="false">IFERROR(IF(Raw_Donors!E707="","Unknown",Raw_Donors!E707),"Unknown")</f>
        <v>Male</v>
      </c>
      <c r="G707" s="9" t="str">
        <f aca="false">PROPER(TRIM(Raw_Donors!F707))</f>
        <v>Individual Donor</v>
      </c>
      <c r="H707" s="9" t="str">
        <f aca="false">IFERROR(IF(Raw_Donors!G707="","N",Raw_Donors!G707),"N")</f>
        <v>N</v>
      </c>
      <c r="I707" s="9" t="str">
        <f aca="false">IF(Raw_Donors!H707="","Not Rated",Raw_Donors!H707)</f>
        <v>Not Rated</v>
      </c>
      <c r="J707" s="9" t="str">
        <f aca="false">IF(TRIM(Raw_Donors!I707)="","Unknown",TRIM(Raw_Donors!I707))</f>
        <v>HOME</v>
      </c>
      <c r="K707" s="9" t="str">
        <f aca="false">Raw_Donors!J707</f>
        <v>N</v>
      </c>
      <c r="L707" s="9" t="n">
        <f aca="false">Raw_Donors!K707</f>
        <v>1</v>
      </c>
      <c r="M707" s="10" t="n">
        <f aca="false">IFERROR(VALUE(SUBSTITUTE(SUBSTITUTE(Raw_Donors!L707,"$",""),",","")),0)</f>
        <v>0</v>
      </c>
      <c r="N707" s="10" t="n">
        <f aca="false">IFERROR(VALUE(SUBSTITUTE(SUBSTITUTE(Raw_Donors!M707,"$",""),",","")),0)</f>
        <v>0</v>
      </c>
      <c r="O707" s="10" t="n">
        <f aca="false">IFERROR(VALUE(SUBSTITUTE(SUBSTITUTE(Raw_Donors!N707,"$",""),",","")),0)</f>
        <v>0</v>
      </c>
      <c r="P707" s="10" t="n">
        <f aca="false">IFERROR(VALUE(SUBSTITUTE(SUBSTITUTE(Raw_Donors!O707,"$",""),",","")),0)</f>
        <v>0</v>
      </c>
      <c r="Q707" s="10" t="n">
        <f aca="false">IFERROR(VALUE(SUBSTITUTE(SUBSTITUTE(Raw_Donors!P707,"$",""),",","")),0)</f>
        <v>0</v>
      </c>
      <c r="R707" s="10" t="n">
        <f aca="false">Raw_Donors!Q707</f>
        <v>10</v>
      </c>
      <c r="S707" s="9" t="str">
        <f aca="false">Raw_Donors!R707</f>
        <v>Y</v>
      </c>
      <c r="T707" s="9" t="str">
        <f aca="false">IF(Raw_Donors!S707="","",Raw_Donors!S707)</f>
        <v/>
      </c>
      <c r="U707" s="9" t="str">
        <f aca="false">IF(AND((O707+P707)&gt;0,Q707=0),"Lapsed - Follow Up","")</f>
        <v/>
      </c>
      <c r="V707" s="9" t="n">
        <f aca="false">RANK(R707,$R$2:$R$759)+COUNTIF($R$2:R707,R707)-1</f>
        <v>506</v>
      </c>
      <c r="W707" s="9" t="str">
        <f aca="false">IF(U707="Lapsed - Follow Up",COUNTIF($U$2:U707,"Lapsed - Follow Up"),"")</f>
        <v/>
      </c>
    </row>
    <row r="708" customFormat="false" ht="15" hidden="false" customHeight="true" outlineLevel="0" collapsed="false">
      <c r="A708" s="9" t="str">
        <f aca="false">Raw_Donors!A708</f>
        <v>D1706</v>
      </c>
      <c r="B708" s="9" t="str">
        <f aca="false">IF(ISNUMBER(SEARCH("-DUP",A708)),"Duplicate ID","")</f>
        <v/>
      </c>
      <c r="C708" s="9" t="n">
        <f aca="false">Raw_Donors!B708</f>
        <v>13698</v>
      </c>
      <c r="D708" s="9" t="n">
        <f aca="false">Raw_Donors!C708</f>
        <v>0</v>
      </c>
      <c r="E708" s="9" t="str">
        <f aca="false">IFERROR(IF(Raw_Donors!D708="","Unknown",Raw_Donors!D708),"Unknown")</f>
        <v>Unknown</v>
      </c>
      <c r="F708" s="9" t="str">
        <f aca="false">IFERROR(IF(Raw_Donors!E708="","Unknown",Raw_Donors!E708),"Unknown")</f>
        <v>Male</v>
      </c>
      <c r="G708" s="9" t="str">
        <f aca="false">PROPER(TRIM(Raw_Donors!F708))</f>
        <v>Individual Donor</v>
      </c>
      <c r="H708" s="9" t="str">
        <f aca="false">IFERROR(IF(Raw_Donors!G708="","N",Raw_Donors!G708),"N")</f>
        <v>N</v>
      </c>
      <c r="I708" s="9" t="str">
        <f aca="false">IF(Raw_Donors!H708="","Not Rated",Raw_Donors!H708)</f>
        <v>Not Rated</v>
      </c>
      <c r="J708" s="9" t="str">
        <f aca="false">IF(TRIM(Raw_Donors!I708)="","Unknown",TRIM(Raw_Donors!I708))</f>
        <v>HOME</v>
      </c>
      <c r="K708" s="9" t="str">
        <f aca="false">Raw_Donors!J708</f>
        <v>N</v>
      </c>
      <c r="L708" s="9" t="n">
        <f aca="false">Raw_Donors!K708</f>
        <v>1</v>
      </c>
      <c r="M708" s="10" t="n">
        <f aca="false">IFERROR(VALUE(SUBSTITUTE(SUBSTITUTE(Raw_Donors!L708,"$",""),",","")),0)</f>
        <v>0</v>
      </c>
      <c r="N708" s="10" t="n">
        <f aca="false">IFERROR(VALUE(SUBSTITUTE(SUBSTITUTE(Raw_Donors!M708,"$",""),",","")),0)</f>
        <v>500</v>
      </c>
      <c r="O708" s="10" t="n">
        <f aca="false">IFERROR(VALUE(SUBSTITUTE(SUBSTITUTE(Raw_Donors!N708,"$",""),",","")),0)</f>
        <v>0</v>
      </c>
      <c r="P708" s="10" t="n">
        <f aca="false">IFERROR(VALUE(SUBSTITUTE(SUBSTITUTE(Raw_Donors!O708,"$",""),",","")),0)</f>
        <v>0</v>
      </c>
      <c r="Q708" s="10" t="n">
        <f aca="false">IFERROR(VALUE(SUBSTITUTE(SUBSTITUTE(Raw_Donors!P708,"$",""),",","")),0)</f>
        <v>0</v>
      </c>
      <c r="R708" s="10" t="n">
        <f aca="false">Raw_Donors!Q708</f>
        <v>500</v>
      </c>
      <c r="S708" s="9" t="str">
        <f aca="false">Raw_Donors!R708</f>
        <v>Y</v>
      </c>
      <c r="T708" s="9" t="str">
        <f aca="false">IF(Raw_Donors!S708="","",Raw_Donors!S708)</f>
        <v/>
      </c>
      <c r="U708" s="9" t="str">
        <f aca="false">IF(AND((O708+P708)&gt;0,Q708=0),"Lapsed - Follow Up","")</f>
        <v/>
      </c>
      <c r="V708" s="9" t="n">
        <f aca="false">RANK(R708,$R$2:$R$759)+COUNTIF($R$2:R708,R708)-1</f>
        <v>95</v>
      </c>
      <c r="W708" s="9" t="str">
        <f aca="false">IF(U708="Lapsed - Follow Up",COUNTIF($U$2:U708,"Lapsed - Follow Up"),"")</f>
        <v/>
      </c>
    </row>
    <row r="709" customFormat="false" ht="15" hidden="false" customHeight="true" outlineLevel="0" collapsed="false">
      <c r="A709" s="9" t="str">
        <f aca="false">Raw_Donors!A709</f>
        <v>D1707</v>
      </c>
      <c r="B709" s="9" t="str">
        <f aca="false">IF(ISNUMBER(SEARCH("-DUP",A709)),"Duplicate ID","")</f>
        <v/>
      </c>
      <c r="C709" s="9" t="n">
        <f aca="false">Raw_Donors!B709</f>
        <v>95404</v>
      </c>
      <c r="D709" s="9" t="n">
        <f aca="false">Raw_Donors!C709</f>
        <v>0</v>
      </c>
      <c r="E709" s="9" t="str">
        <f aca="false">IFERROR(IF(Raw_Donors!D709="","Unknown",Raw_Donors!D709),"Unknown")</f>
        <v>Unknown</v>
      </c>
      <c r="F709" s="9" t="str">
        <f aca="false">IFERROR(IF(Raw_Donors!E709="","Unknown",Raw_Donors!E709),"Unknown")</f>
        <v>Unknown</v>
      </c>
      <c r="G709" s="9" t="str">
        <f aca="false">PROPER(TRIM(Raw_Donors!F709))</f>
        <v>Individual Donor</v>
      </c>
      <c r="H709" s="9" t="str">
        <f aca="false">IFERROR(IF(Raw_Donors!G709="","N",Raw_Donors!G709),"N")</f>
        <v>N</v>
      </c>
      <c r="I709" s="9" t="str">
        <f aca="false">IF(Raw_Donors!H709="","Not Rated",Raw_Donors!H709)</f>
        <v>Not Rated</v>
      </c>
      <c r="J709" s="9" t="str">
        <f aca="false">IF(TRIM(Raw_Donors!I709)="","Unknown",TRIM(Raw_Donors!I709))</f>
        <v>HOME</v>
      </c>
      <c r="K709" s="9" t="str">
        <f aca="false">Raw_Donors!J709</f>
        <v>Y</v>
      </c>
      <c r="L709" s="9" t="n">
        <f aca="false">Raw_Donors!K709</f>
        <v>1</v>
      </c>
      <c r="M709" s="10" t="n">
        <f aca="false">IFERROR(VALUE(SUBSTITUTE(SUBSTITUTE(Raw_Donors!L709,"$",""),",","")),0)</f>
        <v>0</v>
      </c>
      <c r="N709" s="10" t="n">
        <f aca="false">IFERROR(VALUE(SUBSTITUTE(SUBSTITUTE(Raw_Donors!M709,"$",""),",","")),0)</f>
        <v>100</v>
      </c>
      <c r="O709" s="10" t="n">
        <f aca="false">IFERROR(VALUE(SUBSTITUTE(SUBSTITUTE(Raw_Donors!N709,"$",""),",","")),0)</f>
        <v>0</v>
      </c>
      <c r="P709" s="10" t="n">
        <f aca="false">IFERROR(VALUE(SUBSTITUTE(SUBSTITUTE(Raw_Donors!O709,"$",""),",","")),0)</f>
        <v>0</v>
      </c>
      <c r="Q709" s="10" t="n">
        <f aca="false">IFERROR(VALUE(SUBSTITUTE(SUBSTITUTE(Raw_Donors!P709,"$",""),",","")),0)</f>
        <v>0</v>
      </c>
      <c r="R709" s="10" t="n">
        <f aca="false">Raw_Donors!Q709</f>
        <v>100</v>
      </c>
      <c r="S709" s="9" t="str">
        <f aca="false">Raw_Donors!R709</f>
        <v>Y</v>
      </c>
      <c r="T709" s="9" t="str">
        <f aca="false">IF(Raw_Donors!S709="","",Raw_Donors!S709)</f>
        <v/>
      </c>
      <c r="U709" s="9" t="str">
        <f aca="false">IF(AND((O709+P709)&gt;0,Q709=0),"Lapsed - Follow Up","")</f>
        <v/>
      </c>
      <c r="V709" s="9" t="n">
        <f aca="false">RANK(R709,$R$2:$R$759)+COUNTIF($R$2:R709,R709)-1</f>
        <v>305</v>
      </c>
      <c r="W709" s="9" t="str">
        <f aca="false">IF(U709="Lapsed - Follow Up",COUNTIF($U$2:U709,"Lapsed - Follow Up"),"")</f>
        <v/>
      </c>
    </row>
    <row r="710" customFormat="false" ht="15" hidden="false" customHeight="true" outlineLevel="0" collapsed="false">
      <c r="A710" s="9" t="str">
        <f aca="false">Raw_Donors!A710</f>
        <v>D1708</v>
      </c>
      <c r="B710" s="9" t="str">
        <f aca="false">IF(ISNUMBER(SEARCH("-DUP",A710)),"Duplicate ID","")</f>
        <v/>
      </c>
      <c r="C710" s="9" t="n">
        <f aca="false">Raw_Donors!B710</f>
        <v>30379</v>
      </c>
      <c r="D710" s="9" t="n">
        <f aca="false">Raw_Donors!C710</f>
        <v>0</v>
      </c>
      <c r="E710" s="9" t="str">
        <f aca="false">IFERROR(IF(Raw_Donors!D710="","Unknown",Raw_Donors!D710),"Unknown")</f>
        <v>Unknown</v>
      </c>
      <c r="F710" s="9" t="str">
        <f aca="false">IFERROR(IF(Raw_Donors!E710="","Unknown",Raw_Donors!E710),"Unknown")</f>
        <v>Male</v>
      </c>
      <c r="G710" s="9" t="str">
        <f aca="false">PROPER(TRIM(Raw_Donors!F710))</f>
        <v>Individual Donor</v>
      </c>
      <c r="H710" s="9" t="str">
        <f aca="false">IFERROR(IF(Raw_Donors!G710="","N",Raw_Donors!G710),"N")</f>
        <v>N</v>
      </c>
      <c r="I710" s="9" t="str">
        <f aca="false">IF(Raw_Donors!H710="","Not Rated",Raw_Donors!H710)</f>
        <v>Not Rated</v>
      </c>
      <c r="J710" s="9" t="str">
        <f aca="false">IF(TRIM(Raw_Donors!I710)="","Unknown",TRIM(Raw_Donors!I710))</f>
        <v>HOME</v>
      </c>
      <c r="K710" s="9" t="str">
        <f aca="false">Raw_Donors!J710</f>
        <v>N</v>
      </c>
      <c r="L710" s="9" t="n">
        <f aca="false">Raw_Donors!K710</f>
        <v>2</v>
      </c>
      <c r="M710" s="10" t="n">
        <f aca="false">IFERROR(VALUE(SUBSTITUTE(SUBSTITUTE(Raw_Donors!L710,"$",""),",","")),0)</f>
        <v>0</v>
      </c>
      <c r="N710" s="10" t="n">
        <f aca="false">IFERROR(VALUE(SUBSTITUTE(SUBSTITUTE(Raw_Donors!M710,"$",""),",","")),0)</f>
        <v>0</v>
      </c>
      <c r="O710" s="10" t="n">
        <f aca="false">IFERROR(VALUE(SUBSTITUTE(SUBSTITUTE(Raw_Donors!N710,"$",""),",","")),0)</f>
        <v>0</v>
      </c>
      <c r="P710" s="10" t="n">
        <f aca="false">IFERROR(VALUE(SUBSTITUTE(SUBSTITUTE(Raw_Donors!O710,"$",""),",","")),0)</f>
        <v>0</v>
      </c>
      <c r="Q710" s="10" t="n">
        <f aca="false">IFERROR(VALUE(SUBSTITUTE(SUBSTITUTE(Raw_Donors!P710,"$",""),",","")),0)</f>
        <v>0</v>
      </c>
      <c r="R710" s="10" t="n">
        <f aca="false">Raw_Donors!Q710</f>
        <v>10</v>
      </c>
      <c r="S710" s="9" t="str">
        <f aca="false">Raw_Donors!R710</f>
        <v>Y</v>
      </c>
      <c r="T710" s="9" t="str">
        <f aca="false">IF(Raw_Donors!S710="","",Raw_Donors!S710)</f>
        <v/>
      </c>
      <c r="U710" s="9" t="str">
        <f aca="false">IF(AND((O710+P710)&gt;0,Q710=0),"Lapsed - Follow Up","")</f>
        <v/>
      </c>
      <c r="V710" s="9" t="n">
        <f aca="false">RANK(R710,$R$2:$R$759)+COUNTIF($R$2:R710,R710)-1</f>
        <v>507</v>
      </c>
      <c r="W710" s="9" t="str">
        <f aca="false">IF(U710="Lapsed - Follow Up",COUNTIF($U$2:U710,"Lapsed - Follow Up"),"")</f>
        <v/>
      </c>
    </row>
    <row r="711" customFormat="false" ht="15" hidden="false" customHeight="true" outlineLevel="0" collapsed="false">
      <c r="A711" s="9" t="str">
        <f aca="false">Raw_Donors!A711</f>
        <v>D1709</v>
      </c>
      <c r="B711" s="9" t="str">
        <f aca="false">IF(ISNUMBER(SEARCH("-DUP",A711)),"Duplicate ID","")</f>
        <v/>
      </c>
      <c r="C711" s="9" t="n">
        <f aca="false">Raw_Donors!B711</f>
        <v>90265</v>
      </c>
      <c r="D711" s="9" t="n">
        <f aca="false">Raw_Donors!C711</f>
        <v>34</v>
      </c>
      <c r="E711" s="9" t="str">
        <f aca="false">IFERROR(IF(Raw_Donors!D711="","Unknown",Raw_Donors!D711),"Unknown")</f>
        <v>Unknown</v>
      </c>
      <c r="F711" s="9" t="str">
        <f aca="false">IFERROR(IF(Raw_Donors!E711="","Unknown",Raw_Donors!E711),"Unknown")</f>
        <v>Uknown</v>
      </c>
      <c r="G711" s="9" t="str">
        <f aca="false">PROPER(TRIM(Raw_Donors!F711))</f>
        <v>Individual Donor</v>
      </c>
      <c r="H711" s="9" t="str">
        <f aca="false">IFERROR(IF(Raw_Donors!G711="","N",Raw_Donors!G711),"N")</f>
        <v>N</v>
      </c>
      <c r="I711" s="9" t="str">
        <f aca="false">IF(Raw_Donors!H711="","Not Rated",Raw_Donors!H711)</f>
        <v>Not Rated</v>
      </c>
      <c r="J711" s="9" t="str">
        <f aca="false">IF(TRIM(Raw_Donors!I711)="","Unknown",TRIM(Raw_Donors!I711))</f>
        <v>CAMP</v>
      </c>
      <c r="K711" s="9" t="str">
        <f aca="false">Raw_Donors!J711</f>
        <v>Y</v>
      </c>
      <c r="L711" s="9" t="n">
        <f aca="false">Raw_Donors!K711</f>
        <v>0</v>
      </c>
      <c r="M711" s="10" t="n">
        <f aca="false">IFERROR(VALUE(SUBSTITUTE(SUBSTITUTE(Raw_Donors!L711,"$",""),",","")),0)</f>
        <v>0</v>
      </c>
      <c r="N711" s="10" t="n">
        <f aca="false">IFERROR(VALUE(SUBSTITUTE(SUBSTITUTE(Raw_Donors!M711,"$",""),",","")),0)</f>
        <v>0</v>
      </c>
      <c r="O711" s="10" t="n">
        <f aca="false">IFERROR(VALUE(SUBSTITUTE(SUBSTITUTE(Raw_Donors!N711,"$",""),",","")),0)</f>
        <v>0</v>
      </c>
      <c r="P711" s="10" t="n">
        <f aca="false">IFERROR(VALUE(SUBSTITUTE(SUBSTITUTE(Raw_Donors!O711,"$",""),",","")),0)</f>
        <v>0</v>
      </c>
      <c r="Q711" s="10" t="n">
        <f aca="false">IFERROR(VALUE(SUBSTITUTE(SUBSTITUTE(Raw_Donors!P711,"$",""),",","")),0)</f>
        <v>0</v>
      </c>
      <c r="R711" s="10" t="n">
        <f aca="false">Raw_Donors!Q711</f>
        <v>25</v>
      </c>
      <c r="S711" s="9" t="str">
        <f aca="false">Raw_Donors!R711</f>
        <v>Y</v>
      </c>
      <c r="T711" s="9" t="str">
        <f aca="false">IF(Raw_Donors!S711="","",Raw_Donors!S711)</f>
        <v>1983-09-10</v>
      </c>
      <c r="U711" s="9" t="str">
        <f aca="false">IF(AND((O711+P711)&gt;0,Q711=0),"Lapsed - Follow Up","")</f>
        <v/>
      </c>
      <c r="V711" s="9" t="n">
        <f aca="false">RANK(R711,$R$2:$R$759)+COUNTIF($R$2:R711,R711)-1</f>
        <v>463</v>
      </c>
      <c r="W711" s="9" t="str">
        <f aca="false">IF(U711="Lapsed - Follow Up",COUNTIF($U$2:U711,"Lapsed - Follow Up"),"")</f>
        <v/>
      </c>
    </row>
    <row r="712" customFormat="false" ht="15" hidden="false" customHeight="true" outlineLevel="0" collapsed="false">
      <c r="A712" s="9" t="str">
        <f aca="false">Raw_Donors!A712</f>
        <v>D1710</v>
      </c>
      <c r="B712" s="9" t="str">
        <f aca="false">IF(ISNUMBER(SEARCH("-DUP",A712)),"Duplicate ID","")</f>
        <v/>
      </c>
      <c r="C712" s="9" t="n">
        <f aca="false">Raw_Donors!B712</f>
        <v>29078</v>
      </c>
      <c r="D712" s="9" t="n">
        <f aca="false">Raw_Donors!C712</f>
        <v>0</v>
      </c>
      <c r="E712" s="9" t="str">
        <f aca="false">IFERROR(IF(Raw_Donors!D712="","Unknown",Raw_Donors!D712),"Unknown")</f>
        <v>Unknown</v>
      </c>
      <c r="F712" s="9" t="str">
        <f aca="false">IFERROR(IF(Raw_Donors!E712="","Unknown",Raw_Donors!E712),"Unknown")</f>
        <v>Male</v>
      </c>
      <c r="G712" s="9" t="str">
        <f aca="false">PROPER(TRIM(Raw_Donors!F712))</f>
        <v>Individual Donor</v>
      </c>
      <c r="H712" s="9" t="str">
        <f aca="false">IFERROR(IF(Raw_Donors!G712="","N",Raw_Donors!G712),"N")</f>
        <v>N</v>
      </c>
      <c r="I712" s="9" t="str">
        <f aca="false">IF(Raw_Donors!H712="","Not Rated",Raw_Donors!H712)</f>
        <v>Not Rated</v>
      </c>
      <c r="J712" s="9" t="str">
        <f aca="false">IF(TRIM(Raw_Donors!I712)="","Unknown",TRIM(Raw_Donors!I712))</f>
        <v>Unknown</v>
      </c>
      <c r="K712" s="9" t="str">
        <f aca="false">Raw_Donors!J712</f>
        <v>N</v>
      </c>
      <c r="L712" s="9" t="n">
        <f aca="false">Raw_Donors!K712</f>
        <v>2</v>
      </c>
      <c r="M712" s="10" t="n">
        <f aca="false">IFERROR(VALUE(SUBSTITUTE(SUBSTITUTE(Raw_Donors!L712,"$",""),",","")),0)</f>
        <v>0</v>
      </c>
      <c r="N712" s="10" t="n">
        <f aca="false">IFERROR(VALUE(SUBSTITUTE(SUBSTITUTE(Raw_Donors!M712,"$",""),",","")),0)</f>
        <v>0</v>
      </c>
      <c r="O712" s="10" t="n">
        <f aca="false">IFERROR(VALUE(SUBSTITUTE(SUBSTITUTE(Raw_Donors!N712,"$",""),",","")),0)</f>
        <v>0</v>
      </c>
      <c r="P712" s="10" t="n">
        <f aca="false">IFERROR(VALUE(SUBSTITUTE(SUBSTITUTE(Raw_Donors!O712,"$",""),",","")),0)</f>
        <v>0</v>
      </c>
      <c r="Q712" s="10" t="n">
        <f aca="false">IFERROR(VALUE(SUBSTITUTE(SUBSTITUTE(Raw_Donors!P712,"$",""),",","")),0)</f>
        <v>0</v>
      </c>
      <c r="R712" s="10" t="n">
        <f aca="false">Raw_Donors!Q712</f>
        <v>0</v>
      </c>
      <c r="S712" s="9" t="str">
        <f aca="false">Raw_Donors!R712</f>
        <v>N</v>
      </c>
      <c r="T712" s="9" t="str">
        <f aca="false">IF(Raw_Donors!S712="","",Raw_Donors!S712)</f>
        <v/>
      </c>
      <c r="U712" s="9" t="str">
        <f aca="false">IF(AND((O712+P712)&gt;0,Q712=0),"Lapsed - Follow Up","")</f>
        <v/>
      </c>
      <c r="V712" s="9" t="n">
        <f aca="false">RANK(R712,$R$2:$R$759)+COUNTIF($R$2:R712,R712)-1</f>
        <v>748</v>
      </c>
      <c r="W712" s="9" t="str">
        <f aca="false">IF(U712="Lapsed - Follow Up",COUNTIF($U$2:U712,"Lapsed - Follow Up"),"")</f>
        <v/>
      </c>
    </row>
    <row r="713" customFormat="false" ht="15" hidden="false" customHeight="true" outlineLevel="0" collapsed="false">
      <c r="A713" s="9" t="str">
        <f aca="false">Raw_Donors!A713</f>
        <v>D1711</v>
      </c>
      <c r="B713" s="9" t="str">
        <f aca="false">IF(ISNUMBER(SEARCH("-DUP",A713)),"Duplicate ID","")</f>
        <v/>
      </c>
      <c r="C713" s="9" t="n">
        <f aca="false">Raw_Donors!B713</f>
        <v>35308</v>
      </c>
      <c r="D713" s="9" t="n">
        <f aca="false">Raw_Donors!C713</f>
        <v>47</v>
      </c>
      <c r="E713" s="9" t="str">
        <f aca="false">IFERROR(IF(Raw_Donors!D713="","Unknown",Raw_Donors!D713),"Unknown")</f>
        <v>Unknown</v>
      </c>
      <c r="F713" s="9" t="str">
        <f aca="false">IFERROR(IF(Raw_Donors!E713="","Unknown",Raw_Donors!E713),"Unknown")</f>
        <v>Male</v>
      </c>
      <c r="G713" s="9" t="str">
        <f aca="false">PROPER(TRIM(Raw_Donors!F713))</f>
        <v>Community Partner</v>
      </c>
      <c r="H713" s="9" t="str">
        <f aca="false">IFERROR(IF(Raw_Donors!G713="","N",Raw_Donors!G713),"N")</f>
        <v>Y</v>
      </c>
      <c r="I713" s="9" t="str">
        <f aca="false">IF(Raw_Donors!H713="","Not Rated",Raw_Donors!H713)</f>
        <v>$1-$24,999</v>
      </c>
      <c r="J713" s="9" t="str">
        <f aca="false">IF(TRIM(Raw_Donors!I713)="","Unknown",TRIM(Raw_Donors!I713))</f>
        <v>HOME</v>
      </c>
      <c r="K713" s="9" t="str">
        <f aca="false">Raw_Donors!J713</f>
        <v>Y</v>
      </c>
      <c r="L713" s="9" t="n">
        <f aca="false">Raw_Donors!K713</f>
        <v>3</v>
      </c>
      <c r="M713" s="10" t="n">
        <f aca="false">IFERROR(VALUE(SUBSTITUTE(SUBSTITUTE(Raw_Donors!L713,"$",""),",","")),0)</f>
        <v>0</v>
      </c>
      <c r="N713" s="10" t="n">
        <f aca="false">IFERROR(VALUE(SUBSTITUTE(SUBSTITUTE(Raw_Donors!M713,"$",""),",","")),0)</f>
        <v>0</v>
      </c>
      <c r="O713" s="10" t="n">
        <f aca="false">IFERROR(VALUE(SUBSTITUTE(SUBSTITUTE(Raw_Donors!N713,"$",""),",","")),0)</f>
        <v>0</v>
      </c>
      <c r="P713" s="10" t="n">
        <f aca="false">IFERROR(VALUE(SUBSTITUTE(SUBSTITUTE(Raw_Donors!O713,"$",""),",","")),0)</f>
        <v>0</v>
      </c>
      <c r="Q713" s="10" t="n">
        <f aca="false">IFERROR(VALUE(SUBSTITUTE(SUBSTITUTE(Raw_Donors!P713,"$",""),",","")),0)</f>
        <v>0</v>
      </c>
      <c r="R713" s="10" t="n">
        <f aca="false">Raw_Donors!Q713</f>
        <v>90</v>
      </c>
      <c r="S713" s="9" t="str">
        <f aca="false">Raw_Donors!R713</f>
        <v>Y</v>
      </c>
      <c r="T713" s="9" t="str">
        <f aca="false">IF(Raw_Donors!S713="","",Raw_Donors!S713)</f>
        <v>1970-08-16</v>
      </c>
      <c r="U713" s="9" t="str">
        <f aca="false">IF(AND((O713+P713)&gt;0,Q713=0),"Lapsed - Follow Up","")</f>
        <v/>
      </c>
      <c r="V713" s="9" t="n">
        <f aca="false">RANK(R713,$R$2:$R$759)+COUNTIF($R$2:R713,R713)-1</f>
        <v>314</v>
      </c>
      <c r="W713" s="9" t="str">
        <f aca="false">IF(U713="Lapsed - Follow Up",COUNTIF($U$2:U713,"Lapsed - Follow Up"),"")</f>
        <v/>
      </c>
    </row>
    <row r="714" customFormat="false" ht="15" hidden="false" customHeight="true" outlineLevel="0" collapsed="false">
      <c r="A714" s="9" t="str">
        <f aca="false">Raw_Donors!A714</f>
        <v>D1712</v>
      </c>
      <c r="B714" s="9" t="str">
        <f aca="false">IF(ISNUMBER(SEARCH("-DUP",A714)),"Duplicate ID","")</f>
        <v/>
      </c>
      <c r="C714" s="9" t="n">
        <f aca="false">Raw_Donors!B714</f>
        <v>76566</v>
      </c>
      <c r="D714" s="9" t="n">
        <f aca="false">Raw_Donors!C714</f>
        <v>31</v>
      </c>
      <c r="E714" s="9" t="str">
        <f aca="false">IFERROR(IF(Raw_Donors!D714="","Unknown",Raw_Donors!D714),"Unknown")</f>
        <v>Unknown</v>
      </c>
      <c r="F714" s="9" t="str">
        <f aca="false">IFERROR(IF(Raw_Donors!E714="","Unknown",Raw_Donors!E714),"Unknown")</f>
        <v>Male</v>
      </c>
      <c r="G714" s="9" t="str">
        <f aca="false">PROPER(TRIM(Raw_Donors!F714))</f>
        <v>Community Partner</v>
      </c>
      <c r="H714" s="9" t="str">
        <f aca="false">IFERROR(IF(Raw_Donors!G714="","N",Raw_Donors!G714),"N")</f>
        <v>Y</v>
      </c>
      <c r="I714" s="9" t="str">
        <f aca="false">IF(Raw_Donors!H714="","Not Rated",Raw_Donors!H714)</f>
        <v>Not Rated</v>
      </c>
      <c r="J714" s="9" t="str">
        <f aca="false">IF(TRIM(Raw_Donors!I714)="","Unknown",TRIM(Raw_Donors!I714))</f>
        <v>HOME</v>
      </c>
      <c r="K714" s="9" t="str">
        <f aca="false">Raw_Donors!J714</f>
        <v>Y</v>
      </c>
      <c r="L714" s="9" t="n">
        <f aca="false">Raw_Donors!K714</f>
        <v>1</v>
      </c>
      <c r="M714" s="10" t="n">
        <f aca="false">IFERROR(VALUE(SUBSTITUTE(SUBSTITUTE(Raw_Donors!L714,"$",""),",","")),0)</f>
        <v>0</v>
      </c>
      <c r="N714" s="10" t="n">
        <f aca="false">IFERROR(VALUE(SUBSTITUTE(SUBSTITUTE(Raw_Donors!M714,"$",""),",","")),0)</f>
        <v>0</v>
      </c>
      <c r="O714" s="10" t="n">
        <f aca="false">IFERROR(VALUE(SUBSTITUTE(SUBSTITUTE(Raw_Donors!N714,"$",""),",","")),0)</f>
        <v>0</v>
      </c>
      <c r="P714" s="10" t="n">
        <f aca="false">IFERROR(VALUE(SUBSTITUTE(SUBSTITUTE(Raw_Donors!O714,"$",""),",","")),0)</f>
        <v>0</v>
      </c>
      <c r="Q714" s="10" t="n">
        <f aca="false">IFERROR(VALUE(SUBSTITUTE(SUBSTITUTE(Raw_Donors!P714,"$",""),",","")),0)</f>
        <v>0</v>
      </c>
      <c r="R714" s="10" t="n">
        <f aca="false">Raw_Donors!Q714</f>
        <v>0</v>
      </c>
      <c r="S714" s="9" t="str">
        <f aca="false">Raw_Donors!R714</f>
        <v>N</v>
      </c>
      <c r="T714" s="9" t="str">
        <f aca="false">IF(Raw_Donors!S714="","",Raw_Donors!S714)</f>
        <v>1986-09-14</v>
      </c>
      <c r="U714" s="9" t="str">
        <f aca="false">IF(AND((O714+P714)&gt;0,Q714=0),"Lapsed - Follow Up","")</f>
        <v/>
      </c>
      <c r="V714" s="9" t="n">
        <f aca="false">RANK(R714,$R$2:$R$759)+COUNTIF($R$2:R714,R714)-1</f>
        <v>749</v>
      </c>
      <c r="W714" s="9" t="str">
        <f aca="false">IF(U714="Lapsed - Follow Up",COUNTIF($U$2:U714,"Lapsed - Follow Up"),"")</f>
        <v/>
      </c>
    </row>
    <row r="715" customFormat="false" ht="15" hidden="false" customHeight="true" outlineLevel="0" collapsed="false">
      <c r="A715" s="9" t="str">
        <f aca="false">Raw_Donors!A715</f>
        <v>D1713</v>
      </c>
      <c r="B715" s="9" t="str">
        <f aca="false">IF(ISNUMBER(SEARCH("-DUP",A715)),"Duplicate ID","")</f>
        <v/>
      </c>
      <c r="C715" s="9" t="n">
        <f aca="false">Raw_Donors!B715</f>
        <v>80260</v>
      </c>
      <c r="D715" s="9" t="n">
        <f aca="false">Raw_Donors!C715</f>
        <v>0</v>
      </c>
      <c r="E715" s="9" t="str">
        <f aca="false">IFERROR(IF(Raw_Donors!D715="","Unknown",Raw_Donors!D715),"Unknown")</f>
        <v>Unknown</v>
      </c>
      <c r="F715" s="9" t="str">
        <f aca="false">IFERROR(IF(Raw_Donors!E715="","Unknown",Raw_Donors!E715),"Unknown")</f>
        <v>Male</v>
      </c>
      <c r="G715" s="9" t="str">
        <f aca="false">PROPER(TRIM(Raw_Donors!F715))</f>
        <v>Community Partner</v>
      </c>
      <c r="H715" s="9" t="str">
        <f aca="false">IFERROR(IF(Raw_Donors!G715="","N",Raw_Donors!G715),"N")</f>
        <v>N</v>
      </c>
      <c r="I715" s="9" t="str">
        <f aca="false">IF(Raw_Donors!H715="","Not Rated",Raw_Donors!H715)</f>
        <v>Not Rated</v>
      </c>
      <c r="J715" s="9" t="str">
        <f aca="false">IF(TRIM(Raw_Donors!I715)="","Unknown",TRIM(Raw_Donors!I715))</f>
        <v>Unknown</v>
      </c>
      <c r="K715" s="9" t="str">
        <f aca="false">Raw_Donors!J715</f>
        <v>N</v>
      </c>
      <c r="L715" s="9" t="n">
        <f aca="false">Raw_Donors!K715</f>
        <v>0</v>
      </c>
      <c r="M715" s="10" t="n">
        <f aca="false">IFERROR(VALUE(SUBSTITUTE(SUBSTITUTE(Raw_Donors!L715,"$",""),",","")),0)</f>
        <v>0</v>
      </c>
      <c r="N715" s="10" t="n">
        <f aca="false">IFERROR(VALUE(SUBSTITUTE(SUBSTITUTE(Raw_Donors!M715,"$",""),",","")),0)</f>
        <v>0</v>
      </c>
      <c r="O715" s="10" t="n">
        <f aca="false">IFERROR(VALUE(SUBSTITUTE(SUBSTITUTE(Raw_Donors!N715,"$",""),",","")),0)</f>
        <v>0</v>
      </c>
      <c r="P715" s="10" t="n">
        <f aca="false">IFERROR(VALUE(SUBSTITUTE(SUBSTITUTE(Raw_Donors!O715,"$",""),",","")),0)</f>
        <v>0</v>
      </c>
      <c r="Q715" s="10" t="n">
        <f aca="false">IFERROR(VALUE(SUBSTITUTE(SUBSTITUTE(Raw_Donors!P715,"$",""),",","")),0)</f>
        <v>0</v>
      </c>
      <c r="R715" s="10" t="n">
        <f aca="false">Raw_Donors!Q715</f>
        <v>0</v>
      </c>
      <c r="S715" s="9" t="str">
        <f aca="false">Raw_Donors!R715</f>
        <v>N</v>
      </c>
      <c r="T715" s="9" t="str">
        <f aca="false">IF(Raw_Donors!S715="","",Raw_Donors!S715)</f>
        <v/>
      </c>
      <c r="U715" s="9" t="str">
        <f aca="false">IF(AND((O715+P715)&gt;0,Q715=0),"Lapsed - Follow Up","")</f>
        <v/>
      </c>
      <c r="V715" s="9" t="n">
        <f aca="false">RANK(R715,$R$2:$R$759)+COUNTIF($R$2:R715,R715)-1</f>
        <v>750</v>
      </c>
      <c r="W715" s="9" t="str">
        <f aca="false">IF(U715="Lapsed - Follow Up",COUNTIF($U$2:U715,"Lapsed - Follow Up"),"")</f>
        <v/>
      </c>
    </row>
    <row r="716" customFormat="false" ht="15" hidden="false" customHeight="true" outlineLevel="0" collapsed="false">
      <c r="A716" s="9" t="str">
        <f aca="false">Raw_Donors!A716</f>
        <v>D1714</v>
      </c>
      <c r="B716" s="9" t="str">
        <f aca="false">IF(ISNUMBER(SEARCH("-DUP",A716)),"Duplicate ID","")</f>
        <v/>
      </c>
      <c r="C716" s="9" t="n">
        <f aca="false">Raw_Donors!B716</f>
        <v>727</v>
      </c>
      <c r="D716" s="9" t="n">
        <f aca="false">Raw_Donors!C716</f>
        <v>0</v>
      </c>
      <c r="E716" s="9" t="str">
        <f aca="false">IFERROR(IF(Raw_Donors!D716="","Unknown",Raw_Donors!D716),"Unknown")</f>
        <v>Unknown</v>
      </c>
      <c r="F716" s="9" t="str">
        <f aca="false">IFERROR(IF(Raw_Donors!E716="","Unknown",Raw_Donors!E716),"Unknown")</f>
        <v>Uknown</v>
      </c>
      <c r="G716" s="9" t="str">
        <f aca="false">PROPER(TRIM(Raw_Donors!F716))</f>
        <v>Individual Donor</v>
      </c>
      <c r="H716" s="9" t="str">
        <f aca="false">IFERROR(IF(Raw_Donors!G716="","N",Raw_Donors!G716),"N")</f>
        <v>N</v>
      </c>
      <c r="I716" s="9" t="str">
        <f aca="false">IF(Raw_Donors!H716="","Not Rated",Raw_Donors!H716)</f>
        <v>Not Rated</v>
      </c>
      <c r="J716" s="9" t="str">
        <f aca="false">IF(TRIM(Raw_Donors!I716)="","Unknown",TRIM(Raw_Donors!I716))</f>
        <v>HOME</v>
      </c>
      <c r="K716" s="9" t="str">
        <f aca="false">Raw_Donors!J716</f>
        <v>N</v>
      </c>
      <c r="L716" s="9" t="n">
        <f aca="false">Raw_Donors!K716</f>
        <v>3</v>
      </c>
      <c r="M716" s="10" t="n">
        <f aca="false">IFERROR(VALUE(SUBSTITUTE(SUBSTITUTE(Raw_Donors!L716,"$",""),",","")),0)</f>
        <v>0</v>
      </c>
      <c r="N716" s="10" t="n">
        <f aca="false">IFERROR(VALUE(SUBSTITUTE(SUBSTITUTE(Raw_Donors!M716,"$",""),",","")),0)</f>
        <v>0</v>
      </c>
      <c r="O716" s="10" t="n">
        <f aca="false">IFERROR(VALUE(SUBSTITUTE(SUBSTITUTE(Raw_Donors!N716,"$",""),",","")),0)</f>
        <v>0</v>
      </c>
      <c r="P716" s="10" t="n">
        <f aca="false">IFERROR(VALUE(SUBSTITUTE(SUBSTITUTE(Raw_Donors!O716,"$",""),",","")),0)</f>
        <v>0</v>
      </c>
      <c r="Q716" s="10" t="n">
        <f aca="false">IFERROR(VALUE(SUBSTITUTE(SUBSTITUTE(Raw_Donors!P716,"$",""),",","")),0)</f>
        <v>0</v>
      </c>
      <c r="R716" s="10" t="n">
        <f aca="false">Raw_Donors!Q716</f>
        <v>100</v>
      </c>
      <c r="S716" s="9" t="str">
        <f aca="false">Raw_Donors!R716</f>
        <v>Y</v>
      </c>
      <c r="T716" s="9" t="str">
        <f aca="false">IF(Raw_Donors!S716="","",Raw_Donors!S716)</f>
        <v/>
      </c>
      <c r="U716" s="9" t="str">
        <f aca="false">IF(AND((O716+P716)&gt;0,Q716=0),"Lapsed - Follow Up","")</f>
        <v/>
      </c>
      <c r="V716" s="9" t="n">
        <f aca="false">RANK(R716,$R$2:$R$759)+COUNTIF($R$2:R716,R716)-1</f>
        <v>306</v>
      </c>
      <c r="W716" s="9" t="str">
        <f aca="false">IF(U716="Lapsed - Follow Up",COUNTIF($U$2:U716,"Lapsed - Follow Up"),"")</f>
        <v/>
      </c>
    </row>
    <row r="717" customFormat="false" ht="15" hidden="false" customHeight="true" outlineLevel="0" collapsed="false">
      <c r="A717" s="9" t="str">
        <f aca="false">Raw_Donors!A717</f>
        <v>D1715</v>
      </c>
      <c r="B717" s="9" t="str">
        <f aca="false">IF(ISNUMBER(SEARCH("-DUP",A717)),"Duplicate ID","")</f>
        <v/>
      </c>
      <c r="C717" s="9" t="n">
        <f aca="false">Raw_Donors!B717</f>
        <v>62947</v>
      </c>
      <c r="D717" s="9" t="n">
        <f aca="false">Raw_Donors!C717</f>
        <v>70</v>
      </c>
      <c r="E717" s="9" t="str">
        <f aca="false">IFERROR(IF(Raw_Donors!D717="","Unknown",Raw_Donors!D717),"Unknown")</f>
        <v>Unknown</v>
      </c>
      <c r="F717" s="9" t="str">
        <f aca="false">IFERROR(IF(Raw_Donors!E717="","Unknown",Raw_Donors!E717),"Unknown")</f>
        <v>Male</v>
      </c>
      <c r="G717" s="9" t="str">
        <f aca="false">PROPER(TRIM(Raw_Donors!F717))</f>
        <v>Individual Donor</v>
      </c>
      <c r="H717" s="9" t="str">
        <f aca="false">IFERROR(IF(Raw_Donors!G717="","N",Raw_Donors!G717),"N")</f>
        <v>Y</v>
      </c>
      <c r="I717" s="9" t="str">
        <f aca="false">IF(Raw_Donors!H717="","Not Rated",Raw_Donors!H717)</f>
        <v>Not Rated</v>
      </c>
      <c r="J717" s="9" t="str">
        <f aca="false">IF(TRIM(Raw_Donors!I717)="","Unknown",TRIM(Raw_Donors!I717))</f>
        <v>Unknown</v>
      </c>
      <c r="K717" s="9" t="str">
        <f aca="false">Raw_Donors!J717</f>
        <v>N</v>
      </c>
      <c r="L717" s="9" t="n">
        <f aca="false">Raw_Donors!K717</f>
        <v>0</v>
      </c>
      <c r="M717" s="10" t="n">
        <f aca="false">IFERROR(VALUE(SUBSTITUTE(SUBSTITUTE(Raw_Donors!L717,"$",""),",","")),0)</f>
        <v>0</v>
      </c>
      <c r="N717" s="10" t="n">
        <f aca="false">IFERROR(VALUE(SUBSTITUTE(SUBSTITUTE(Raw_Donors!M717,"$",""),",","")),0)</f>
        <v>0</v>
      </c>
      <c r="O717" s="10" t="n">
        <f aca="false">IFERROR(VALUE(SUBSTITUTE(SUBSTITUTE(Raw_Donors!N717,"$",""),",","")),0)</f>
        <v>0</v>
      </c>
      <c r="P717" s="10" t="n">
        <f aca="false">IFERROR(VALUE(SUBSTITUTE(SUBSTITUTE(Raw_Donors!O717,"$",""),",","")),0)</f>
        <v>0</v>
      </c>
      <c r="Q717" s="10" t="n">
        <f aca="false">IFERROR(VALUE(SUBSTITUTE(SUBSTITUTE(Raw_Donors!P717,"$",""),",","")),0)</f>
        <v>0</v>
      </c>
      <c r="R717" s="10" t="n">
        <f aca="false">Raw_Donors!Q717</f>
        <v>204</v>
      </c>
      <c r="S717" s="9" t="str">
        <f aca="false">Raw_Donors!R717</f>
        <v>Y</v>
      </c>
      <c r="T717" s="9" t="str">
        <f aca="false">IF(Raw_Donors!S717="","",Raw_Donors!S717)</f>
        <v>1947-08-09</v>
      </c>
      <c r="U717" s="9" t="str">
        <f aca="false">IF(AND((O717+P717)&gt;0,Q717=0),"Lapsed - Follow Up","")</f>
        <v/>
      </c>
      <c r="V717" s="9" t="n">
        <f aca="false">RANK(R717,$R$2:$R$759)+COUNTIF($R$2:R717,R717)-1</f>
        <v>196</v>
      </c>
      <c r="W717" s="9" t="str">
        <f aca="false">IF(U717="Lapsed - Follow Up",COUNTIF($U$2:U717,"Lapsed - Follow Up"),"")</f>
        <v/>
      </c>
    </row>
    <row r="718" customFormat="false" ht="15" hidden="false" customHeight="true" outlineLevel="0" collapsed="false">
      <c r="A718" s="9" t="str">
        <f aca="false">Raw_Donors!A718</f>
        <v>D1716</v>
      </c>
      <c r="B718" s="9" t="str">
        <f aca="false">IF(ISNUMBER(SEARCH("-DUP",A718)),"Duplicate ID","")</f>
        <v/>
      </c>
      <c r="C718" s="9" t="n">
        <f aca="false">Raw_Donors!B718</f>
        <v>82443</v>
      </c>
      <c r="D718" s="9" t="n">
        <f aca="false">Raw_Donors!C718</f>
        <v>55</v>
      </c>
      <c r="E718" s="9" t="str">
        <f aca="false">IFERROR(IF(Raw_Donors!D718="","Unknown",Raw_Donors!D718),"Unknown")</f>
        <v>Unknown</v>
      </c>
      <c r="F718" s="9" t="str">
        <f aca="false">IFERROR(IF(Raw_Donors!E718="","Unknown",Raw_Donors!E718),"Unknown")</f>
        <v>Male</v>
      </c>
      <c r="G718" s="9" t="str">
        <f aca="false">PROPER(TRIM(Raw_Donors!F718))</f>
        <v>Individual Donor</v>
      </c>
      <c r="H718" s="9" t="str">
        <f aca="false">IFERROR(IF(Raw_Donors!G718="","N",Raw_Donors!G718),"N")</f>
        <v>N</v>
      </c>
      <c r="I718" s="9" t="str">
        <f aca="false">IF(Raw_Donors!H718="","Not Rated",Raw_Donors!H718)</f>
        <v>Not Rated</v>
      </c>
      <c r="J718" s="9" t="str">
        <f aca="false">IF(TRIM(Raw_Donors!I718)="","Unknown",TRIM(Raw_Donors!I718))</f>
        <v>HOME</v>
      </c>
      <c r="K718" s="9" t="str">
        <f aca="false">Raw_Donors!J718</f>
        <v>N</v>
      </c>
      <c r="L718" s="9" t="n">
        <f aca="false">Raw_Donors!K718</f>
        <v>0</v>
      </c>
      <c r="M718" s="10" t="n">
        <f aca="false">IFERROR(VALUE(SUBSTITUTE(SUBSTITUTE(Raw_Donors!L718,"$",""),",","")),0)</f>
        <v>0</v>
      </c>
      <c r="N718" s="10" t="n">
        <f aca="false">IFERROR(VALUE(SUBSTITUTE(SUBSTITUTE(Raw_Donors!M718,"$",""),",","")),0)</f>
        <v>0</v>
      </c>
      <c r="O718" s="10" t="n">
        <f aca="false">IFERROR(VALUE(SUBSTITUTE(SUBSTITUTE(Raw_Donors!N718,"$",""),",","")),0)</f>
        <v>0</v>
      </c>
      <c r="P718" s="10" t="n">
        <f aca="false">IFERROR(VALUE(SUBSTITUTE(SUBSTITUTE(Raw_Donors!O718,"$",""),",","")),0)</f>
        <v>0</v>
      </c>
      <c r="Q718" s="10" t="n">
        <f aca="false">IFERROR(VALUE(SUBSTITUTE(SUBSTITUTE(Raw_Donors!P718,"$",""),",","")),0)</f>
        <v>0</v>
      </c>
      <c r="R718" s="10" t="n">
        <f aca="false">Raw_Donors!Q718</f>
        <v>350</v>
      </c>
      <c r="S718" s="9" t="str">
        <f aca="false">Raw_Donors!R718</f>
        <v>Y</v>
      </c>
      <c r="T718" s="9" t="str">
        <f aca="false">IF(Raw_Donors!S718="","",Raw_Donors!S718)</f>
        <v>1962-01-19</v>
      </c>
      <c r="U718" s="9" t="str">
        <f aca="false">IF(AND((O718+P718)&gt;0,Q718=0),"Lapsed - Follow Up","")</f>
        <v/>
      </c>
      <c r="V718" s="9" t="n">
        <f aca="false">RANK(R718,$R$2:$R$759)+COUNTIF($R$2:R718,R718)-1</f>
        <v>127</v>
      </c>
      <c r="W718" s="9" t="str">
        <f aca="false">IF(U718="Lapsed - Follow Up",COUNTIF($U$2:U718,"Lapsed - Follow Up"),"")</f>
        <v/>
      </c>
    </row>
    <row r="719" customFormat="false" ht="15" hidden="false" customHeight="true" outlineLevel="0" collapsed="false">
      <c r="A719" s="9" t="str">
        <f aca="false">Raw_Donors!A719</f>
        <v>D1717</v>
      </c>
      <c r="B719" s="9" t="str">
        <f aca="false">IF(ISNUMBER(SEARCH("-DUP",A719)),"Duplicate ID","")</f>
        <v/>
      </c>
      <c r="C719" s="9" t="n">
        <f aca="false">Raw_Donors!B719</f>
        <v>50059</v>
      </c>
      <c r="D719" s="9" t="n">
        <f aca="false">Raw_Donors!C719</f>
        <v>0</v>
      </c>
      <c r="E719" s="9" t="str">
        <f aca="false">IFERROR(IF(Raw_Donors!D719="","Unknown",Raw_Donors!D719),"Unknown")</f>
        <v>Married</v>
      </c>
      <c r="F719" s="9" t="str">
        <f aca="false">IFERROR(IF(Raw_Donors!E719="","Unknown",Raw_Donors!E719),"Unknown")</f>
        <v>Female</v>
      </c>
      <c r="G719" s="9" t="str">
        <f aca="false">PROPER(TRIM(Raw_Donors!F719))</f>
        <v>Family Donor</v>
      </c>
      <c r="H719" s="9" t="str">
        <f aca="false">IFERROR(IF(Raw_Donors!G719="","N",Raw_Donors!G719),"N")</f>
        <v>N</v>
      </c>
      <c r="I719" s="9" t="str">
        <f aca="false">IF(Raw_Donors!H719="","Not Rated",Raw_Donors!H719)</f>
        <v>Not Rated</v>
      </c>
      <c r="J719" s="9" t="str">
        <f aca="false">IF(TRIM(Raw_Donors!I719)="","Unknown",TRIM(Raw_Donors!I719))</f>
        <v>BUSN</v>
      </c>
      <c r="K719" s="9" t="str">
        <f aca="false">Raw_Donors!J719</f>
        <v>Y</v>
      </c>
      <c r="L719" s="9" t="n">
        <f aca="false">Raw_Donors!K719</f>
        <v>1</v>
      </c>
      <c r="M719" s="10" t="n">
        <f aca="false">IFERROR(VALUE(SUBSTITUTE(SUBSTITUTE(Raw_Donors!L719,"$",""),",","")),0)</f>
        <v>50</v>
      </c>
      <c r="N719" s="10" t="n">
        <f aca="false">IFERROR(VALUE(SUBSTITUTE(SUBSTITUTE(Raw_Donors!M719,"$",""),",","")),0)</f>
        <v>0</v>
      </c>
      <c r="O719" s="10" t="n">
        <f aca="false">IFERROR(VALUE(SUBSTITUTE(SUBSTITUTE(Raw_Donors!N719,"$",""),",","")),0)</f>
        <v>0</v>
      </c>
      <c r="P719" s="10" t="n">
        <f aca="false">IFERROR(VALUE(SUBSTITUTE(SUBSTITUTE(Raw_Donors!O719,"$",""),",","")),0)</f>
        <v>0</v>
      </c>
      <c r="Q719" s="10" t="n">
        <f aca="false">IFERROR(VALUE(SUBSTITUTE(SUBSTITUTE(Raw_Donors!P719,"$",""),",","")),0)</f>
        <v>0</v>
      </c>
      <c r="R719" s="10" t="n">
        <f aca="false">Raw_Donors!Q719</f>
        <v>50</v>
      </c>
      <c r="S719" s="9" t="str">
        <f aca="false">Raw_Donors!R719</f>
        <v>Y</v>
      </c>
      <c r="T719" s="9" t="str">
        <f aca="false">IF(Raw_Donors!S719="","",Raw_Donors!S719)</f>
        <v/>
      </c>
      <c r="U719" s="9" t="str">
        <f aca="false">IF(AND((O719+P719)&gt;0,Q719=0),"Lapsed - Follow Up","")</f>
        <v/>
      </c>
      <c r="V719" s="9" t="n">
        <f aca="false">RANK(R719,$R$2:$R$759)+COUNTIF($R$2:R719,R719)-1</f>
        <v>385</v>
      </c>
      <c r="W719" s="9" t="str">
        <f aca="false">IF(U719="Lapsed - Follow Up",COUNTIF($U$2:U719,"Lapsed - Follow Up"),"")</f>
        <v/>
      </c>
    </row>
    <row r="720" customFormat="false" ht="15" hidden="false" customHeight="true" outlineLevel="0" collapsed="false">
      <c r="A720" s="9" t="str">
        <f aca="false">Raw_Donors!A720</f>
        <v>D1718</v>
      </c>
      <c r="B720" s="9" t="str">
        <f aca="false">IF(ISNUMBER(SEARCH("-DUP",A720)),"Duplicate ID","")</f>
        <v/>
      </c>
      <c r="C720" s="9" t="n">
        <f aca="false">Raw_Donors!B720</f>
        <v>11731</v>
      </c>
      <c r="D720" s="9" t="n">
        <f aca="false">Raw_Donors!C720</f>
        <v>37</v>
      </c>
      <c r="E720" s="9" t="str">
        <f aca="false">IFERROR(IF(Raw_Donors!D720="","Unknown",Raw_Donors!D720),"Unknown")</f>
        <v>Unknown</v>
      </c>
      <c r="F720" s="9" t="str">
        <f aca="false">IFERROR(IF(Raw_Donors!E720="","Unknown",Raw_Donors!E720),"Unknown")</f>
        <v>Female</v>
      </c>
      <c r="G720" s="9" t="str">
        <f aca="false">PROPER(TRIM(Raw_Donors!F720))</f>
        <v>Individual Donor</v>
      </c>
      <c r="H720" s="9" t="str">
        <f aca="false">IFERROR(IF(Raw_Donors!G720="","N",Raw_Donors!G720),"N")</f>
        <v>N</v>
      </c>
      <c r="I720" s="9" t="str">
        <f aca="false">IF(Raw_Donors!H720="","Not Rated",Raw_Donors!H720)</f>
        <v>Not Rated</v>
      </c>
      <c r="J720" s="9" t="str">
        <f aca="false">IF(TRIM(Raw_Donors!I720)="","Unknown",TRIM(Raw_Donors!I720))</f>
        <v>HOME</v>
      </c>
      <c r="K720" s="9" t="str">
        <f aca="false">Raw_Donors!J720</f>
        <v>N</v>
      </c>
      <c r="L720" s="9" t="n">
        <f aca="false">Raw_Donors!K720</f>
        <v>0</v>
      </c>
      <c r="M720" s="10" t="n">
        <f aca="false">IFERROR(VALUE(SUBSTITUTE(SUBSTITUTE(Raw_Donors!L720,"$",""),",","")),0)</f>
        <v>0</v>
      </c>
      <c r="N720" s="10" t="n">
        <f aca="false">IFERROR(VALUE(SUBSTITUTE(SUBSTITUTE(Raw_Donors!M720,"$",""),",","")),0)</f>
        <v>0</v>
      </c>
      <c r="O720" s="10" t="n">
        <f aca="false">IFERROR(VALUE(SUBSTITUTE(SUBSTITUTE(Raw_Donors!N720,"$",""),",","")),0)</f>
        <v>0</v>
      </c>
      <c r="P720" s="10" t="n">
        <f aca="false">IFERROR(VALUE(SUBSTITUTE(SUBSTITUTE(Raw_Donors!O720,"$",""),",","")),0)</f>
        <v>105</v>
      </c>
      <c r="Q720" s="10" t="n">
        <f aca="false">IFERROR(VALUE(SUBSTITUTE(SUBSTITUTE(Raw_Donors!P720,"$",""),",","")),0)</f>
        <v>0</v>
      </c>
      <c r="R720" s="10" t="n">
        <f aca="false">Raw_Donors!Q720</f>
        <v>485</v>
      </c>
      <c r="S720" s="9" t="str">
        <f aca="false">Raw_Donors!R720</f>
        <v>Y</v>
      </c>
      <c r="T720" s="9" t="str">
        <f aca="false">IF(Raw_Donors!S720="","",Raw_Donors!S720)</f>
        <v>1980-09-11</v>
      </c>
      <c r="U720" s="9" t="str">
        <f aca="false">IF(AND((O720+P720)&gt;0,Q720=0),"Lapsed - Follow Up","")</f>
        <v>Lapsed - Follow Up</v>
      </c>
      <c r="V720" s="9" t="n">
        <f aca="false">RANK(R720,$R$2:$R$759)+COUNTIF($R$2:R720,R720)-1</f>
        <v>100</v>
      </c>
      <c r="W720" s="9" t="n">
        <f aca="false">IF(U720="Lapsed - Follow Up",COUNTIF($U$2:U720,"Lapsed - Follow Up"),"")</f>
        <v>95</v>
      </c>
    </row>
    <row r="721" customFormat="false" ht="15" hidden="false" customHeight="true" outlineLevel="0" collapsed="false">
      <c r="A721" s="9" t="str">
        <f aca="false">Raw_Donors!A721</f>
        <v>D1719</v>
      </c>
      <c r="B721" s="9" t="str">
        <f aca="false">IF(ISNUMBER(SEARCH("-DUP",A721)),"Duplicate ID","")</f>
        <v/>
      </c>
      <c r="C721" s="9" t="n">
        <f aca="false">Raw_Donors!B721</f>
        <v>54166</v>
      </c>
      <c r="D721" s="9" t="n">
        <f aca="false">Raw_Donors!C721</f>
        <v>30</v>
      </c>
      <c r="E721" s="9" t="str">
        <f aca="false">IFERROR(IF(Raw_Donors!D721="","Unknown",Raw_Donors!D721),"Unknown")</f>
        <v>Unknown</v>
      </c>
      <c r="F721" s="9" t="str">
        <f aca="false">IFERROR(IF(Raw_Donors!E721="","Unknown",Raw_Donors!E721),"Unknown")</f>
        <v>Male</v>
      </c>
      <c r="G721" s="9" t="str">
        <f aca="false">PROPER(TRIM(Raw_Donors!F721))</f>
        <v>Community Partner</v>
      </c>
      <c r="H721" s="9" t="str">
        <f aca="false">IFERROR(IF(Raw_Donors!G721="","N",Raw_Donors!G721),"N")</f>
        <v>Y</v>
      </c>
      <c r="I721" s="9" t="str">
        <f aca="false">IF(Raw_Donors!H721="","Not Rated",Raw_Donors!H721)</f>
        <v>Not Rated</v>
      </c>
      <c r="J721" s="9" t="str">
        <f aca="false">IF(TRIM(Raw_Donors!I721)="","Unknown",TRIM(Raw_Donors!I721))</f>
        <v>HOME</v>
      </c>
      <c r="K721" s="9" t="str">
        <f aca="false">Raw_Donors!J721</f>
        <v>Y</v>
      </c>
      <c r="L721" s="9" t="n">
        <f aca="false">Raw_Donors!K721</f>
        <v>0</v>
      </c>
      <c r="M721" s="10" t="n">
        <f aca="false">IFERROR(VALUE(SUBSTITUTE(SUBSTITUTE(Raw_Donors!L721,"$",""),",","")),0)</f>
        <v>0</v>
      </c>
      <c r="N721" s="10" t="n">
        <f aca="false">IFERROR(VALUE(SUBSTITUTE(SUBSTITUTE(Raw_Donors!M721,"$",""),",","")),0)</f>
        <v>0</v>
      </c>
      <c r="O721" s="10" t="n">
        <f aca="false">IFERROR(VALUE(SUBSTITUTE(SUBSTITUTE(Raw_Donors!N721,"$",""),",","")),0)</f>
        <v>0</v>
      </c>
      <c r="P721" s="10" t="n">
        <f aca="false">IFERROR(VALUE(SUBSTITUTE(SUBSTITUTE(Raw_Donors!O721,"$",""),",","")),0)</f>
        <v>0</v>
      </c>
      <c r="Q721" s="10" t="n">
        <f aca="false">IFERROR(VALUE(SUBSTITUTE(SUBSTITUTE(Raw_Donors!P721,"$",""),",","")),0)</f>
        <v>0</v>
      </c>
      <c r="R721" s="10" t="n">
        <f aca="false">Raw_Donors!Q721</f>
        <v>475</v>
      </c>
      <c r="S721" s="9" t="str">
        <f aca="false">Raw_Donors!R721</f>
        <v>Y</v>
      </c>
      <c r="T721" s="9" t="str">
        <f aca="false">IF(Raw_Donors!S721="","",Raw_Donors!S721)</f>
        <v>1987-05-11</v>
      </c>
      <c r="U721" s="9" t="str">
        <f aca="false">IF(AND((O721+P721)&gt;0,Q721=0),"Lapsed - Follow Up","")</f>
        <v/>
      </c>
      <c r="V721" s="9" t="n">
        <f aca="false">RANK(R721,$R$2:$R$759)+COUNTIF($R$2:R721,R721)-1</f>
        <v>102</v>
      </c>
      <c r="W721" s="9" t="str">
        <f aca="false">IF(U721="Lapsed - Follow Up",COUNTIF($U$2:U721,"Lapsed - Follow Up"),"")</f>
        <v/>
      </c>
    </row>
    <row r="722" customFormat="false" ht="15" hidden="false" customHeight="true" outlineLevel="0" collapsed="false">
      <c r="A722" s="9" t="str">
        <f aca="false">Raw_Donors!A722</f>
        <v>D1720</v>
      </c>
      <c r="B722" s="9" t="str">
        <f aca="false">IF(ISNUMBER(SEARCH("-DUP",A722)),"Duplicate ID","")</f>
        <v/>
      </c>
      <c r="C722" s="9" t="n">
        <f aca="false">Raw_Donors!B722</f>
        <v>76015</v>
      </c>
      <c r="D722" s="9" t="n">
        <f aca="false">Raw_Donors!C722</f>
        <v>67</v>
      </c>
      <c r="E722" s="9" t="str">
        <f aca="false">IFERROR(IF(Raw_Donors!D722="","Unknown",Raw_Donors!D722),"Unknown")</f>
        <v>Unknown</v>
      </c>
      <c r="F722" s="9" t="str">
        <f aca="false">IFERROR(IF(Raw_Donors!E722="","Unknown",Raw_Donors!E722),"Unknown")</f>
        <v>Male</v>
      </c>
      <c r="G722" s="9" t="str">
        <f aca="false">PROPER(TRIM(Raw_Donors!F722))</f>
        <v>Individual Donor</v>
      </c>
      <c r="H722" s="9" t="str">
        <f aca="false">IFERROR(IF(Raw_Donors!G722="","N",Raw_Donors!G722),"N")</f>
        <v>N</v>
      </c>
      <c r="I722" s="9" t="str">
        <f aca="false">IF(Raw_Donors!H722="","Not Rated",Raw_Donors!H722)</f>
        <v>Not Rated</v>
      </c>
      <c r="J722" s="9" t="str">
        <f aca="false">IF(TRIM(Raw_Donors!I722)="","Unknown",TRIM(Raw_Donors!I722))</f>
        <v>HOME</v>
      </c>
      <c r="K722" s="9" t="str">
        <f aca="false">Raw_Donors!J722</f>
        <v>N</v>
      </c>
      <c r="L722" s="9" t="n">
        <f aca="false">Raw_Donors!K722</f>
        <v>0</v>
      </c>
      <c r="M722" s="10" t="n">
        <f aca="false">IFERROR(VALUE(SUBSTITUTE(SUBSTITUTE(Raw_Donors!L722,"$",""),",","")),0)</f>
        <v>0</v>
      </c>
      <c r="N722" s="10" t="n">
        <f aca="false">IFERROR(VALUE(SUBSTITUTE(SUBSTITUTE(Raw_Donors!M722,"$",""),",","")),0)</f>
        <v>0</v>
      </c>
      <c r="O722" s="10" t="n">
        <f aca="false">IFERROR(VALUE(SUBSTITUTE(SUBSTITUTE(Raw_Donors!N722,"$",""),",","")),0)</f>
        <v>0</v>
      </c>
      <c r="P722" s="10" t="n">
        <f aca="false">IFERROR(VALUE(SUBSTITUTE(SUBSTITUTE(Raw_Donors!O722,"$",""),",","")),0)</f>
        <v>0</v>
      </c>
      <c r="Q722" s="10" t="n">
        <f aca="false">IFERROR(VALUE(SUBSTITUTE(SUBSTITUTE(Raw_Donors!P722,"$",""),",","")),0)</f>
        <v>0</v>
      </c>
      <c r="R722" s="10" t="n">
        <f aca="false">Raw_Donors!Q722</f>
        <v>2350</v>
      </c>
      <c r="S722" s="9" t="str">
        <f aca="false">Raw_Donors!R722</f>
        <v>Y</v>
      </c>
      <c r="T722" s="9" t="str">
        <f aca="false">IF(Raw_Donors!S722="","",Raw_Donors!S722)</f>
        <v>1950-01-16</v>
      </c>
      <c r="U722" s="9" t="str">
        <f aca="false">IF(AND((O722+P722)&gt;0,Q722=0),"Lapsed - Follow Up","")</f>
        <v/>
      </c>
      <c r="V722" s="9" t="n">
        <f aca="false">RANK(R722,$R$2:$R$759)+COUNTIF($R$2:R722,R722)-1</f>
        <v>26</v>
      </c>
      <c r="W722" s="9" t="str">
        <f aca="false">IF(U722="Lapsed - Follow Up",COUNTIF($U$2:U722,"Lapsed - Follow Up"),"")</f>
        <v/>
      </c>
    </row>
    <row r="723" customFormat="false" ht="15" hidden="false" customHeight="true" outlineLevel="0" collapsed="false">
      <c r="A723" s="9" t="str">
        <f aca="false">Raw_Donors!A723</f>
        <v>D1721</v>
      </c>
      <c r="B723" s="9" t="str">
        <f aca="false">IF(ISNUMBER(SEARCH("-DUP",A723)),"Duplicate ID","")</f>
        <v/>
      </c>
      <c r="C723" s="9" t="n">
        <f aca="false">Raw_Donors!B723</f>
        <v>40020</v>
      </c>
      <c r="D723" s="9" t="n">
        <f aca="false">Raw_Donors!C723</f>
        <v>37</v>
      </c>
      <c r="E723" s="9" t="str">
        <f aca="false">IFERROR(IF(Raw_Donors!D723="","Unknown",Raw_Donors!D723),"Unknown")</f>
        <v>Unknown</v>
      </c>
      <c r="F723" s="9" t="str">
        <f aca="false">IFERROR(IF(Raw_Donors!E723="","Unknown",Raw_Donors!E723),"Unknown")</f>
        <v>Male</v>
      </c>
      <c r="G723" s="9" t="str">
        <f aca="false">PROPER(TRIM(Raw_Donors!F723))</f>
        <v>Community Partner</v>
      </c>
      <c r="H723" s="9" t="str">
        <f aca="false">IFERROR(IF(Raw_Donors!G723="","N",Raw_Donors!G723),"N")</f>
        <v>Y</v>
      </c>
      <c r="I723" s="9" t="str">
        <f aca="false">IF(Raw_Donors!H723="","Not Rated",Raw_Donors!H723)</f>
        <v>Not Rated</v>
      </c>
      <c r="J723" s="9" t="str">
        <f aca="false">IF(TRIM(Raw_Donors!I723)="","Unknown",TRIM(Raw_Donors!I723))</f>
        <v>HOME</v>
      </c>
      <c r="K723" s="9" t="str">
        <f aca="false">Raw_Donors!J723</f>
        <v>Y</v>
      </c>
      <c r="L723" s="9" t="n">
        <f aca="false">Raw_Donors!K723</f>
        <v>0</v>
      </c>
      <c r="M723" s="10" t="n">
        <f aca="false">IFERROR(VALUE(SUBSTITUTE(SUBSTITUTE(Raw_Donors!L723,"$",""),",","")),0)</f>
        <v>0</v>
      </c>
      <c r="N723" s="10" t="n">
        <f aca="false">IFERROR(VALUE(SUBSTITUTE(SUBSTITUTE(Raw_Donors!M723,"$",""),",","")),0)</f>
        <v>0</v>
      </c>
      <c r="O723" s="10" t="n">
        <f aca="false">IFERROR(VALUE(SUBSTITUTE(SUBSTITUTE(Raw_Donors!N723,"$",""),",","")),0)</f>
        <v>0</v>
      </c>
      <c r="P723" s="10" t="n">
        <f aca="false">IFERROR(VALUE(SUBSTITUTE(SUBSTITUTE(Raw_Donors!O723,"$",""),",","")),0)</f>
        <v>0</v>
      </c>
      <c r="Q723" s="10" t="n">
        <f aca="false">IFERROR(VALUE(SUBSTITUTE(SUBSTITUTE(Raw_Donors!P723,"$",""),",","")),0)</f>
        <v>0</v>
      </c>
      <c r="R723" s="10" t="n">
        <f aca="false">Raw_Donors!Q723</f>
        <v>45</v>
      </c>
      <c r="S723" s="9" t="str">
        <f aca="false">Raw_Donors!R723</f>
        <v>Y</v>
      </c>
      <c r="T723" s="9" t="str">
        <f aca="false">IF(Raw_Donors!S723="","",Raw_Donors!S723)</f>
        <v>1980-08-11</v>
      </c>
      <c r="U723" s="9" t="str">
        <f aca="false">IF(AND((O723+P723)&gt;0,Q723=0),"Lapsed - Follow Up","")</f>
        <v/>
      </c>
      <c r="V723" s="9" t="n">
        <f aca="false">RANK(R723,$R$2:$R$759)+COUNTIF($R$2:R723,R723)-1</f>
        <v>390</v>
      </c>
      <c r="W723" s="9" t="str">
        <f aca="false">IF(U723="Lapsed - Follow Up",COUNTIF($U$2:U723,"Lapsed - Follow Up"),"")</f>
        <v/>
      </c>
    </row>
    <row r="724" customFormat="false" ht="15" hidden="false" customHeight="true" outlineLevel="0" collapsed="false">
      <c r="A724" s="9" t="str">
        <f aca="false">Raw_Donors!A724</f>
        <v>D1722</v>
      </c>
      <c r="B724" s="9" t="str">
        <f aca="false">IF(ISNUMBER(SEARCH("-DUP",A724)),"Duplicate ID","")</f>
        <v/>
      </c>
      <c r="C724" s="9" t="n">
        <f aca="false">Raw_Donors!B724</f>
        <v>21282</v>
      </c>
      <c r="D724" s="9" t="n">
        <f aca="false">Raw_Donors!C724</f>
        <v>19</v>
      </c>
      <c r="E724" s="9" t="str">
        <f aca="false">IFERROR(IF(Raw_Donors!D724="","Unknown",Raw_Donors!D724),"Unknown")</f>
        <v>Unknown</v>
      </c>
      <c r="F724" s="9" t="str">
        <f aca="false">IFERROR(IF(Raw_Donors!E724="","Unknown",Raw_Donors!E724),"Unknown")</f>
        <v>Female</v>
      </c>
      <c r="G724" s="9" t="str">
        <f aca="false">PROPER(TRIM(Raw_Donors!F724))</f>
        <v>Individual Donor</v>
      </c>
      <c r="H724" s="9" t="str">
        <f aca="false">IFERROR(IF(Raw_Donors!G724="","N",Raw_Donors!G724),"N")</f>
        <v>N</v>
      </c>
      <c r="I724" s="9" t="str">
        <f aca="false">IF(Raw_Donors!H724="","Not Rated",Raw_Donors!H724)</f>
        <v>Not Rated</v>
      </c>
      <c r="J724" s="9" t="str">
        <f aca="false">IF(TRIM(Raw_Donors!I724)="","Unknown",TRIM(Raw_Donors!I724))</f>
        <v>CAMP</v>
      </c>
      <c r="K724" s="9" t="str">
        <f aca="false">Raw_Donors!J724</f>
        <v>Y</v>
      </c>
      <c r="L724" s="9" t="n">
        <f aca="false">Raw_Donors!K724</f>
        <v>0</v>
      </c>
      <c r="M724" s="10" t="n">
        <f aca="false">IFERROR(VALUE(SUBSTITUTE(SUBSTITUTE(Raw_Donors!L724,"$",""),",","")),0)</f>
        <v>0</v>
      </c>
      <c r="N724" s="10" t="n">
        <f aca="false">IFERROR(VALUE(SUBSTITUTE(SUBSTITUTE(Raw_Donors!M724,"$",""),",","")),0)</f>
        <v>0</v>
      </c>
      <c r="O724" s="10" t="n">
        <f aca="false">IFERROR(VALUE(SUBSTITUTE(SUBSTITUTE(Raw_Donors!N724,"$",""),",","")),0)</f>
        <v>0</v>
      </c>
      <c r="P724" s="10" t="n">
        <f aca="false">IFERROR(VALUE(SUBSTITUTE(SUBSTITUTE(Raw_Donors!O724,"$",""),",","")),0)</f>
        <v>50</v>
      </c>
      <c r="Q724" s="10" t="n">
        <f aca="false">IFERROR(VALUE(SUBSTITUTE(SUBSTITUTE(Raw_Donors!P724,"$",""),",","")),0)</f>
        <v>0</v>
      </c>
      <c r="R724" s="10" t="n">
        <f aca="false">Raw_Donors!Q724</f>
        <v>50</v>
      </c>
      <c r="S724" s="9" t="str">
        <f aca="false">Raw_Donors!R724</f>
        <v>Y</v>
      </c>
      <c r="T724" s="9" t="str">
        <f aca="false">IF(Raw_Donors!S724="","",Raw_Donors!S724)</f>
        <v>1998-09-10</v>
      </c>
      <c r="U724" s="9" t="str">
        <f aca="false">IF(AND((O724+P724)&gt;0,Q724=0),"Lapsed - Follow Up","")</f>
        <v>Lapsed - Follow Up</v>
      </c>
      <c r="V724" s="9" t="n">
        <f aca="false">RANK(R724,$R$2:$R$759)+COUNTIF($R$2:R724,R724)-1</f>
        <v>386</v>
      </c>
      <c r="W724" s="9" t="n">
        <f aca="false">IF(U724="Lapsed - Follow Up",COUNTIF($U$2:U724,"Lapsed - Follow Up"),"")</f>
        <v>96</v>
      </c>
    </row>
    <row r="725" customFormat="false" ht="15" hidden="false" customHeight="true" outlineLevel="0" collapsed="false">
      <c r="A725" s="9" t="str">
        <f aca="false">Raw_Donors!A725</f>
        <v>D1723</v>
      </c>
      <c r="B725" s="9" t="str">
        <f aca="false">IF(ISNUMBER(SEARCH("-DUP",A725)),"Duplicate ID","")</f>
        <v/>
      </c>
      <c r="C725" s="9" t="n">
        <f aca="false">Raw_Donors!B725</f>
        <v>90265</v>
      </c>
      <c r="D725" s="9" t="n">
        <f aca="false">Raw_Donors!C725</f>
        <v>90</v>
      </c>
      <c r="E725" s="9" t="str">
        <f aca="false">IFERROR(IF(Raw_Donors!D725="","Unknown",Raw_Donors!D725),"Unknown")</f>
        <v>Unknown</v>
      </c>
      <c r="F725" s="9" t="str">
        <f aca="false">IFERROR(IF(Raw_Donors!E725="","Unknown",Raw_Donors!E725),"Unknown")</f>
        <v>Male</v>
      </c>
      <c r="G725" s="9" t="str">
        <f aca="false">PROPER(TRIM(Raw_Donors!F725))</f>
        <v>Individual Donor</v>
      </c>
      <c r="H725" s="9" t="str">
        <f aca="false">IFERROR(IF(Raw_Donors!G725="","N",Raw_Donors!G725),"N")</f>
        <v>Y</v>
      </c>
      <c r="I725" s="9" t="str">
        <f aca="false">IF(Raw_Donors!H725="","Not Rated",Raw_Donors!H725)</f>
        <v>Not Rated</v>
      </c>
      <c r="J725" s="9" t="str">
        <f aca="false">IF(TRIM(Raw_Donors!I725)="","Unknown",TRIM(Raw_Donors!I725))</f>
        <v>HOME</v>
      </c>
      <c r="K725" s="9" t="str">
        <f aca="false">Raw_Donors!J725</f>
        <v>N</v>
      </c>
      <c r="L725" s="9" t="n">
        <f aca="false">Raw_Donors!K725</f>
        <v>15</v>
      </c>
      <c r="M725" s="10" t="n">
        <f aca="false">IFERROR(VALUE(SUBSTITUTE(SUBSTITUTE(Raw_Donors!L725,"$",""),",","")),0)</f>
        <v>75</v>
      </c>
      <c r="N725" s="10" t="n">
        <f aca="false">IFERROR(VALUE(SUBSTITUTE(SUBSTITUTE(Raw_Donors!M725,"$",""),",","")),0)</f>
        <v>0</v>
      </c>
      <c r="O725" s="10" t="n">
        <f aca="false">IFERROR(VALUE(SUBSTITUTE(SUBSTITUTE(Raw_Donors!N725,"$",""),",","")),0)</f>
        <v>0</v>
      </c>
      <c r="P725" s="10" t="n">
        <f aca="false">IFERROR(VALUE(SUBSTITUTE(SUBSTITUTE(Raw_Donors!O725,"$",""),",","")),0)</f>
        <v>0</v>
      </c>
      <c r="Q725" s="10" t="n">
        <f aca="false">IFERROR(VALUE(SUBSTITUTE(SUBSTITUTE(Raw_Donors!P725,"$",""),",","")),0)</f>
        <v>0</v>
      </c>
      <c r="R725" s="10" t="n">
        <f aca="false">Raw_Donors!Q725</f>
        <v>5255</v>
      </c>
      <c r="S725" s="9" t="str">
        <f aca="false">Raw_Donors!R725</f>
        <v>Y</v>
      </c>
      <c r="T725" s="9" t="str">
        <f aca="false">IF(Raw_Donors!S725="","",Raw_Donors!S725)</f>
        <v>1927-03-21</v>
      </c>
      <c r="U725" s="9" t="str">
        <f aca="false">IF(AND((O725+P725)&gt;0,Q725=0),"Lapsed - Follow Up","")</f>
        <v/>
      </c>
      <c r="V725" s="9" t="n">
        <f aca="false">RANK(R725,$R$2:$R$759)+COUNTIF($R$2:R725,R725)-1</f>
        <v>12</v>
      </c>
      <c r="W725" s="9" t="str">
        <f aca="false">IF(U725="Lapsed - Follow Up",COUNTIF($U$2:U725,"Lapsed - Follow Up"),"")</f>
        <v/>
      </c>
    </row>
    <row r="726" customFormat="false" ht="15" hidden="false" customHeight="true" outlineLevel="0" collapsed="false">
      <c r="A726" s="9" t="str">
        <f aca="false">Raw_Donors!A726</f>
        <v>D1724</v>
      </c>
      <c r="B726" s="9" t="str">
        <f aca="false">IF(ISNUMBER(SEARCH("-DUP",A726)),"Duplicate ID","")</f>
        <v/>
      </c>
      <c r="C726" s="9" t="n">
        <f aca="false">Raw_Donors!B726</f>
        <v>90265</v>
      </c>
      <c r="D726" s="9" t="n">
        <f aca="false">Raw_Donors!C726</f>
        <v>0</v>
      </c>
      <c r="E726" s="9" t="str">
        <f aca="false">IFERROR(IF(Raw_Donors!D726="","Unknown",Raw_Donors!D726),"Unknown")</f>
        <v>Unknown</v>
      </c>
      <c r="F726" s="9" t="str">
        <f aca="false">IFERROR(IF(Raw_Donors!E726="","Unknown",Raw_Donors!E726),"Unknown")</f>
        <v>Female</v>
      </c>
      <c r="G726" s="9" t="str">
        <f aca="false">PROPER(TRIM(Raw_Donors!F726))</f>
        <v>Individual Donor</v>
      </c>
      <c r="H726" s="9" t="str">
        <f aca="false">IFERROR(IF(Raw_Donors!G726="","N",Raw_Donors!G726),"N")</f>
        <v>N</v>
      </c>
      <c r="I726" s="9" t="str">
        <f aca="false">IF(Raw_Donors!H726="","Not Rated",Raw_Donors!H726)</f>
        <v>Not Rated</v>
      </c>
      <c r="J726" s="9" t="str">
        <f aca="false">IF(TRIM(Raw_Donors!I726)="","Unknown",TRIM(Raw_Donors!I726))</f>
        <v>Unknown</v>
      </c>
      <c r="K726" s="9" t="str">
        <f aca="false">Raw_Donors!J726</f>
        <v>N</v>
      </c>
      <c r="L726" s="9" t="n">
        <f aca="false">Raw_Donors!K726</f>
        <v>0</v>
      </c>
      <c r="M726" s="10" t="n">
        <f aca="false">IFERROR(VALUE(SUBSTITUTE(SUBSTITUTE(Raw_Donors!L726,"$",""),",","")),0)</f>
        <v>0</v>
      </c>
      <c r="N726" s="10" t="n">
        <f aca="false">IFERROR(VALUE(SUBSTITUTE(SUBSTITUTE(Raw_Donors!M726,"$",""),",","")),0)</f>
        <v>0</v>
      </c>
      <c r="O726" s="10" t="n">
        <f aca="false">IFERROR(VALUE(SUBSTITUTE(SUBSTITUTE(Raw_Donors!N726,"$",""),",","")),0)</f>
        <v>0</v>
      </c>
      <c r="P726" s="10" t="n">
        <f aca="false">IFERROR(VALUE(SUBSTITUTE(SUBSTITUTE(Raw_Donors!O726,"$",""),",","")),0)</f>
        <v>0</v>
      </c>
      <c r="Q726" s="10" t="n">
        <f aca="false">IFERROR(VALUE(SUBSTITUTE(SUBSTITUTE(Raw_Donors!P726,"$",""),",","")),0)</f>
        <v>0</v>
      </c>
      <c r="R726" s="10" t="n">
        <f aca="false">Raw_Donors!Q726</f>
        <v>1500</v>
      </c>
      <c r="S726" s="9" t="str">
        <f aca="false">Raw_Donors!R726</f>
        <v>Y</v>
      </c>
      <c r="T726" s="9" t="str">
        <f aca="false">IF(Raw_Donors!S726="","",Raw_Donors!S726)</f>
        <v/>
      </c>
      <c r="U726" s="9" t="str">
        <f aca="false">IF(AND((O726+P726)&gt;0,Q726=0),"Lapsed - Follow Up","")</f>
        <v/>
      </c>
      <c r="V726" s="9" t="n">
        <f aca="false">RANK(R726,$R$2:$R$759)+COUNTIF($R$2:R726,R726)-1</f>
        <v>42</v>
      </c>
      <c r="W726" s="9" t="str">
        <f aca="false">IF(U726="Lapsed - Follow Up",COUNTIF($U$2:U726,"Lapsed - Follow Up"),"")</f>
        <v/>
      </c>
    </row>
    <row r="727" customFormat="false" ht="15" hidden="false" customHeight="true" outlineLevel="0" collapsed="false">
      <c r="A727" s="9" t="str">
        <f aca="false">Raw_Donors!A727</f>
        <v>D1725</v>
      </c>
      <c r="B727" s="9" t="str">
        <f aca="false">IF(ISNUMBER(SEARCH("-DUP",A727)),"Duplicate ID","")</f>
        <v/>
      </c>
      <c r="C727" s="9" t="n">
        <f aca="false">Raw_Donors!B727</f>
        <v>33349</v>
      </c>
      <c r="D727" s="9" t="n">
        <f aca="false">Raw_Donors!C727</f>
        <v>0</v>
      </c>
      <c r="E727" s="9" t="str">
        <f aca="false">IFERROR(IF(Raw_Donors!D727="","Unknown",Raw_Donors!D727),"Unknown")</f>
        <v>Married</v>
      </c>
      <c r="F727" s="9" t="str">
        <f aca="false">IFERROR(IF(Raw_Donors!E727="","Unknown",Raw_Donors!E727),"Unknown")</f>
        <v>Female</v>
      </c>
      <c r="G727" s="9" t="str">
        <f aca="false">PROPER(TRIM(Raw_Donors!F727))</f>
        <v>Individual Donor</v>
      </c>
      <c r="H727" s="9" t="str">
        <f aca="false">IFERROR(IF(Raw_Donors!G727="","N",Raw_Donors!G727),"N")</f>
        <v>N</v>
      </c>
      <c r="I727" s="9" t="str">
        <f aca="false">IF(Raw_Donors!H727="","Not Rated",Raw_Donors!H727)</f>
        <v>Not Rated</v>
      </c>
      <c r="J727" s="9" t="str">
        <f aca="false">IF(TRIM(Raw_Donors!I727)="","Unknown",TRIM(Raw_Donors!I727))</f>
        <v>HOME</v>
      </c>
      <c r="K727" s="9" t="str">
        <f aca="false">Raw_Donors!J727</f>
        <v>N</v>
      </c>
      <c r="L727" s="9" t="n">
        <f aca="false">Raw_Donors!K727</f>
        <v>1</v>
      </c>
      <c r="M727" s="10" t="n">
        <f aca="false">IFERROR(VALUE(SUBSTITUTE(SUBSTITUTE(Raw_Donors!L727,"$",""),",","")),0)</f>
        <v>0</v>
      </c>
      <c r="N727" s="10" t="n">
        <f aca="false">IFERROR(VALUE(SUBSTITUTE(SUBSTITUTE(Raw_Donors!M727,"$",""),",","")),0)</f>
        <v>0</v>
      </c>
      <c r="O727" s="10" t="n">
        <f aca="false">IFERROR(VALUE(SUBSTITUTE(SUBSTITUTE(Raw_Donors!N727,"$",""),",","")),0)</f>
        <v>1</v>
      </c>
      <c r="P727" s="10" t="n">
        <f aca="false">IFERROR(VALUE(SUBSTITUTE(SUBSTITUTE(Raw_Donors!O727,"$",""),",","")),0)</f>
        <v>0</v>
      </c>
      <c r="Q727" s="10" t="n">
        <f aca="false">IFERROR(VALUE(SUBSTITUTE(SUBSTITUTE(Raw_Donors!P727,"$",""),",","")),0)</f>
        <v>0</v>
      </c>
      <c r="R727" s="10" t="n">
        <f aca="false">Raw_Donors!Q727</f>
        <v>1</v>
      </c>
      <c r="S727" s="9" t="str">
        <f aca="false">Raw_Donors!R727</f>
        <v>Y</v>
      </c>
      <c r="T727" s="9" t="str">
        <f aca="false">IF(Raw_Donors!S727="","",Raw_Donors!S727)</f>
        <v/>
      </c>
      <c r="U727" s="9" t="str">
        <f aca="false">IF(AND((O727+P727)&gt;0,Q727=0),"Lapsed - Follow Up","")</f>
        <v>Lapsed - Follow Up</v>
      </c>
      <c r="V727" s="9" t="n">
        <f aca="false">RANK(R727,$R$2:$R$759)+COUNTIF($R$2:R727,R727)-1</f>
        <v>555</v>
      </c>
      <c r="W727" s="9" t="n">
        <f aca="false">IF(U727="Lapsed - Follow Up",COUNTIF($U$2:U727,"Lapsed - Follow Up"),"")</f>
        <v>97</v>
      </c>
    </row>
    <row r="728" customFormat="false" ht="15" hidden="false" customHeight="true" outlineLevel="0" collapsed="false">
      <c r="A728" s="9" t="str">
        <f aca="false">Raw_Donors!A728</f>
        <v>D1726</v>
      </c>
      <c r="B728" s="9" t="str">
        <f aca="false">IF(ISNUMBER(SEARCH("-DUP",A728)),"Duplicate ID","")</f>
        <v/>
      </c>
      <c r="C728" s="9" t="n">
        <f aca="false">Raw_Donors!B728</f>
        <v>55175</v>
      </c>
      <c r="D728" s="9" t="n">
        <f aca="false">Raw_Donors!C728</f>
        <v>0</v>
      </c>
      <c r="E728" s="9" t="str">
        <f aca="false">IFERROR(IF(Raw_Donors!D728="","Unknown",Raw_Donors!D728),"Unknown")</f>
        <v>Married</v>
      </c>
      <c r="F728" s="9" t="str">
        <f aca="false">IFERROR(IF(Raw_Donors!E728="","Unknown",Raw_Donors!E728),"Unknown")</f>
        <v>Male</v>
      </c>
      <c r="G728" s="9" t="str">
        <f aca="false">PROPER(TRIM(Raw_Donors!F728))</f>
        <v>Individual Donor</v>
      </c>
      <c r="H728" s="9" t="str">
        <f aca="false">IFERROR(IF(Raw_Donors!G728="","N",Raw_Donors!G728),"N")</f>
        <v>N</v>
      </c>
      <c r="I728" s="9" t="str">
        <f aca="false">IF(Raw_Donors!H728="","Not Rated",Raw_Donors!H728)</f>
        <v>Not Rated</v>
      </c>
      <c r="J728" s="9" t="str">
        <f aca="false">IF(TRIM(Raw_Donors!I728)="","Unknown",TRIM(Raw_Donors!I728))</f>
        <v>HOME</v>
      </c>
      <c r="K728" s="9" t="str">
        <f aca="false">Raw_Donors!J728</f>
        <v>N</v>
      </c>
      <c r="L728" s="9" t="n">
        <f aca="false">Raw_Donors!K728</f>
        <v>1</v>
      </c>
      <c r="M728" s="10" t="n">
        <f aca="false">IFERROR(VALUE(SUBSTITUTE(SUBSTITUTE(Raw_Donors!L728,"$",""),",","")),0)</f>
        <v>0</v>
      </c>
      <c r="N728" s="10" t="n">
        <f aca="false">IFERROR(VALUE(SUBSTITUTE(SUBSTITUTE(Raw_Donors!M728,"$",""),",","")),0)</f>
        <v>0</v>
      </c>
      <c r="O728" s="10" t="n">
        <f aca="false">IFERROR(VALUE(SUBSTITUTE(SUBSTITUTE(Raw_Donors!N728,"$",""),",","")),0)</f>
        <v>0</v>
      </c>
      <c r="P728" s="10" t="n">
        <f aca="false">IFERROR(VALUE(SUBSTITUTE(SUBSTITUTE(Raw_Donors!O728,"$",""),",","")),0)</f>
        <v>0</v>
      </c>
      <c r="Q728" s="10" t="n">
        <f aca="false">IFERROR(VALUE(SUBSTITUTE(SUBSTITUTE(Raw_Donors!P728,"$",""),",","")),0)</f>
        <v>0</v>
      </c>
      <c r="R728" s="10" t="n">
        <f aca="false">Raw_Donors!Q728</f>
        <v>100</v>
      </c>
      <c r="S728" s="9" t="str">
        <f aca="false">Raw_Donors!R728</f>
        <v>Y</v>
      </c>
      <c r="T728" s="9" t="str">
        <f aca="false">IF(Raw_Donors!S728="","",Raw_Donors!S728)</f>
        <v/>
      </c>
      <c r="U728" s="9" t="str">
        <f aca="false">IF(AND((O728+P728)&gt;0,Q728=0),"Lapsed - Follow Up","")</f>
        <v/>
      </c>
      <c r="V728" s="9" t="n">
        <f aca="false">RANK(R728,$R$2:$R$759)+COUNTIF($R$2:R728,R728)-1</f>
        <v>307</v>
      </c>
      <c r="W728" s="9" t="str">
        <f aca="false">IF(U728="Lapsed - Follow Up",COUNTIF($U$2:U728,"Lapsed - Follow Up"),"")</f>
        <v/>
      </c>
    </row>
    <row r="729" customFormat="false" ht="15" hidden="false" customHeight="true" outlineLevel="0" collapsed="false">
      <c r="A729" s="9" t="str">
        <f aca="false">Raw_Donors!A729</f>
        <v>D1727</v>
      </c>
      <c r="B729" s="9" t="str">
        <f aca="false">IF(ISNUMBER(SEARCH("-DUP",A729)),"Duplicate ID","")</f>
        <v/>
      </c>
      <c r="C729" s="9" t="n">
        <f aca="false">Raw_Donors!B729</f>
        <v>53108</v>
      </c>
      <c r="D729" s="9" t="n">
        <f aca="false">Raw_Donors!C729</f>
        <v>0</v>
      </c>
      <c r="E729" s="9" t="str">
        <f aca="false">IFERROR(IF(Raw_Donors!D729="","Unknown",Raw_Donors!D729),"Unknown")</f>
        <v>Unknown</v>
      </c>
      <c r="F729" s="9" t="str">
        <f aca="false">IFERROR(IF(Raw_Donors!E729="","Unknown",Raw_Donors!E729),"Unknown")</f>
        <v>Male</v>
      </c>
      <c r="G729" s="9" t="str">
        <f aca="false">PROPER(TRIM(Raw_Donors!F729))</f>
        <v>Individual Donor</v>
      </c>
      <c r="H729" s="9" t="str">
        <f aca="false">IFERROR(IF(Raw_Donors!G729="","N",Raw_Donors!G729),"N")</f>
        <v>N</v>
      </c>
      <c r="I729" s="9" t="str">
        <f aca="false">IF(Raw_Donors!H729="","Not Rated",Raw_Donors!H729)</f>
        <v>Not Rated</v>
      </c>
      <c r="J729" s="9" t="str">
        <f aca="false">IF(TRIM(Raw_Donors!I729)="","Unknown",TRIM(Raw_Donors!I729))</f>
        <v>HOME</v>
      </c>
      <c r="K729" s="9" t="str">
        <f aca="false">Raw_Donors!J729</f>
        <v>N</v>
      </c>
      <c r="L729" s="9" t="n">
        <f aca="false">Raw_Donors!K729</f>
        <v>1</v>
      </c>
      <c r="M729" s="10" t="n">
        <f aca="false">IFERROR(VALUE(SUBSTITUTE(SUBSTITUTE(Raw_Donors!L729,"$",""),",","")),0)</f>
        <v>0</v>
      </c>
      <c r="N729" s="10" t="n">
        <f aca="false">IFERROR(VALUE(SUBSTITUTE(SUBSTITUTE(Raw_Donors!M729,"$",""),",","")),0)</f>
        <v>0</v>
      </c>
      <c r="O729" s="10" t="n">
        <f aca="false">IFERROR(VALUE(SUBSTITUTE(SUBSTITUTE(Raw_Donors!N729,"$",""),",","")),0)</f>
        <v>0</v>
      </c>
      <c r="P729" s="10" t="n">
        <f aca="false">IFERROR(VALUE(SUBSTITUTE(SUBSTITUTE(Raw_Donors!O729,"$",""),",","")),0)</f>
        <v>26</v>
      </c>
      <c r="Q729" s="10" t="n">
        <f aca="false">IFERROR(VALUE(SUBSTITUTE(SUBSTITUTE(Raw_Donors!P729,"$",""),",","")),0)</f>
        <v>0</v>
      </c>
      <c r="R729" s="10" t="n">
        <f aca="false">Raw_Donors!Q729</f>
        <v>26</v>
      </c>
      <c r="S729" s="9" t="str">
        <f aca="false">Raw_Donors!R729</f>
        <v>Y</v>
      </c>
      <c r="T729" s="9" t="str">
        <f aca="false">IF(Raw_Donors!S729="","",Raw_Donors!S729)</f>
        <v/>
      </c>
      <c r="U729" s="9" t="str">
        <f aca="false">IF(AND((O729+P729)&gt;0,Q729=0),"Lapsed - Follow Up","")</f>
        <v>Lapsed - Follow Up</v>
      </c>
      <c r="V729" s="9" t="n">
        <f aca="false">RANK(R729,$R$2:$R$759)+COUNTIF($R$2:R729,R729)-1</f>
        <v>425</v>
      </c>
      <c r="W729" s="9" t="n">
        <f aca="false">IF(U729="Lapsed - Follow Up",COUNTIF($U$2:U729,"Lapsed - Follow Up"),"")</f>
        <v>98</v>
      </c>
    </row>
    <row r="730" customFormat="false" ht="15" hidden="false" customHeight="true" outlineLevel="0" collapsed="false">
      <c r="A730" s="9" t="str">
        <f aca="false">Raw_Donors!A730</f>
        <v>D1728</v>
      </c>
      <c r="B730" s="9" t="str">
        <f aca="false">IF(ISNUMBER(SEARCH("-DUP",A730)),"Duplicate ID","")</f>
        <v/>
      </c>
      <c r="C730" s="9" t="n">
        <f aca="false">Raw_Donors!B730</f>
        <v>92728</v>
      </c>
      <c r="D730" s="9" t="n">
        <f aca="false">Raw_Donors!C730</f>
        <v>46</v>
      </c>
      <c r="E730" s="9" t="str">
        <f aca="false">IFERROR(IF(Raw_Donors!D730="","Unknown",Raw_Donors!D730),"Unknown")</f>
        <v>Unknown</v>
      </c>
      <c r="F730" s="9" t="str">
        <f aca="false">IFERROR(IF(Raw_Donors!E730="","Unknown",Raw_Donors!E730),"Unknown")</f>
        <v>Female</v>
      </c>
      <c r="G730" s="9" t="str">
        <f aca="false">PROPER(TRIM(Raw_Donors!F730))</f>
        <v>Individual Donor</v>
      </c>
      <c r="H730" s="9" t="str">
        <f aca="false">IFERROR(IF(Raw_Donors!G730="","N",Raw_Donors!G730),"N")</f>
        <v>N</v>
      </c>
      <c r="I730" s="9" t="str">
        <f aca="false">IF(Raw_Donors!H730="","Not Rated",Raw_Donors!H730)</f>
        <v>Not Rated</v>
      </c>
      <c r="J730" s="9" t="str">
        <f aca="false">IF(TRIM(Raw_Donors!I730)="","Unknown",TRIM(Raw_Donors!I730))</f>
        <v>HOME</v>
      </c>
      <c r="K730" s="9" t="str">
        <f aca="false">Raw_Donors!J730</f>
        <v>N</v>
      </c>
      <c r="L730" s="9" t="n">
        <f aca="false">Raw_Donors!K730</f>
        <v>0</v>
      </c>
      <c r="M730" s="10" t="n">
        <f aca="false">IFERROR(VALUE(SUBSTITUTE(SUBSTITUTE(Raw_Donors!L730,"$",""),",","")),0)</f>
        <v>0</v>
      </c>
      <c r="N730" s="10" t="n">
        <f aca="false">IFERROR(VALUE(SUBSTITUTE(SUBSTITUTE(Raw_Donors!M730,"$",""),",","")),0)</f>
        <v>0</v>
      </c>
      <c r="O730" s="10" t="n">
        <f aca="false">IFERROR(VALUE(SUBSTITUTE(SUBSTITUTE(Raw_Donors!N730,"$",""),",","")),0)</f>
        <v>0</v>
      </c>
      <c r="P730" s="10" t="n">
        <f aca="false">IFERROR(VALUE(SUBSTITUTE(SUBSTITUTE(Raw_Donors!O730,"$",""),",","")),0)</f>
        <v>0</v>
      </c>
      <c r="Q730" s="10" t="n">
        <f aca="false">IFERROR(VALUE(SUBSTITUTE(SUBSTITUTE(Raw_Donors!P730,"$",""),",","")),0)</f>
        <v>0</v>
      </c>
      <c r="R730" s="10" t="n">
        <f aca="false">Raw_Donors!Q730</f>
        <v>0</v>
      </c>
      <c r="S730" s="9" t="str">
        <f aca="false">Raw_Donors!R730</f>
        <v>N</v>
      </c>
      <c r="T730" s="9" t="str">
        <f aca="false">IF(Raw_Donors!S730="","",Raw_Donors!S730)</f>
        <v>1971-12-16</v>
      </c>
      <c r="U730" s="9" t="str">
        <f aca="false">IF(AND((O730+P730)&gt;0,Q730=0),"Lapsed - Follow Up","")</f>
        <v/>
      </c>
      <c r="V730" s="9" t="n">
        <f aca="false">RANK(R730,$R$2:$R$759)+COUNTIF($R$2:R730,R730)-1</f>
        <v>751</v>
      </c>
      <c r="W730" s="9" t="str">
        <f aca="false">IF(U730="Lapsed - Follow Up",COUNTIF($U$2:U730,"Lapsed - Follow Up"),"")</f>
        <v/>
      </c>
    </row>
    <row r="731" customFormat="false" ht="15" hidden="false" customHeight="true" outlineLevel="0" collapsed="false">
      <c r="A731" s="9" t="str">
        <f aca="false">Raw_Donors!A731</f>
        <v>D1729</v>
      </c>
      <c r="B731" s="9" t="str">
        <f aca="false">IF(ISNUMBER(SEARCH("-DUP",A731)),"Duplicate ID","")</f>
        <v/>
      </c>
      <c r="C731" s="9" t="n">
        <f aca="false">Raw_Donors!B731</f>
        <v>90265</v>
      </c>
      <c r="D731" s="9" t="n">
        <f aca="false">Raw_Donors!C731</f>
        <v>45</v>
      </c>
      <c r="E731" s="9" t="str">
        <f aca="false">IFERROR(IF(Raw_Donors!D731="","Unknown",Raw_Donors!D731),"Unknown")</f>
        <v>Unknown</v>
      </c>
      <c r="F731" s="9" t="str">
        <f aca="false">IFERROR(IF(Raw_Donors!E731="","Unknown",Raw_Donors!E731),"Unknown")</f>
        <v>Female</v>
      </c>
      <c r="G731" s="9" t="str">
        <f aca="false">PROPER(TRIM(Raw_Donors!F731))</f>
        <v>Individual Donor</v>
      </c>
      <c r="H731" s="9" t="str">
        <f aca="false">IFERROR(IF(Raw_Donors!G731="","N",Raw_Donors!G731),"N")</f>
        <v>N</v>
      </c>
      <c r="I731" s="9" t="str">
        <f aca="false">IF(Raw_Donors!H731="","Not Rated",Raw_Donors!H731)</f>
        <v>Not Rated</v>
      </c>
      <c r="J731" s="9" t="str">
        <f aca="false">IF(TRIM(Raw_Donors!I731)="","Unknown",TRIM(Raw_Donors!I731))</f>
        <v>HOME</v>
      </c>
      <c r="K731" s="9" t="str">
        <f aca="false">Raw_Donors!J731</f>
        <v>N</v>
      </c>
      <c r="L731" s="9" t="n">
        <f aca="false">Raw_Donors!K731</f>
        <v>0</v>
      </c>
      <c r="M731" s="10" t="n">
        <f aca="false">IFERROR(VALUE(SUBSTITUTE(SUBSTITUTE(Raw_Donors!L731,"$",""),",","")),0)</f>
        <v>0</v>
      </c>
      <c r="N731" s="10" t="n">
        <f aca="false">IFERROR(VALUE(SUBSTITUTE(SUBSTITUTE(Raw_Donors!M731,"$",""),",","")),0)</f>
        <v>0</v>
      </c>
      <c r="O731" s="10" t="n">
        <f aca="false">IFERROR(VALUE(SUBSTITUTE(SUBSTITUTE(Raw_Donors!N731,"$",""),",","")),0)</f>
        <v>0</v>
      </c>
      <c r="P731" s="10" t="n">
        <f aca="false">IFERROR(VALUE(SUBSTITUTE(SUBSTITUTE(Raw_Donors!O731,"$",""),",","")),0)</f>
        <v>0</v>
      </c>
      <c r="Q731" s="10" t="n">
        <f aca="false">IFERROR(VALUE(SUBSTITUTE(SUBSTITUTE(Raw_Donors!P731,"$",""),",","")),0)</f>
        <v>0</v>
      </c>
      <c r="R731" s="10" t="n">
        <f aca="false">Raw_Donors!Q731</f>
        <v>0</v>
      </c>
      <c r="S731" s="9" t="str">
        <f aca="false">Raw_Donors!R731</f>
        <v>N</v>
      </c>
      <c r="T731" s="9" t="str">
        <f aca="false">IF(Raw_Donors!S731="","",Raw_Donors!S731)</f>
        <v>1972-08-09</v>
      </c>
      <c r="U731" s="9" t="str">
        <f aca="false">IF(AND((O731+P731)&gt;0,Q731=0),"Lapsed - Follow Up","")</f>
        <v/>
      </c>
      <c r="V731" s="9" t="n">
        <f aca="false">RANK(R731,$R$2:$R$759)+COUNTIF($R$2:R731,R731)-1</f>
        <v>752</v>
      </c>
      <c r="W731" s="9" t="str">
        <f aca="false">IF(U731="Lapsed - Follow Up",COUNTIF($U$2:U731,"Lapsed - Follow Up"),"")</f>
        <v/>
      </c>
    </row>
    <row r="732" customFormat="false" ht="15" hidden="false" customHeight="true" outlineLevel="0" collapsed="false">
      <c r="A732" s="9" t="str">
        <f aca="false">Raw_Donors!A732</f>
        <v>D1730</v>
      </c>
      <c r="B732" s="9" t="str">
        <f aca="false">IF(ISNUMBER(SEARCH("-DUP",A732)),"Duplicate ID","")</f>
        <v/>
      </c>
      <c r="C732" s="9" t="n">
        <f aca="false">Raw_Donors!B732</f>
        <v>63764</v>
      </c>
      <c r="D732" s="9" t="n">
        <f aca="false">Raw_Donors!C732</f>
        <v>0</v>
      </c>
      <c r="E732" s="9" t="str">
        <f aca="false">IFERROR(IF(Raw_Donors!D732="","Unknown",Raw_Donors!D732),"Unknown")</f>
        <v>Unknown</v>
      </c>
      <c r="F732" s="9" t="str">
        <f aca="false">IFERROR(IF(Raw_Donors!E732="","Unknown",Raw_Donors!E732),"Unknown")</f>
        <v>Female</v>
      </c>
      <c r="G732" s="9" t="str">
        <f aca="false">PROPER(TRIM(Raw_Donors!F732))</f>
        <v>Individual Donor</v>
      </c>
      <c r="H732" s="9" t="str">
        <f aca="false">IFERROR(IF(Raw_Donors!G732="","N",Raw_Donors!G732),"N")</f>
        <v>N</v>
      </c>
      <c r="I732" s="9" t="str">
        <f aca="false">IF(Raw_Donors!H732="","Not Rated",Raw_Donors!H732)</f>
        <v>Not Rated</v>
      </c>
      <c r="J732" s="9" t="str">
        <f aca="false">IF(TRIM(Raw_Donors!I732)="","Unknown",TRIM(Raw_Donors!I732))</f>
        <v>HOME</v>
      </c>
      <c r="K732" s="9" t="str">
        <f aca="false">Raw_Donors!J732</f>
        <v>N</v>
      </c>
      <c r="L732" s="9" t="n">
        <f aca="false">Raw_Donors!K732</f>
        <v>8</v>
      </c>
      <c r="M732" s="10" t="n">
        <f aca="false">IFERROR(VALUE(SUBSTITUTE(SUBSTITUTE(Raw_Donors!L732,"$",""),",","")),0)</f>
        <v>0</v>
      </c>
      <c r="N732" s="10" t="n">
        <f aca="false">IFERROR(VALUE(SUBSTITUTE(SUBSTITUTE(Raw_Donors!M732,"$",""),",","")),0)</f>
        <v>0</v>
      </c>
      <c r="O732" s="10" t="n">
        <f aca="false">IFERROR(VALUE(SUBSTITUTE(SUBSTITUTE(Raw_Donors!N732,"$",""),",","")),0)</f>
        <v>0</v>
      </c>
      <c r="P732" s="10" t="n">
        <f aca="false">IFERROR(VALUE(SUBSTITUTE(SUBSTITUTE(Raw_Donors!O732,"$",""),",","")),0)</f>
        <v>0</v>
      </c>
      <c r="Q732" s="10" t="n">
        <f aca="false">IFERROR(VALUE(SUBSTITUTE(SUBSTITUTE(Raw_Donors!P732,"$",""),",","")),0)</f>
        <v>0</v>
      </c>
      <c r="R732" s="10" t="n">
        <f aca="false">Raw_Donors!Q732</f>
        <v>3635</v>
      </c>
      <c r="S732" s="9" t="str">
        <f aca="false">Raw_Donors!R732</f>
        <v>Y</v>
      </c>
      <c r="T732" s="9" t="str">
        <f aca="false">IF(Raw_Donors!S732="","",Raw_Donors!S732)</f>
        <v/>
      </c>
      <c r="U732" s="9" t="str">
        <f aca="false">IF(AND((O732+P732)&gt;0,Q732=0),"Lapsed - Follow Up","")</f>
        <v/>
      </c>
      <c r="V732" s="9" t="n">
        <f aca="false">RANK(R732,$R$2:$R$759)+COUNTIF($R$2:R732,R732)-1</f>
        <v>18</v>
      </c>
      <c r="W732" s="9" t="str">
        <f aca="false">IF(U732="Lapsed - Follow Up",COUNTIF($U$2:U732,"Lapsed - Follow Up"),"")</f>
        <v/>
      </c>
    </row>
    <row r="733" customFormat="false" ht="15" hidden="false" customHeight="true" outlineLevel="0" collapsed="false">
      <c r="A733" s="9" t="str">
        <f aca="false">Raw_Donors!A733</f>
        <v>D1731</v>
      </c>
      <c r="B733" s="9" t="str">
        <f aca="false">IF(ISNUMBER(SEARCH("-DUP",A733)),"Duplicate ID","")</f>
        <v/>
      </c>
      <c r="C733" s="9" t="n">
        <f aca="false">Raw_Donors!B733</f>
        <v>90265</v>
      </c>
      <c r="D733" s="9" t="n">
        <f aca="false">Raw_Donors!C733</f>
        <v>0</v>
      </c>
      <c r="E733" s="9" t="str">
        <f aca="false">IFERROR(IF(Raw_Donors!D733="","Unknown",Raw_Donors!D733),"Unknown")</f>
        <v>Single</v>
      </c>
      <c r="F733" s="9" t="str">
        <f aca="false">IFERROR(IF(Raw_Donors!E733="","Unknown",Raw_Donors!E733),"Unknown")</f>
        <v>Female</v>
      </c>
      <c r="G733" s="9" t="str">
        <f aca="false">PROPER(TRIM(Raw_Donors!F733))</f>
        <v>Individual Donor</v>
      </c>
      <c r="H733" s="9" t="str">
        <f aca="false">IFERROR(IF(Raw_Donors!G733="","N",Raw_Donors!G733),"N")</f>
        <v>N</v>
      </c>
      <c r="I733" s="9" t="str">
        <f aca="false">IF(Raw_Donors!H733="","Not Rated",Raw_Donors!H733)</f>
        <v>Not Rated</v>
      </c>
      <c r="J733" s="9" t="str">
        <f aca="false">IF(TRIM(Raw_Donors!I733)="","Unknown",TRIM(Raw_Donors!I733))</f>
        <v>HOME</v>
      </c>
      <c r="K733" s="9" t="str">
        <f aca="false">Raw_Donors!J733</f>
        <v>N</v>
      </c>
      <c r="L733" s="9" t="n">
        <f aca="false">Raw_Donors!K733</f>
        <v>0</v>
      </c>
      <c r="M733" s="10" t="n">
        <f aca="false">IFERROR(VALUE(SUBSTITUTE(SUBSTITUTE(Raw_Donors!L733,"$",""),",","")),0)</f>
        <v>0</v>
      </c>
      <c r="N733" s="10" t="n">
        <f aca="false">IFERROR(VALUE(SUBSTITUTE(SUBSTITUTE(Raw_Donors!M733,"$",""),",","")),0)</f>
        <v>0</v>
      </c>
      <c r="O733" s="10" t="n">
        <f aca="false">IFERROR(VALUE(SUBSTITUTE(SUBSTITUTE(Raw_Donors!N733,"$",""),",","")),0)</f>
        <v>0</v>
      </c>
      <c r="P733" s="10" t="n">
        <f aca="false">IFERROR(VALUE(SUBSTITUTE(SUBSTITUTE(Raw_Donors!O733,"$",""),",","")),0)</f>
        <v>0</v>
      </c>
      <c r="Q733" s="10" t="n">
        <f aca="false">IFERROR(VALUE(SUBSTITUTE(SUBSTITUTE(Raw_Donors!P733,"$",""),",","")),0)</f>
        <v>0</v>
      </c>
      <c r="R733" s="10" t="n">
        <f aca="false">Raw_Donors!Q733</f>
        <v>0</v>
      </c>
      <c r="S733" s="9" t="str">
        <f aca="false">Raw_Donors!R733</f>
        <v>N</v>
      </c>
      <c r="T733" s="9" t="str">
        <f aca="false">IF(Raw_Donors!S733="","",Raw_Donors!S733)</f>
        <v/>
      </c>
      <c r="U733" s="9" t="str">
        <f aca="false">IF(AND((O733+P733)&gt;0,Q733=0),"Lapsed - Follow Up","")</f>
        <v/>
      </c>
      <c r="V733" s="9" t="n">
        <f aca="false">RANK(R733,$R$2:$R$759)+COUNTIF($R$2:R733,R733)-1</f>
        <v>753</v>
      </c>
      <c r="W733" s="9" t="str">
        <f aca="false">IF(U733="Lapsed - Follow Up",COUNTIF($U$2:U733,"Lapsed - Follow Up"),"")</f>
        <v/>
      </c>
    </row>
    <row r="734" customFormat="false" ht="15" hidden="false" customHeight="true" outlineLevel="0" collapsed="false">
      <c r="A734" s="9" t="str">
        <f aca="false">Raw_Donors!A734</f>
        <v>D1732</v>
      </c>
      <c r="B734" s="9" t="str">
        <f aca="false">IF(ISNUMBER(SEARCH("-DUP",A734)),"Duplicate ID","")</f>
        <v/>
      </c>
      <c r="C734" s="9" t="n">
        <f aca="false">Raw_Donors!B734</f>
        <v>90265</v>
      </c>
      <c r="D734" s="9" t="n">
        <f aca="false">Raw_Donors!C734</f>
        <v>0</v>
      </c>
      <c r="E734" s="9" t="str">
        <f aca="false">IFERROR(IF(Raw_Donors!D734="","Unknown",Raw_Donors!D734),"Unknown")</f>
        <v>Unknown</v>
      </c>
      <c r="F734" s="9" t="str">
        <f aca="false">IFERROR(IF(Raw_Donors!E734="","Unknown",Raw_Donors!E734),"Unknown")</f>
        <v>Male</v>
      </c>
      <c r="G734" s="9" t="str">
        <f aca="false">PROPER(TRIM(Raw_Donors!F734))</f>
        <v>Individual Donor</v>
      </c>
      <c r="H734" s="9" t="str">
        <f aca="false">IFERROR(IF(Raw_Donors!G734="","N",Raw_Donors!G734),"N")</f>
        <v>N</v>
      </c>
      <c r="I734" s="9" t="str">
        <f aca="false">IF(Raw_Donors!H734="","Not Rated",Raw_Donors!H734)</f>
        <v>Not Rated</v>
      </c>
      <c r="J734" s="9" t="str">
        <f aca="false">IF(TRIM(Raw_Donors!I734)="","Unknown",TRIM(Raw_Donors!I734))</f>
        <v>HOME</v>
      </c>
      <c r="K734" s="9" t="str">
        <f aca="false">Raw_Donors!J734</f>
        <v>N</v>
      </c>
      <c r="L734" s="9" t="n">
        <f aca="false">Raw_Donors!K734</f>
        <v>1</v>
      </c>
      <c r="M734" s="10" t="n">
        <f aca="false">IFERROR(VALUE(SUBSTITUTE(SUBSTITUTE(Raw_Donors!L734,"$",""),",","")),0)</f>
        <v>0</v>
      </c>
      <c r="N734" s="10" t="n">
        <f aca="false">IFERROR(VALUE(SUBSTITUTE(SUBSTITUTE(Raw_Donors!M734,"$",""),",","")),0)</f>
        <v>0</v>
      </c>
      <c r="O734" s="10" t="n">
        <f aca="false">IFERROR(VALUE(SUBSTITUTE(SUBSTITUTE(Raw_Donors!N734,"$",""),",","")),0)</f>
        <v>0</v>
      </c>
      <c r="P734" s="10" t="n">
        <f aca="false">IFERROR(VALUE(SUBSTITUTE(SUBSTITUTE(Raw_Donors!O734,"$",""),",","")),0)</f>
        <v>0</v>
      </c>
      <c r="Q734" s="10" t="n">
        <f aca="false">IFERROR(VALUE(SUBSTITUTE(SUBSTITUTE(Raw_Donors!P734,"$",""),",","")),0)</f>
        <v>0</v>
      </c>
      <c r="R734" s="10" t="n">
        <f aca="false">Raw_Donors!Q734</f>
        <v>90</v>
      </c>
      <c r="S734" s="9" t="str">
        <f aca="false">Raw_Donors!R734</f>
        <v>Y</v>
      </c>
      <c r="T734" s="9" t="str">
        <f aca="false">IF(Raw_Donors!S734="","",Raw_Donors!S734)</f>
        <v/>
      </c>
      <c r="U734" s="9" t="str">
        <f aca="false">IF(AND((O734+P734)&gt;0,Q734=0),"Lapsed - Follow Up","")</f>
        <v/>
      </c>
      <c r="V734" s="9" t="n">
        <f aca="false">RANK(R734,$R$2:$R$759)+COUNTIF($R$2:R734,R734)-1</f>
        <v>315</v>
      </c>
      <c r="W734" s="9" t="str">
        <f aca="false">IF(U734="Lapsed - Follow Up",COUNTIF($U$2:U734,"Lapsed - Follow Up"),"")</f>
        <v/>
      </c>
    </row>
    <row r="735" customFormat="false" ht="15" hidden="false" customHeight="true" outlineLevel="0" collapsed="false">
      <c r="A735" s="9" t="str">
        <f aca="false">Raw_Donors!A735</f>
        <v>D1733</v>
      </c>
      <c r="B735" s="9" t="str">
        <f aca="false">IF(ISNUMBER(SEARCH("-DUP",A735)),"Duplicate ID","")</f>
        <v/>
      </c>
      <c r="C735" s="9" t="n">
        <f aca="false">Raw_Donors!B735</f>
        <v>86339</v>
      </c>
      <c r="D735" s="9" t="n">
        <f aca="false">Raw_Donors!C735</f>
        <v>57</v>
      </c>
      <c r="E735" s="9" t="str">
        <f aca="false">IFERROR(IF(Raw_Donors!D735="","Unknown",Raw_Donors!D735),"Unknown")</f>
        <v>Unknown</v>
      </c>
      <c r="F735" s="9" t="str">
        <f aca="false">IFERROR(IF(Raw_Donors!E735="","Unknown",Raw_Donors!E735),"Unknown")</f>
        <v>Female</v>
      </c>
      <c r="G735" s="9" t="str">
        <f aca="false">PROPER(TRIM(Raw_Donors!F735))</f>
        <v>Community Partner</v>
      </c>
      <c r="H735" s="9" t="str">
        <f aca="false">IFERROR(IF(Raw_Donors!G735="","N",Raw_Donors!G735),"N")</f>
        <v>Y</v>
      </c>
      <c r="I735" s="9" t="str">
        <f aca="false">IF(Raw_Donors!H735="","Not Rated",Raw_Donors!H735)</f>
        <v>Not Rated</v>
      </c>
      <c r="J735" s="9" t="str">
        <f aca="false">IF(TRIM(Raw_Donors!I735)="","Unknown",TRIM(Raw_Donors!I735))</f>
        <v>HOME</v>
      </c>
      <c r="K735" s="9" t="str">
        <f aca="false">Raw_Donors!J735</f>
        <v>Y</v>
      </c>
      <c r="L735" s="9" t="n">
        <f aca="false">Raw_Donors!K735</f>
        <v>0</v>
      </c>
      <c r="M735" s="10" t="n">
        <f aca="false">IFERROR(VALUE(SUBSTITUTE(SUBSTITUTE(Raw_Donors!L735,"$",""),",","")),0)</f>
        <v>0</v>
      </c>
      <c r="N735" s="10" t="n">
        <f aca="false">IFERROR(VALUE(SUBSTITUTE(SUBSTITUTE(Raw_Donors!M735,"$",""),",","")),0)</f>
        <v>0</v>
      </c>
      <c r="O735" s="10" t="n">
        <f aca="false">IFERROR(VALUE(SUBSTITUTE(SUBSTITUTE(Raw_Donors!N735,"$",""),",","")),0)</f>
        <v>0</v>
      </c>
      <c r="P735" s="10" t="n">
        <f aca="false">IFERROR(VALUE(SUBSTITUTE(SUBSTITUTE(Raw_Donors!O735,"$",""),",","")),0)</f>
        <v>0</v>
      </c>
      <c r="Q735" s="10" t="n">
        <f aca="false">IFERROR(VALUE(SUBSTITUTE(SUBSTITUTE(Raw_Donors!P735,"$",""),",","")),0)</f>
        <v>0</v>
      </c>
      <c r="R735" s="10" t="n">
        <f aca="false">Raw_Donors!Q735</f>
        <v>560</v>
      </c>
      <c r="S735" s="9" t="str">
        <f aca="false">Raw_Donors!R735</f>
        <v>Y</v>
      </c>
      <c r="T735" s="9" t="str">
        <f aca="false">IF(Raw_Donors!S735="","",Raw_Donors!S735)</f>
        <v>1960-09-26</v>
      </c>
      <c r="U735" s="9" t="str">
        <f aca="false">IF(AND((O735+P735)&gt;0,Q735=0),"Lapsed - Follow Up","")</f>
        <v/>
      </c>
      <c r="V735" s="9" t="n">
        <f aca="false">RANK(R735,$R$2:$R$759)+COUNTIF($R$2:R735,R735)-1</f>
        <v>82</v>
      </c>
      <c r="W735" s="9" t="str">
        <f aca="false">IF(U735="Lapsed - Follow Up",COUNTIF($U$2:U735,"Lapsed - Follow Up"),"")</f>
        <v/>
      </c>
    </row>
    <row r="736" customFormat="false" ht="15" hidden="false" customHeight="true" outlineLevel="0" collapsed="false">
      <c r="A736" s="9" t="str">
        <f aca="false">Raw_Donors!A736</f>
        <v>D1734</v>
      </c>
      <c r="B736" s="9" t="str">
        <f aca="false">IF(ISNUMBER(SEARCH("-DUP",A736)),"Duplicate ID","")</f>
        <v/>
      </c>
      <c r="C736" s="9" t="n">
        <f aca="false">Raw_Donors!B736</f>
        <v>9708</v>
      </c>
      <c r="D736" s="9" t="n">
        <f aca="false">Raw_Donors!C736</f>
        <v>0</v>
      </c>
      <c r="E736" s="9" t="str">
        <f aca="false">IFERROR(IF(Raw_Donors!D736="","Unknown",Raw_Donors!D736),"Unknown")</f>
        <v>Married</v>
      </c>
      <c r="F736" s="9" t="str">
        <f aca="false">IFERROR(IF(Raw_Donors!E736="","Unknown",Raw_Donors!E736),"Unknown")</f>
        <v>Female</v>
      </c>
      <c r="G736" s="9" t="str">
        <f aca="false">PROPER(TRIM(Raw_Donors!F736))</f>
        <v>Family Donor</v>
      </c>
      <c r="H736" s="9" t="str">
        <f aca="false">IFERROR(IF(Raw_Donors!G736="","N",Raw_Donors!G736),"N")</f>
        <v>Y</v>
      </c>
      <c r="I736" s="9" t="str">
        <f aca="false">IF(Raw_Donors!H736="","Not Rated",Raw_Donors!H736)</f>
        <v>Not Rated</v>
      </c>
      <c r="J736" s="9" t="str">
        <f aca="false">IF(TRIM(Raw_Donors!I736)="","Unknown",TRIM(Raw_Donors!I736))</f>
        <v>HOME</v>
      </c>
      <c r="K736" s="9" t="str">
        <f aca="false">Raw_Donors!J736</f>
        <v>Y</v>
      </c>
      <c r="L736" s="9" t="n">
        <f aca="false">Raw_Donors!K736</f>
        <v>0</v>
      </c>
      <c r="M736" s="10" t="n">
        <f aca="false">IFERROR(VALUE(SUBSTITUTE(SUBSTITUTE(Raw_Donors!L736,"$",""),",","")),0)</f>
        <v>0</v>
      </c>
      <c r="N736" s="10" t="n">
        <f aca="false">IFERROR(VALUE(SUBSTITUTE(SUBSTITUTE(Raw_Donors!M736,"$",""),",","")),0)</f>
        <v>0</v>
      </c>
      <c r="O736" s="10" t="n">
        <f aca="false">IFERROR(VALUE(SUBSTITUTE(SUBSTITUTE(Raw_Donors!N736,"$",""),",","")),0)</f>
        <v>0</v>
      </c>
      <c r="P736" s="10" t="n">
        <f aca="false">IFERROR(VALUE(SUBSTITUTE(SUBSTITUTE(Raw_Donors!O736,"$",""),",","")),0)</f>
        <v>0</v>
      </c>
      <c r="Q736" s="10" t="n">
        <f aca="false">IFERROR(VALUE(SUBSTITUTE(SUBSTITUTE(Raw_Donors!P736,"$",""),",","")),0)</f>
        <v>0</v>
      </c>
      <c r="R736" s="10" t="n">
        <f aca="false">Raw_Donors!Q736</f>
        <v>10</v>
      </c>
      <c r="S736" s="9" t="str">
        <f aca="false">Raw_Donors!R736</f>
        <v>Y</v>
      </c>
      <c r="T736" s="9" t="str">
        <f aca="false">IF(Raw_Donors!S736="","",Raw_Donors!S736)</f>
        <v/>
      </c>
      <c r="U736" s="9" t="str">
        <f aca="false">IF(AND((O736+P736)&gt;0,Q736=0),"Lapsed - Follow Up","")</f>
        <v/>
      </c>
      <c r="V736" s="9" t="n">
        <f aca="false">RANK(R736,$R$2:$R$759)+COUNTIF($R$2:R736,R736)-1</f>
        <v>508</v>
      </c>
      <c r="W736" s="9" t="str">
        <f aca="false">IF(U736="Lapsed - Follow Up",COUNTIF($U$2:U736,"Lapsed - Follow Up"),"")</f>
        <v/>
      </c>
    </row>
    <row r="737" customFormat="false" ht="15" hidden="false" customHeight="true" outlineLevel="0" collapsed="false">
      <c r="A737" s="9" t="str">
        <f aca="false">Raw_Donors!A737</f>
        <v>D1735</v>
      </c>
      <c r="B737" s="9" t="str">
        <f aca="false">IF(ISNUMBER(SEARCH("-DUP",A737)),"Duplicate ID","")</f>
        <v/>
      </c>
      <c r="C737" s="9" t="n">
        <f aca="false">Raw_Donors!B737</f>
        <v>98348</v>
      </c>
      <c r="D737" s="9" t="n">
        <f aca="false">Raw_Donors!C737</f>
        <v>50</v>
      </c>
      <c r="E737" s="9" t="str">
        <f aca="false">IFERROR(IF(Raw_Donors!D737="","Unknown",Raw_Donors!D737),"Unknown")</f>
        <v>Unknown</v>
      </c>
      <c r="F737" s="9" t="str">
        <f aca="false">IFERROR(IF(Raw_Donors!E737="","Unknown",Raw_Donors!E737),"Unknown")</f>
        <v>Female</v>
      </c>
      <c r="G737" s="9" t="str">
        <f aca="false">PROPER(TRIM(Raw_Donors!F737))</f>
        <v>Community Partner</v>
      </c>
      <c r="H737" s="9" t="str">
        <f aca="false">IFERROR(IF(Raw_Donors!G737="","N",Raw_Donors!G737),"N")</f>
        <v>Y</v>
      </c>
      <c r="I737" s="9" t="str">
        <f aca="false">IF(Raw_Donors!H737="","Not Rated",Raw_Donors!H737)</f>
        <v>Not Rated</v>
      </c>
      <c r="J737" s="9" t="str">
        <f aca="false">IF(TRIM(Raw_Donors!I737)="","Unknown",TRIM(Raw_Donors!I737))</f>
        <v>HOME</v>
      </c>
      <c r="K737" s="9" t="str">
        <f aca="false">Raw_Donors!J737</f>
        <v>Y</v>
      </c>
      <c r="L737" s="9" t="n">
        <f aca="false">Raw_Donors!K737</f>
        <v>3</v>
      </c>
      <c r="M737" s="10" t="n">
        <f aca="false">IFERROR(VALUE(SUBSTITUTE(SUBSTITUTE(Raw_Donors!L737,"$",""),",","")),0)</f>
        <v>75</v>
      </c>
      <c r="N737" s="10" t="n">
        <f aca="false">IFERROR(VALUE(SUBSTITUTE(SUBSTITUTE(Raw_Donors!M737,"$",""),",","")),0)</f>
        <v>0</v>
      </c>
      <c r="O737" s="10" t="n">
        <f aca="false">IFERROR(VALUE(SUBSTITUTE(SUBSTITUTE(Raw_Donors!N737,"$",""),",","")),0)</f>
        <v>0</v>
      </c>
      <c r="P737" s="10" t="n">
        <f aca="false">IFERROR(VALUE(SUBSTITUTE(SUBSTITUTE(Raw_Donors!O737,"$",""),",","")),0)</f>
        <v>0</v>
      </c>
      <c r="Q737" s="10" t="n">
        <f aca="false">IFERROR(VALUE(SUBSTITUTE(SUBSTITUTE(Raw_Donors!P737,"$",""),",","")),0)</f>
        <v>0</v>
      </c>
      <c r="R737" s="10" t="n">
        <f aca="false">Raw_Donors!Q737</f>
        <v>75</v>
      </c>
      <c r="S737" s="9" t="str">
        <f aca="false">Raw_Donors!R737</f>
        <v>Y</v>
      </c>
      <c r="T737" s="9" t="str">
        <f aca="false">IF(Raw_Donors!S737="","",Raw_Donors!S737)</f>
        <v>1967-03-03</v>
      </c>
      <c r="U737" s="9" t="str">
        <f aca="false">IF(AND((O737+P737)&gt;0,Q737=0),"Lapsed - Follow Up","")</f>
        <v/>
      </c>
      <c r="V737" s="9" t="n">
        <f aca="false">RANK(R737,$R$2:$R$759)+COUNTIF($R$2:R737,R737)-1</f>
        <v>338</v>
      </c>
      <c r="W737" s="9" t="str">
        <f aca="false">IF(U737="Lapsed - Follow Up",COUNTIF($U$2:U737,"Lapsed - Follow Up"),"")</f>
        <v/>
      </c>
    </row>
    <row r="738" customFormat="false" ht="15" hidden="false" customHeight="true" outlineLevel="0" collapsed="false">
      <c r="A738" s="9" t="str">
        <f aca="false">Raw_Donors!A738</f>
        <v>D1736</v>
      </c>
      <c r="B738" s="9" t="str">
        <f aca="false">IF(ISNUMBER(SEARCH("-DUP",A738)),"Duplicate ID","")</f>
        <v/>
      </c>
      <c r="C738" s="9" t="n">
        <f aca="false">Raw_Donors!B738</f>
        <v>24538</v>
      </c>
      <c r="D738" s="9" t="n">
        <f aca="false">Raw_Donors!C738</f>
        <v>26</v>
      </c>
      <c r="E738" s="9" t="str">
        <f aca="false">IFERROR(IF(Raw_Donors!D738="","Unknown",Raw_Donors!D738),"Unknown")</f>
        <v>Unknown</v>
      </c>
      <c r="F738" s="9" t="str">
        <f aca="false">IFERROR(IF(Raw_Donors!E738="","Unknown",Raw_Donors!E738),"Unknown")</f>
        <v>Unknown</v>
      </c>
      <c r="G738" s="9" t="str">
        <f aca="false">PROPER(TRIM(Raw_Donors!F738))</f>
        <v>Individual Donor</v>
      </c>
      <c r="H738" s="9" t="str">
        <f aca="false">IFERROR(IF(Raw_Donors!G738="","N",Raw_Donors!G738),"N")</f>
        <v>N</v>
      </c>
      <c r="I738" s="9" t="str">
        <f aca="false">IF(Raw_Donors!H738="","Not Rated",Raw_Donors!H738)</f>
        <v>Not Rated</v>
      </c>
      <c r="J738" s="9" t="str">
        <f aca="false">IF(TRIM(Raw_Donors!I738)="","Unknown",TRIM(Raw_Donors!I738))</f>
        <v>HOME</v>
      </c>
      <c r="K738" s="9" t="str">
        <f aca="false">Raw_Donors!J738</f>
        <v>N</v>
      </c>
      <c r="L738" s="9" t="n">
        <f aca="false">Raw_Donors!K738</f>
        <v>0</v>
      </c>
      <c r="M738" s="10" t="n">
        <f aca="false">IFERROR(VALUE(SUBSTITUTE(SUBSTITUTE(Raw_Donors!L738,"$",""),",","")),0)</f>
        <v>0</v>
      </c>
      <c r="N738" s="10" t="n">
        <f aca="false">IFERROR(VALUE(SUBSTITUTE(SUBSTITUTE(Raw_Donors!M738,"$",""),",","")),0)</f>
        <v>0</v>
      </c>
      <c r="O738" s="10" t="n">
        <f aca="false">IFERROR(VALUE(SUBSTITUTE(SUBSTITUTE(Raw_Donors!N738,"$",""),",","")),0)</f>
        <v>0</v>
      </c>
      <c r="P738" s="10" t="n">
        <f aca="false">IFERROR(VALUE(SUBSTITUTE(SUBSTITUTE(Raw_Donors!O738,"$",""),",","")),0)</f>
        <v>0</v>
      </c>
      <c r="Q738" s="10" t="n">
        <f aca="false">IFERROR(VALUE(SUBSTITUTE(SUBSTITUTE(Raw_Donors!P738,"$",""),",","")),0)</f>
        <v>0</v>
      </c>
      <c r="R738" s="10" t="n">
        <f aca="false">Raw_Donors!Q738</f>
        <v>100</v>
      </c>
      <c r="S738" s="9" t="str">
        <f aca="false">Raw_Donors!R738</f>
        <v>Y</v>
      </c>
      <c r="T738" s="9" t="str">
        <f aca="false">IF(Raw_Donors!S738="","",Raw_Donors!S738)</f>
        <v>1991-03-23</v>
      </c>
      <c r="U738" s="9" t="str">
        <f aca="false">IF(AND((O738+P738)&gt;0,Q738=0),"Lapsed - Follow Up","")</f>
        <v/>
      </c>
      <c r="V738" s="9" t="n">
        <f aca="false">RANK(R738,$R$2:$R$759)+COUNTIF($R$2:R738,R738)-1</f>
        <v>308</v>
      </c>
      <c r="W738" s="9" t="str">
        <f aca="false">IF(U738="Lapsed - Follow Up",COUNTIF($U$2:U738,"Lapsed - Follow Up"),"")</f>
        <v/>
      </c>
    </row>
    <row r="739" customFormat="false" ht="15" hidden="false" customHeight="true" outlineLevel="0" collapsed="false">
      <c r="A739" s="9" t="str">
        <f aca="false">Raw_Donors!A739</f>
        <v>D1737</v>
      </c>
      <c r="B739" s="9" t="str">
        <f aca="false">IF(ISNUMBER(SEARCH("-DUP",A739)),"Duplicate ID","")</f>
        <v/>
      </c>
      <c r="C739" s="9" t="n">
        <f aca="false">Raw_Donors!B739</f>
        <v>49024</v>
      </c>
      <c r="D739" s="9" t="n">
        <f aca="false">Raw_Donors!C739</f>
        <v>0</v>
      </c>
      <c r="E739" s="9" t="str">
        <f aca="false">IFERROR(IF(Raw_Donors!D739="","Unknown",Raw_Donors!D739),"Unknown")</f>
        <v>Unknown</v>
      </c>
      <c r="F739" s="9" t="str">
        <f aca="false">IFERROR(IF(Raw_Donors!E739="","Unknown",Raw_Donors!E739),"Unknown")</f>
        <v>Female</v>
      </c>
      <c r="G739" s="9" t="str">
        <f aca="false">PROPER(TRIM(Raw_Donors!F739))</f>
        <v>Individual Donor</v>
      </c>
      <c r="H739" s="9" t="str">
        <f aca="false">IFERROR(IF(Raw_Donors!G739="","N",Raw_Donors!G739),"N")</f>
        <v>Y</v>
      </c>
      <c r="I739" s="9" t="str">
        <f aca="false">IF(Raw_Donors!H739="","Not Rated",Raw_Donors!H739)</f>
        <v>Not Rated</v>
      </c>
      <c r="J739" s="9" t="str">
        <f aca="false">IF(TRIM(Raw_Donors!I739)="","Unknown",TRIM(Raw_Donors!I739))</f>
        <v>HOME</v>
      </c>
      <c r="K739" s="9" t="str">
        <f aca="false">Raw_Donors!J739</f>
        <v>N</v>
      </c>
      <c r="L739" s="9" t="n">
        <f aca="false">Raw_Donors!K739</f>
        <v>13</v>
      </c>
      <c r="M739" s="10" t="n">
        <f aca="false">IFERROR(VALUE(SUBSTITUTE(SUBSTITUTE(Raw_Donors!L739,"$",""),",","")),0)</f>
        <v>20</v>
      </c>
      <c r="N739" s="10" t="n">
        <f aca="false">IFERROR(VALUE(SUBSTITUTE(SUBSTITUTE(Raw_Donors!M739,"$",""),",","")),0)</f>
        <v>0</v>
      </c>
      <c r="O739" s="10" t="n">
        <f aca="false">IFERROR(VALUE(SUBSTITUTE(SUBSTITUTE(Raw_Donors!N739,"$",""),",","")),0)</f>
        <v>0</v>
      </c>
      <c r="P739" s="10" t="n">
        <f aca="false">IFERROR(VALUE(SUBSTITUTE(SUBSTITUTE(Raw_Donors!O739,"$",""),",","")),0)</f>
        <v>0</v>
      </c>
      <c r="Q739" s="10" t="n">
        <f aca="false">IFERROR(VALUE(SUBSTITUTE(SUBSTITUTE(Raw_Donors!P739,"$",""),",","")),0)</f>
        <v>0</v>
      </c>
      <c r="R739" s="10" t="n">
        <f aca="false">Raw_Donors!Q739</f>
        <v>1232</v>
      </c>
      <c r="S739" s="9" t="str">
        <f aca="false">Raw_Donors!R739</f>
        <v>Y</v>
      </c>
      <c r="T739" s="9" t="str">
        <f aca="false">IF(Raw_Donors!S739="","",Raw_Donors!S739)</f>
        <v/>
      </c>
      <c r="U739" s="9" t="str">
        <f aca="false">IF(AND((O739+P739)&gt;0,Q739=0),"Lapsed - Follow Up","")</f>
        <v/>
      </c>
      <c r="V739" s="9" t="n">
        <f aca="false">RANK(R739,$R$2:$R$759)+COUNTIF($R$2:R739,R739)-1</f>
        <v>46</v>
      </c>
      <c r="W739" s="9" t="str">
        <f aca="false">IF(U739="Lapsed - Follow Up",COUNTIF($U$2:U739,"Lapsed - Follow Up"),"")</f>
        <v/>
      </c>
    </row>
    <row r="740" customFormat="false" ht="15" hidden="false" customHeight="true" outlineLevel="0" collapsed="false">
      <c r="A740" s="9" t="str">
        <f aca="false">Raw_Donors!A740</f>
        <v>D1738</v>
      </c>
      <c r="B740" s="9" t="str">
        <f aca="false">IF(ISNUMBER(SEARCH("-DUP",A740)),"Duplicate ID","")</f>
        <v/>
      </c>
      <c r="C740" s="9" t="n">
        <f aca="false">Raw_Donors!B740</f>
        <v>44634</v>
      </c>
      <c r="D740" s="9" t="n">
        <f aca="false">Raw_Donors!C740</f>
        <v>0</v>
      </c>
      <c r="E740" s="9" t="str">
        <f aca="false">IFERROR(IF(Raw_Donors!D740="","Unknown",Raw_Donors!D740),"Unknown")</f>
        <v>Unknown</v>
      </c>
      <c r="F740" s="9" t="str">
        <f aca="false">IFERROR(IF(Raw_Donors!E740="","Unknown",Raw_Donors!E740),"Unknown")</f>
        <v>Female</v>
      </c>
      <c r="G740" s="9" t="str">
        <f aca="false">PROPER(TRIM(Raw_Donors!F740))</f>
        <v>Community Partner</v>
      </c>
      <c r="H740" s="9" t="str">
        <f aca="false">IFERROR(IF(Raw_Donors!G740="","N",Raw_Donors!G740),"N")</f>
        <v>N</v>
      </c>
      <c r="I740" s="9" t="str">
        <f aca="false">IF(Raw_Donors!H740="","Not Rated",Raw_Donors!H740)</f>
        <v>$250,000-$499,999</v>
      </c>
      <c r="J740" s="9" t="str">
        <f aca="false">IF(TRIM(Raw_Donors!I740)="","Unknown",TRIM(Raw_Donors!I740))</f>
        <v>HOME</v>
      </c>
      <c r="K740" s="9" t="str">
        <f aca="false">Raw_Donors!J740</f>
        <v>N</v>
      </c>
      <c r="L740" s="9" t="n">
        <f aca="false">Raw_Donors!K740</f>
        <v>0</v>
      </c>
      <c r="M740" s="10" t="n">
        <f aca="false">IFERROR(VALUE(SUBSTITUTE(SUBSTITUTE(Raw_Donors!L740,"$",""),",","")),0)</f>
        <v>0</v>
      </c>
      <c r="N740" s="10" t="n">
        <f aca="false">IFERROR(VALUE(SUBSTITUTE(SUBSTITUTE(Raw_Donors!M740,"$",""),",","")),0)</f>
        <v>0</v>
      </c>
      <c r="O740" s="10" t="n">
        <f aca="false">IFERROR(VALUE(SUBSTITUTE(SUBSTITUTE(Raw_Donors!N740,"$",""),",","")),0)</f>
        <v>0</v>
      </c>
      <c r="P740" s="10" t="n">
        <f aca="false">IFERROR(VALUE(SUBSTITUTE(SUBSTITUTE(Raw_Donors!O740,"$",""),",","")),0)</f>
        <v>0</v>
      </c>
      <c r="Q740" s="10" t="n">
        <f aca="false">IFERROR(VALUE(SUBSTITUTE(SUBSTITUTE(Raw_Donors!P740,"$",""),",","")),0)</f>
        <v>0</v>
      </c>
      <c r="R740" s="10" t="n">
        <f aca="false">Raw_Donors!Q740</f>
        <v>500</v>
      </c>
      <c r="S740" s="9" t="str">
        <f aca="false">Raw_Donors!R740</f>
        <v>Y</v>
      </c>
      <c r="T740" s="9" t="str">
        <f aca="false">IF(Raw_Donors!S740="","",Raw_Donors!S740)</f>
        <v/>
      </c>
      <c r="U740" s="9" t="str">
        <f aca="false">IF(AND((O740+P740)&gt;0,Q740=0),"Lapsed - Follow Up","")</f>
        <v/>
      </c>
      <c r="V740" s="9" t="n">
        <f aca="false">RANK(R740,$R$2:$R$759)+COUNTIF($R$2:R740,R740)-1</f>
        <v>96</v>
      </c>
      <c r="W740" s="9" t="str">
        <f aca="false">IF(U740="Lapsed - Follow Up",COUNTIF($U$2:U740,"Lapsed - Follow Up"),"")</f>
        <v/>
      </c>
    </row>
    <row r="741" customFormat="false" ht="15" hidden="false" customHeight="true" outlineLevel="0" collapsed="false">
      <c r="A741" s="9" t="str">
        <f aca="false">Raw_Donors!A741</f>
        <v>D1739</v>
      </c>
      <c r="B741" s="9" t="str">
        <f aca="false">IF(ISNUMBER(SEARCH("-DUP",A741)),"Duplicate ID","")</f>
        <v/>
      </c>
      <c r="C741" s="9" t="n">
        <f aca="false">Raw_Donors!B741</f>
        <v>90265</v>
      </c>
      <c r="D741" s="9" t="n">
        <f aca="false">Raw_Donors!C741</f>
        <v>0</v>
      </c>
      <c r="E741" s="9" t="str">
        <f aca="false">IFERROR(IF(Raw_Donors!D741="","Unknown",Raw_Donors!D741),"Unknown")</f>
        <v>Married</v>
      </c>
      <c r="F741" s="9" t="str">
        <f aca="false">IFERROR(IF(Raw_Donors!E741="","Unknown",Raw_Donors!E741),"Unknown")</f>
        <v>Female</v>
      </c>
      <c r="G741" s="9" t="str">
        <f aca="false">PROPER(TRIM(Raw_Donors!F741))</f>
        <v>Family Donor</v>
      </c>
      <c r="H741" s="9" t="str">
        <f aca="false">IFERROR(IF(Raw_Donors!G741="","N",Raw_Donors!G741),"N")</f>
        <v>N</v>
      </c>
      <c r="I741" s="9" t="str">
        <f aca="false">IF(Raw_Donors!H741="","Not Rated",Raw_Donors!H741)</f>
        <v>Not Rated</v>
      </c>
      <c r="J741" s="9" t="str">
        <f aca="false">IF(TRIM(Raw_Donors!I741)="","Unknown",TRIM(Raw_Donors!I741))</f>
        <v>HOME</v>
      </c>
      <c r="K741" s="9" t="str">
        <f aca="false">Raw_Donors!J741</f>
        <v>Y</v>
      </c>
      <c r="L741" s="9" t="n">
        <f aca="false">Raw_Donors!K741</f>
        <v>0</v>
      </c>
      <c r="M741" s="10" t="n">
        <f aca="false">IFERROR(VALUE(SUBSTITUTE(SUBSTITUTE(Raw_Donors!L741,"$",""),",","")),0)</f>
        <v>0</v>
      </c>
      <c r="N741" s="10" t="n">
        <f aca="false">IFERROR(VALUE(SUBSTITUTE(SUBSTITUTE(Raw_Donors!M741,"$",""),",","")),0)</f>
        <v>25</v>
      </c>
      <c r="O741" s="10" t="n">
        <f aca="false">IFERROR(VALUE(SUBSTITUTE(SUBSTITUTE(Raw_Donors!N741,"$",""),",","")),0)</f>
        <v>0</v>
      </c>
      <c r="P741" s="10" t="n">
        <f aca="false">IFERROR(VALUE(SUBSTITUTE(SUBSTITUTE(Raw_Donors!O741,"$",""),",","")),0)</f>
        <v>0</v>
      </c>
      <c r="Q741" s="10" t="n">
        <f aca="false">IFERROR(VALUE(SUBSTITUTE(SUBSTITUTE(Raw_Donors!P741,"$",""),",","")),0)</f>
        <v>0</v>
      </c>
      <c r="R741" s="10" t="n">
        <f aca="false">Raw_Donors!Q741</f>
        <v>250</v>
      </c>
      <c r="S741" s="9" t="str">
        <f aca="false">Raw_Donors!R741</f>
        <v>Y</v>
      </c>
      <c r="T741" s="9" t="str">
        <f aca="false">IF(Raw_Donors!S741="","",Raw_Donors!S741)</f>
        <v/>
      </c>
      <c r="U741" s="9" t="str">
        <f aca="false">IF(AND((O741+P741)&gt;0,Q741=0),"Lapsed - Follow Up","")</f>
        <v/>
      </c>
      <c r="V741" s="9" t="n">
        <f aca="false">RANK(R741,$R$2:$R$759)+COUNTIF($R$2:R741,R741)-1</f>
        <v>171</v>
      </c>
      <c r="W741" s="9" t="str">
        <f aca="false">IF(U741="Lapsed - Follow Up",COUNTIF($U$2:U741,"Lapsed - Follow Up"),"")</f>
        <v/>
      </c>
    </row>
    <row r="742" customFormat="false" ht="15" hidden="false" customHeight="true" outlineLevel="0" collapsed="false">
      <c r="A742" s="9" t="str">
        <f aca="false">Raw_Donors!A742</f>
        <v>D1740</v>
      </c>
      <c r="B742" s="9" t="str">
        <f aca="false">IF(ISNUMBER(SEARCH("-DUP",A742)),"Duplicate ID","")</f>
        <v/>
      </c>
      <c r="C742" s="9" t="n">
        <f aca="false">Raw_Donors!B742</f>
        <v>30047</v>
      </c>
      <c r="D742" s="9" t="n">
        <f aca="false">Raw_Donors!C742</f>
        <v>0</v>
      </c>
      <c r="E742" s="9" t="str">
        <f aca="false">IFERROR(IF(Raw_Donors!D742="","Unknown",Raw_Donors!D742),"Unknown")</f>
        <v>Unknown</v>
      </c>
      <c r="F742" s="9" t="str">
        <f aca="false">IFERROR(IF(Raw_Donors!E742="","Unknown",Raw_Donors!E742),"Unknown")</f>
        <v>Female</v>
      </c>
      <c r="G742" s="9" t="str">
        <f aca="false">PROPER(TRIM(Raw_Donors!F742))</f>
        <v>Individual Donor</v>
      </c>
      <c r="H742" s="9" t="str">
        <f aca="false">IFERROR(IF(Raw_Donors!G742="","N",Raw_Donors!G742),"N")</f>
        <v>Y</v>
      </c>
      <c r="I742" s="9" t="str">
        <f aca="false">IF(Raw_Donors!H742="","Not Rated",Raw_Donors!H742)</f>
        <v>Not Rated</v>
      </c>
      <c r="J742" s="9" t="str">
        <f aca="false">IF(TRIM(Raw_Donors!I742)="","Unknown",TRIM(Raw_Donors!I742))</f>
        <v>HOME</v>
      </c>
      <c r="K742" s="9" t="str">
        <f aca="false">Raw_Donors!J742</f>
        <v>N</v>
      </c>
      <c r="L742" s="9" t="n">
        <f aca="false">Raw_Donors!K742</f>
        <v>5</v>
      </c>
      <c r="M742" s="10" t="n">
        <f aca="false">IFERROR(VALUE(SUBSTITUTE(SUBSTITUTE(Raw_Donors!L742,"$",""),",","")),0)</f>
        <v>0</v>
      </c>
      <c r="N742" s="10" t="n">
        <f aca="false">IFERROR(VALUE(SUBSTITUTE(SUBSTITUTE(Raw_Donors!M742,"$",""),",","")),0)</f>
        <v>0</v>
      </c>
      <c r="O742" s="10" t="n">
        <f aca="false">IFERROR(VALUE(SUBSTITUTE(SUBSTITUTE(Raw_Donors!N742,"$",""),",","")),0)</f>
        <v>1</v>
      </c>
      <c r="P742" s="10" t="n">
        <f aca="false">IFERROR(VALUE(SUBSTITUTE(SUBSTITUTE(Raw_Donors!O742,"$",""),",","")),0)</f>
        <v>0</v>
      </c>
      <c r="Q742" s="10" t="n">
        <f aca="false">IFERROR(VALUE(SUBSTITUTE(SUBSTITUTE(Raw_Donors!P742,"$",""),",","")),0)</f>
        <v>0</v>
      </c>
      <c r="R742" s="10" t="n">
        <f aca="false">Raw_Donors!Q742</f>
        <v>40</v>
      </c>
      <c r="S742" s="9" t="str">
        <f aca="false">Raw_Donors!R742</f>
        <v>Y</v>
      </c>
      <c r="T742" s="9" t="str">
        <f aca="false">IF(Raw_Donors!S742="","",Raw_Donors!S742)</f>
        <v/>
      </c>
      <c r="U742" s="9" t="str">
        <f aca="false">IF(AND((O742+P742)&gt;0,Q742=0),"Lapsed - Follow Up","")</f>
        <v>Lapsed - Follow Up</v>
      </c>
      <c r="V742" s="9" t="n">
        <f aca="false">RANK(R742,$R$2:$R$759)+COUNTIF($R$2:R742,R742)-1</f>
        <v>407</v>
      </c>
      <c r="W742" s="9" t="n">
        <f aca="false">IF(U742="Lapsed - Follow Up",COUNTIF($U$2:U742,"Lapsed - Follow Up"),"")</f>
        <v>99</v>
      </c>
    </row>
    <row r="743" customFormat="false" ht="15" hidden="false" customHeight="true" outlineLevel="0" collapsed="false">
      <c r="A743" s="9" t="str">
        <f aca="false">Raw_Donors!A743</f>
        <v>D1741</v>
      </c>
      <c r="B743" s="9" t="str">
        <f aca="false">IF(ISNUMBER(SEARCH("-DUP",A743)),"Duplicate ID","")</f>
        <v/>
      </c>
      <c r="C743" s="9" t="n">
        <f aca="false">Raw_Donors!B743</f>
        <v>32115</v>
      </c>
      <c r="D743" s="9" t="n">
        <f aca="false">Raw_Donors!C743</f>
        <v>27</v>
      </c>
      <c r="E743" s="9" t="str">
        <f aca="false">IFERROR(IF(Raw_Donors!D743="","Unknown",Raw_Donors!D743),"Unknown")</f>
        <v>Unknown</v>
      </c>
      <c r="F743" s="9" t="str">
        <f aca="false">IFERROR(IF(Raw_Donors!E743="","Unknown",Raw_Donors!E743),"Unknown")</f>
        <v>Female</v>
      </c>
      <c r="G743" s="9" t="str">
        <f aca="false">PROPER(TRIM(Raw_Donors!F743))</f>
        <v>Community Partner</v>
      </c>
      <c r="H743" s="9" t="str">
        <f aca="false">IFERROR(IF(Raw_Donors!G743="","N",Raw_Donors!G743),"N")</f>
        <v>Y</v>
      </c>
      <c r="I743" s="9" t="str">
        <f aca="false">IF(Raw_Donors!H743="","Not Rated",Raw_Donors!H743)</f>
        <v>Not Rated</v>
      </c>
      <c r="J743" s="9" t="str">
        <f aca="false">IF(TRIM(Raw_Donors!I743)="","Unknown",TRIM(Raw_Donors!I743))</f>
        <v>HOME</v>
      </c>
      <c r="K743" s="9" t="str">
        <f aca="false">Raw_Donors!J743</f>
        <v>Y</v>
      </c>
      <c r="L743" s="9" t="n">
        <f aca="false">Raw_Donors!K743</f>
        <v>1</v>
      </c>
      <c r="M743" s="10" t="n">
        <f aca="false">IFERROR(VALUE(SUBSTITUTE(SUBSTITUTE(Raw_Donors!L743,"$",""),",","")),0)</f>
        <v>0</v>
      </c>
      <c r="N743" s="10" t="n">
        <f aca="false">IFERROR(VALUE(SUBSTITUTE(SUBSTITUTE(Raw_Donors!M743,"$",""),",","")),0)</f>
        <v>0</v>
      </c>
      <c r="O743" s="10" t="n">
        <f aca="false">IFERROR(VALUE(SUBSTITUTE(SUBSTITUTE(Raw_Donors!N743,"$",""),",","")),0)</f>
        <v>0</v>
      </c>
      <c r="P743" s="10" t="n">
        <f aca="false">IFERROR(VALUE(SUBSTITUTE(SUBSTITUTE(Raw_Donors!O743,"$",""),",","")),0)</f>
        <v>0</v>
      </c>
      <c r="Q743" s="10" t="n">
        <f aca="false">IFERROR(VALUE(SUBSTITUTE(SUBSTITUTE(Raw_Donors!P743,"$",""),",","")),0)</f>
        <v>0</v>
      </c>
      <c r="R743" s="10" t="n">
        <f aca="false">Raw_Donors!Q743</f>
        <v>25</v>
      </c>
      <c r="S743" s="9" t="str">
        <f aca="false">Raw_Donors!R743</f>
        <v>Y</v>
      </c>
      <c r="T743" s="9" t="str">
        <f aca="false">IF(Raw_Donors!S743="","",Raw_Donors!S743)</f>
        <v>1990-12-23</v>
      </c>
      <c r="U743" s="9" t="str">
        <f aca="false">IF(AND((O743+P743)&gt;0,Q743=0),"Lapsed - Follow Up","")</f>
        <v/>
      </c>
      <c r="V743" s="9" t="n">
        <f aca="false">RANK(R743,$R$2:$R$759)+COUNTIF($R$2:R743,R743)-1</f>
        <v>464</v>
      </c>
      <c r="W743" s="9" t="str">
        <f aca="false">IF(U743="Lapsed - Follow Up",COUNTIF($U$2:U743,"Lapsed - Follow Up"),"")</f>
        <v/>
      </c>
    </row>
    <row r="744" customFormat="false" ht="15" hidden="false" customHeight="true" outlineLevel="0" collapsed="false">
      <c r="A744" s="9" t="str">
        <f aca="false">Raw_Donors!A744</f>
        <v>D1742</v>
      </c>
      <c r="B744" s="9" t="str">
        <f aca="false">IF(ISNUMBER(SEARCH("-DUP",A744)),"Duplicate ID","")</f>
        <v/>
      </c>
      <c r="C744" s="9" t="n">
        <f aca="false">Raw_Donors!B744</f>
        <v>36727</v>
      </c>
      <c r="D744" s="9" t="n">
        <f aca="false">Raw_Donors!C744</f>
        <v>0</v>
      </c>
      <c r="E744" s="9" t="str">
        <f aca="false">IFERROR(IF(Raw_Donors!D744="","Unknown",Raw_Donors!D744),"Unknown")</f>
        <v>Married</v>
      </c>
      <c r="F744" s="9" t="str">
        <f aca="false">IFERROR(IF(Raw_Donors!E744="","Unknown",Raw_Donors!E744),"Unknown")</f>
        <v>Male</v>
      </c>
      <c r="G744" s="9" t="str">
        <f aca="false">PROPER(TRIM(Raw_Donors!F744))</f>
        <v>Individual Donor</v>
      </c>
      <c r="H744" s="9" t="str">
        <f aca="false">IFERROR(IF(Raw_Donors!G744="","N",Raw_Donors!G744),"N")</f>
        <v>N</v>
      </c>
      <c r="I744" s="9" t="str">
        <f aca="false">IF(Raw_Donors!H744="","Not Rated",Raw_Donors!H744)</f>
        <v>Not Rated</v>
      </c>
      <c r="J744" s="9" t="str">
        <f aca="false">IF(TRIM(Raw_Donors!I744)="","Unknown",TRIM(Raw_Donors!I744))</f>
        <v>HOME</v>
      </c>
      <c r="K744" s="9" t="str">
        <f aca="false">Raw_Donors!J744</f>
        <v>N</v>
      </c>
      <c r="L744" s="9" t="n">
        <f aca="false">Raw_Donors!K744</f>
        <v>0</v>
      </c>
      <c r="M744" s="10" t="n">
        <f aca="false">IFERROR(VALUE(SUBSTITUTE(SUBSTITUTE(Raw_Donors!L744,"$",""),",","")),0)</f>
        <v>0</v>
      </c>
      <c r="N744" s="10" t="n">
        <f aca="false">IFERROR(VALUE(SUBSTITUTE(SUBSTITUTE(Raw_Donors!M744,"$",""),",","")),0)</f>
        <v>0</v>
      </c>
      <c r="O744" s="10" t="n">
        <f aca="false">IFERROR(VALUE(SUBSTITUTE(SUBSTITUTE(Raw_Donors!N744,"$",""),",","")),0)</f>
        <v>0</v>
      </c>
      <c r="P744" s="10" t="n">
        <f aca="false">IFERROR(VALUE(SUBSTITUTE(SUBSTITUTE(Raw_Donors!O744,"$",""),",","")),0)</f>
        <v>0</v>
      </c>
      <c r="Q744" s="10" t="n">
        <f aca="false">IFERROR(VALUE(SUBSTITUTE(SUBSTITUTE(Raw_Donors!P744,"$",""),",","")),0)</f>
        <v>0</v>
      </c>
      <c r="R744" s="10" t="n">
        <f aca="false">Raw_Donors!Q744</f>
        <v>0</v>
      </c>
      <c r="S744" s="9" t="str">
        <f aca="false">Raw_Donors!R744</f>
        <v>N</v>
      </c>
      <c r="T744" s="9" t="str">
        <f aca="false">IF(Raw_Donors!S744="","",Raw_Donors!S744)</f>
        <v/>
      </c>
      <c r="U744" s="9" t="str">
        <f aca="false">IF(AND((O744+P744)&gt;0,Q744=0),"Lapsed - Follow Up","")</f>
        <v/>
      </c>
      <c r="V744" s="9" t="n">
        <f aca="false">RANK(R744,$R$2:$R$759)+COUNTIF($R$2:R744,R744)-1</f>
        <v>754</v>
      </c>
      <c r="W744" s="9" t="str">
        <f aca="false">IF(U744="Lapsed - Follow Up",COUNTIF($U$2:U744,"Lapsed - Follow Up"),"")</f>
        <v/>
      </c>
    </row>
    <row r="745" customFormat="false" ht="15" hidden="false" customHeight="true" outlineLevel="0" collapsed="false">
      <c r="A745" s="9" t="str">
        <f aca="false">Raw_Donors!A745</f>
        <v>D1743</v>
      </c>
      <c r="B745" s="9" t="str">
        <f aca="false">IF(ISNUMBER(SEARCH("-DUP",A745)),"Duplicate ID","")</f>
        <v/>
      </c>
      <c r="C745" s="9" t="n">
        <f aca="false">Raw_Donors!B745</f>
        <v>58372</v>
      </c>
      <c r="D745" s="9" t="n">
        <f aca="false">Raw_Donors!C745</f>
        <v>0</v>
      </c>
      <c r="E745" s="9" t="str">
        <f aca="false">IFERROR(IF(Raw_Donors!D745="","Unknown",Raw_Donors!D745),"Unknown")</f>
        <v>Unknown</v>
      </c>
      <c r="F745" s="9" t="str">
        <f aca="false">IFERROR(IF(Raw_Donors!E745="","Unknown",Raw_Donors!E745),"Unknown")</f>
        <v>Female</v>
      </c>
      <c r="G745" s="9" t="str">
        <f aca="false">PROPER(TRIM(Raw_Donors!F745))</f>
        <v>Individual Donor</v>
      </c>
      <c r="H745" s="9" t="str">
        <f aca="false">IFERROR(IF(Raw_Donors!G745="","N",Raw_Donors!G745),"N")</f>
        <v>N</v>
      </c>
      <c r="I745" s="9" t="str">
        <f aca="false">IF(Raw_Donors!H745="","Not Rated",Raw_Donors!H745)</f>
        <v>Not Rated</v>
      </c>
      <c r="J745" s="9" t="str">
        <f aca="false">IF(TRIM(Raw_Donors!I745)="","Unknown",TRIM(Raw_Donors!I745))</f>
        <v>HOME</v>
      </c>
      <c r="K745" s="9" t="str">
        <f aca="false">Raw_Donors!J745</f>
        <v>N</v>
      </c>
      <c r="L745" s="9" t="n">
        <f aca="false">Raw_Donors!K745</f>
        <v>1</v>
      </c>
      <c r="M745" s="10" t="n">
        <f aca="false">IFERROR(VALUE(SUBSTITUTE(SUBSTITUTE(Raw_Donors!L745,"$",""),",","")),0)</f>
        <v>0</v>
      </c>
      <c r="N745" s="10" t="n">
        <f aca="false">IFERROR(VALUE(SUBSTITUTE(SUBSTITUTE(Raw_Donors!M745,"$",""),",","")),0)</f>
        <v>0</v>
      </c>
      <c r="O745" s="10" t="n">
        <f aca="false">IFERROR(VALUE(SUBSTITUTE(SUBSTITUTE(Raw_Donors!N745,"$",""),",","")),0)</f>
        <v>0</v>
      </c>
      <c r="P745" s="10" t="n">
        <f aca="false">IFERROR(VALUE(SUBSTITUTE(SUBSTITUTE(Raw_Donors!O745,"$",""),",","")),0)</f>
        <v>0</v>
      </c>
      <c r="Q745" s="10" t="n">
        <f aca="false">IFERROR(VALUE(SUBSTITUTE(SUBSTITUTE(Raw_Donors!P745,"$",""),",","")),0)</f>
        <v>0</v>
      </c>
      <c r="R745" s="10" t="n">
        <f aca="false">Raw_Donors!Q745</f>
        <v>5</v>
      </c>
      <c r="S745" s="9" t="str">
        <f aca="false">Raw_Donors!R745</f>
        <v>Y</v>
      </c>
      <c r="T745" s="9" t="str">
        <f aca="false">IF(Raw_Donors!S745="","",Raw_Donors!S745)</f>
        <v/>
      </c>
      <c r="U745" s="9" t="str">
        <f aca="false">IF(AND((O745+P745)&gt;0,Q745=0),"Lapsed - Follow Up","")</f>
        <v/>
      </c>
      <c r="V745" s="9" t="n">
        <f aca="false">RANK(R745,$R$2:$R$759)+COUNTIF($R$2:R745,R745)-1</f>
        <v>522</v>
      </c>
      <c r="W745" s="9" t="str">
        <f aca="false">IF(U745="Lapsed - Follow Up",COUNTIF($U$2:U745,"Lapsed - Follow Up"),"")</f>
        <v/>
      </c>
    </row>
    <row r="746" customFormat="false" ht="15" hidden="false" customHeight="true" outlineLevel="0" collapsed="false">
      <c r="A746" s="9" t="str">
        <f aca="false">Raw_Donors!A746</f>
        <v>D1744</v>
      </c>
      <c r="B746" s="9" t="str">
        <f aca="false">IF(ISNUMBER(SEARCH("-DUP",A746)),"Duplicate ID","")</f>
        <v/>
      </c>
      <c r="C746" s="9" t="n">
        <f aca="false">Raw_Donors!B746</f>
        <v>47443</v>
      </c>
      <c r="D746" s="9" t="n">
        <f aca="false">Raw_Donors!C746</f>
        <v>0</v>
      </c>
      <c r="E746" s="9" t="str">
        <f aca="false">IFERROR(IF(Raw_Donors!D746="","Unknown",Raw_Donors!D746),"Unknown")</f>
        <v>Single</v>
      </c>
      <c r="F746" s="9" t="str">
        <f aca="false">IFERROR(IF(Raw_Donors!E746="","Unknown",Raw_Donors!E746),"Unknown")</f>
        <v>Male</v>
      </c>
      <c r="G746" s="9" t="str">
        <f aca="false">PROPER(TRIM(Raw_Donors!F746))</f>
        <v>Individual Donor</v>
      </c>
      <c r="H746" s="9" t="str">
        <f aca="false">IFERROR(IF(Raw_Donors!G746="","N",Raw_Donors!G746),"N")</f>
        <v>N</v>
      </c>
      <c r="I746" s="9" t="str">
        <f aca="false">IF(Raw_Donors!H746="","Not Rated",Raw_Donors!H746)</f>
        <v>Not Rated</v>
      </c>
      <c r="J746" s="9" t="str">
        <f aca="false">IF(TRIM(Raw_Donors!I746)="","Unknown",TRIM(Raw_Donors!I746))</f>
        <v>Unknown</v>
      </c>
      <c r="K746" s="9" t="str">
        <f aca="false">Raw_Donors!J746</f>
        <v>N</v>
      </c>
      <c r="L746" s="9" t="n">
        <f aca="false">Raw_Donors!K746</f>
        <v>0</v>
      </c>
      <c r="M746" s="10" t="n">
        <f aca="false">IFERROR(VALUE(SUBSTITUTE(SUBSTITUTE(Raw_Donors!L746,"$",""),",","")),0)</f>
        <v>0</v>
      </c>
      <c r="N746" s="10" t="n">
        <f aca="false">IFERROR(VALUE(SUBSTITUTE(SUBSTITUTE(Raw_Donors!M746,"$",""),",","")),0)</f>
        <v>0</v>
      </c>
      <c r="O746" s="10" t="n">
        <f aca="false">IFERROR(VALUE(SUBSTITUTE(SUBSTITUTE(Raw_Donors!N746,"$",""),",","")),0)</f>
        <v>0</v>
      </c>
      <c r="P746" s="10" t="n">
        <f aca="false">IFERROR(VALUE(SUBSTITUTE(SUBSTITUTE(Raw_Donors!O746,"$",""),",","")),0)</f>
        <v>0</v>
      </c>
      <c r="Q746" s="10" t="n">
        <f aca="false">IFERROR(VALUE(SUBSTITUTE(SUBSTITUTE(Raw_Donors!P746,"$",""),",","")),0)</f>
        <v>0</v>
      </c>
      <c r="R746" s="10" t="n">
        <f aca="false">Raw_Donors!Q746</f>
        <v>160</v>
      </c>
      <c r="S746" s="9" t="str">
        <f aca="false">Raw_Donors!R746</f>
        <v>Y</v>
      </c>
      <c r="T746" s="9" t="str">
        <f aca="false">IF(Raw_Donors!S746="","",Raw_Donors!S746)</f>
        <v/>
      </c>
      <c r="U746" s="9" t="str">
        <f aca="false">IF(AND((O746+P746)&gt;0,Q746=0),"Lapsed - Follow Up","")</f>
        <v/>
      </c>
      <c r="V746" s="9" t="n">
        <f aca="false">RANK(R746,$R$2:$R$759)+COUNTIF($R$2:R746,R746)-1</f>
        <v>225</v>
      </c>
      <c r="W746" s="9" t="str">
        <f aca="false">IF(U746="Lapsed - Follow Up",COUNTIF($U$2:U746,"Lapsed - Follow Up"),"")</f>
        <v/>
      </c>
    </row>
    <row r="747" customFormat="false" ht="15" hidden="false" customHeight="true" outlineLevel="0" collapsed="false">
      <c r="A747" s="9" t="str">
        <f aca="false">Raw_Donors!A747</f>
        <v>D1745</v>
      </c>
      <c r="B747" s="9" t="str">
        <f aca="false">IF(ISNUMBER(SEARCH("-DUP",A747)),"Duplicate ID","")</f>
        <v/>
      </c>
      <c r="C747" s="9" t="n">
        <f aca="false">Raw_Donors!B747</f>
        <v>37023</v>
      </c>
      <c r="D747" s="9" t="n">
        <f aca="false">Raw_Donors!C747</f>
        <v>0</v>
      </c>
      <c r="E747" s="9" t="str">
        <f aca="false">IFERROR(IF(Raw_Donors!D747="","Unknown",Raw_Donors!D747),"Unknown")</f>
        <v>Single</v>
      </c>
      <c r="F747" s="9" t="str">
        <f aca="false">IFERROR(IF(Raw_Donors!E747="","Unknown",Raw_Donors!E747),"Unknown")</f>
        <v>Female</v>
      </c>
      <c r="G747" s="9" t="str">
        <f aca="false">PROPER(TRIM(Raw_Donors!F747))</f>
        <v>Individual Donor</v>
      </c>
      <c r="H747" s="9" t="str">
        <f aca="false">IFERROR(IF(Raw_Donors!G747="","N",Raw_Donors!G747),"N")</f>
        <v>Y</v>
      </c>
      <c r="I747" s="9" t="str">
        <f aca="false">IF(Raw_Donors!H747="","Not Rated",Raw_Donors!H747)</f>
        <v>Not Rated</v>
      </c>
      <c r="J747" s="9" t="str">
        <f aca="false">IF(TRIM(Raw_Donors!I747)="","Unknown",TRIM(Raw_Donors!I747))</f>
        <v>BUSN</v>
      </c>
      <c r="K747" s="9" t="str">
        <f aca="false">Raw_Donors!J747</f>
        <v>N</v>
      </c>
      <c r="L747" s="9" t="n">
        <f aca="false">Raw_Donors!K747</f>
        <v>0</v>
      </c>
      <c r="M747" s="10" t="n">
        <f aca="false">IFERROR(VALUE(SUBSTITUTE(SUBSTITUTE(Raw_Donors!L747,"$",""),",","")),0)</f>
        <v>0</v>
      </c>
      <c r="N747" s="10" t="n">
        <f aca="false">IFERROR(VALUE(SUBSTITUTE(SUBSTITUTE(Raw_Donors!M747,"$",""),",","")),0)</f>
        <v>0</v>
      </c>
      <c r="O747" s="10" t="n">
        <f aca="false">IFERROR(VALUE(SUBSTITUTE(SUBSTITUTE(Raw_Donors!N747,"$",""),",","")),0)</f>
        <v>0</v>
      </c>
      <c r="P747" s="10" t="n">
        <f aca="false">IFERROR(VALUE(SUBSTITUTE(SUBSTITUTE(Raw_Donors!O747,"$",""),",","")),0)</f>
        <v>0</v>
      </c>
      <c r="Q747" s="10" t="n">
        <f aca="false">IFERROR(VALUE(SUBSTITUTE(SUBSTITUTE(Raw_Donors!P747,"$",""),",","")),0)</f>
        <v>0</v>
      </c>
      <c r="R747" s="10" t="n">
        <f aca="false">Raw_Donors!Q747</f>
        <v>0</v>
      </c>
      <c r="S747" s="9" t="str">
        <f aca="false">Raw_Donors!R747</f>
        <v>N</v>
      </c>
      <c r="T747" s="9" t="str">
        <f aca="false">IF(Raw_Donors!S747="","",Raw_Donors!S747)</f>
        <v/>
      </c>
      <c r="U747" s="9" t="str">
        <f aca="false">IF(AND((O747+P747)&gt;0,Q747=0),"Lapsed - Follow Up","")</f>
        <v/>
      </c>
      <c r="V747" s="9" t="n">
        <f aca="false">RANK(R747,$R$2:$R$759)+COUNTIF($R$2:R747,R747)-1</f>
        <v>755</v>
      </c>
      <c r="W747" s="9" t="str">
        <f aca="false">IF(U747="Lapsed - Follow Up",COUNTIF($U$2:U747,"Lapsed - Follow Up"),"")</f>
        <v/>
      </c>
    </row>
    <row r="748" customFormat="false" ht="15" hidden="false" customHeight="true" outlineLevel="0" collapsed="false">
      <c r="A748" s="9" t="str">
        <f aca="false">Raw_Donors!A748</f>
        <v>D1746</v>
      </c>
      <c r="B748" s="9" t="str">
        <f aca="false">IF(ISNUMBER(SEARCH("-DUP",A748)),"Duplicate ID","")</f>
        <v/>
      </c>
      <c r="C748" s="9" t="n">
        <f aca="false">Raw_Donors!B748</f>
        <v>36548</v>
      </c>
      <c r="D748" s="9" t="n">
        <f aca="false">Raw_Donors!C748</f>
        <v>21</v>
      </c>
      <c r="E748" s="9" t="str">
        <f aca="false">IFERROR(IF(Raw_Donors!D748="","Unknown",Raw_Donors!D748),"Unknown")</f>
        <v>Single</v>
      </c>
      <c r="F748" s="9" t="str">
        <f aca="false">IFERROR(IF(Raw_Donors!E748="","Unknown",Raw_Donors!E748),"Unknown")</f>
        <v>Male</v>
      </c>
      <c r="G748" s="9" t="str">
        <f aca="false">PROPER(TRIM(Raw_Donors!F748))</f>
        <v>Individual Donor</v>
      </c>
      <c r="H748" s="9" t="str">
        <f aca="false">IFERROR(IF(Raw_Donors!G748="","N",Raw_Donors!G748),"N")</f>
        <v>N</v>
      </c>
      <c r="I748" s="9" t="str">
        <f aca="false">IF(Raw_Donors!H748="","Not Rated",Raw_Donors!H748)</f>
        <v>Not Rated</v>
      </c>
      <c r="J748" s="9" t="str">
        <f aca="false">IF(TRIM(Raw_Donors!I748)="","Unknown",TRIM(Raw_Donors!I748))</f>
        <v>HOME</v>
      </c>
      <c r="K748" s="9" t="str">
        <f aca="false">Raw_Donors!J748</f>
        <v>N</v>
      </c>
      <c r="L748" s="9" t="n">
        <f aca="false">Raw_Donors!K748</f>
        <v>0</v>
      </c>
      <c r="M748" s="10" t="n">
        <f aca="false">IFERROR(VALUE(SUBSTITUTE(SUBSTITUTE(Raw_Donors!L748,"$",""),",","")),0)</f>
        <v>0</v>
      </c>
      <c r="N748" s="10" t="n">
        <f aca="false">IFERROR(VALUE(SUBSTITUTE(SUBSTITUTE(Raw_Donors!M748,"$",""),",","")),0)</f>
        <v>0</v>
      </c>
      <c r="O748" s="10" t="n">
        <f aca="false">IFERROR(VALUE(SUBSTITUTE(SUBSTITUTE(Raw_Donors!N748,"$",""),",","")),0)</f>
        <v>0</v>
      </c>
      <c r="P748" s="10" t="n">
        <f aca="false">IFERROR(VALUE(SUBSTITUTE(SUBSTITUTE(Raw_Donors!O748,"$",""),",","")),0)</f>
        <v>0</v>
      </c>
      <c r="Q748" s="10" t="n">
        <f aca="false">IFERROR(VALUE(SUBSTITUTE(SUBSTITUTE(Raw_Donors!P748,"$",""),",","")),0)</f>
        <v>0</v>
      </c>
      <c r="R748" s="10" t="n">
        <f aca="false">Raw_Donors!Q748</f>
        <v>0</v>
      </c>
      <c r="S748" s="9" t="str">
        <f aca="false">Raw_Donors!R748</f>
        <v>N</v>
      </c>
      <c r="T748" s="9" t="str">
        <f aca="false">IF(Raw_Donors!S748="","",Raw_Donors!S748)</f>
        <v>1996-12-09</v>
      </c>
      <c r="U748" s="9" t="str">
        <f aca="false">IF(AND((O748+P748)&gt;0,Q748=0),"Lapsed - Follow Up","")</f>
        <v/>
      </c>
      <c r="V748" s="9" t="n">
        <f aca="false">RANK(R748,$R$2:$R$759)+COUNTIF($R$2:R748,R748)-1</f>
        <v>756</v>
      </c>
      <c r="W748" s="9" t="str">
        <f aca="false">IF(U748="Lapsed - Follow Up",COUNTIF($U$2:U748,"Lapsed - Follow Up"),"")</f>
        <v/>
      </c>
    </row>
    <row r="749" customFormat="false" ht="15" hidden="false" customHeight="true" outlineLevel="0" collapsed="false">
      <c r="A749" s="9" t="str">
        <f aca="false">Raw_Donors!A749</f>
        <v>D1747</v>
      </c>
      <c r="B749" s="9" t="str">
        <f aca="false">IF(ISNUMBER(SEARCH("-DUP",A749)),"Duplicate ID","")</f>
        <v/>
      </c>
      <c r="C749" s="9" t="n">
        <f aca="false">Raw_Donors!B749</f>
        <v>54230</v>
      </c>
      <c r="D749" s="9" t="n">
        <f aca="false">Raw_Donors!C749</f>
        <v>40</v>
      </c>
      <c r="E749" s="9" t="str">
        <f aca="false">IFERROR(IF(Raw_Donors!D749="","Unknown",Raw_Donors!D749),"Unknown")</f>
        <v>Unknown</v>
      </c>
      <c r="F749" s="9" t="str">
        <f aca="false">IFERROR(IF(Raw_Donors!E749="","Unknown",Raw_Donors!E749),"Unknown")</f>
        <v>Male</v>
      </c>
      <c r="G749" s="9" t="str">
        <f aca="false">PROPER(TRIM(Raw_Donors!F749))</f>
        <v>Community Partner</v>
      </c>
      <c r="H749" s="9" t="str">
        <f aca="false">IFERROR(IF(Raw_Donors!G749="","N",Raw_Donors!G749),"N")</f>
        <v>Y</v>
      </c>
      <c r="I749" s="9" t="str">
        <f aca="false">IF(Raw_Donors!H749="","Not Rated",Raw_Donors!H749)</f>
        <v>Not Rated</v>
      </c>
      <c r="J749" s="9" t="str">
        <f aca="false">IF(TRIM(Raw_Donors!I749)="","Unknown",TRIM(Raw_Donors!I749))</f>
        <v>HOME</v>
      </c>
      <c r="K749" s="9" t="str">
        <f aca="false">Raw_Donors!J749</f>
        <v>Y</v>
      </c>
      <c r="L749" s="9" t="n">
        <f aca="false">Raw_Donors!K749</f>
        <v>1</v>
      </c>
      <c r="M749" s="10" t="n">
        <f aca="false">IFERROR(VALUE(SUBSTITUTE(SUBSTITUTE(Raw_Donors!L749,"$",""),",","")),0)</f>
        <v>0</v>
      </c>
      <c r="N749" s="10" t="n">
        <f aca="false">IFERROR(VALUE(SUBSTITUTE(SUBSTITUTE(Raw_Donors!M749,"$",""),",","")),0)</f>
        <v>500</v>
      </c>
      <c r="O749" s="10" t="n">
        <f aca="false">IFERROR(VALUE(SUBSTITUTE(SUBSTITUTE(Raw_Donors!N749,"$",""),",","")),0)</f>
        <v>0</v>
      </c>
      <c r="P749" s="10" t="n">
        <f aca="false">IFERROR(VALUE(SUBSTITUTE(SUBSTITUTE(Raw_Donors!O749,"$",""),",","")),0)</f>
        <v>0</v>
      </c>
      <c r="Q749" s="10" t="n">
        <f aca="false">IFERROR(VALUE(SUBSTITUTE(SUBSTITUTE(Raw_Donors!P749,"$",""),",","")),0)</f>
        <v>0</v>
      </c>
      <c r="R749" s="10" t="n">
        <f aca="false">Raw_Donors!Q749</f>
        <v>500</v>
      </c>
      <c r="S749" s="9" t="str">
        <f aca="false">Raw_Donors!R749</f>
        <v>Y</v>
      </c>
      <c r="T749" s="9" t="str">
        <f aca="false">IF(Raw_Donors!S749="","",Raw_Donors!S749)</f>
        <v>1977-03-21</v>
      </c>
      <c r="U749" s="9" t="str">
        <f aca="false">IF(AND((O749+P749)&gt;0,Q749=0),"Lapsed - Follow Up","")</f>
        <v/>
      </c>
      <c r="V749" s="9" t="n">
        <f aca="false">RANK(R749,$R$2:$R$759)+COUNTIF($R$2:R749,R749)-1</f>
        <v>97</v>
      </c>
      <c r="W749" s="9" t="str">
        <f aca="false">IF(U749="Lapsed - Follow Up",COUNTIF($U$2:U749,"Lapsed - Follow Up"),"")</f>
        <v/>
      </c>
    </row>
    <row r="750" customFormat="false" ht="15" hidden="false" customHeight="true" outlineLevel="0" collapsed="false">
      <c r="A750" s="9" t="str">
        <f aca="false">Raw_Donors!A750</f>
        <v>D1748</v>
      </c>
      <c r="B750" s="9" t="str">
        <f aca="false">IF(ISNUMBER(SEARCH("-DUP",A750)),"Duplicate ID","")</f>
        <v/>
      </c>
      <c r="C750" s="9" t="n">
        <f aca="false">Raw_Donors!B750</f>
        <v>90265</v>
      </c>
      <c r="D750" s="9" t="n">
        <f aca="false">Raw_Donors!C750</f>
        <v>0</v>
      </c>
      <c r="E750" s="9" t="str">
        <f aca="false">IFERROR(IF(Raw_Donors!D750="","Unknown",Raw_Donors!D750),"Unknown")</f>
        <v>Unknown</v>
      </c>
      <c r="F750" s="9" t="str">
        <f aca="false">IFERROR(IF(Raw_Donors!E750="","Unknown",Raw_Donors!E750),"Unknown")</f>
        <v>Female</v>
      </c>
      <c r="G750" s="9" t="str">
        <f aca="false">PROPER(TRIM(Raw_Donors!F750))</f>
        <v>Individual Donor</v>
      </c>
      <c r="H750" s="9" t="str">
        <f aca="false">IFERROR(IF(Raw_Donors!G750="","N",Raw_Donors!G750),"N")</f>
        <v>Y</v>
      </c>
      <c r="I750" s="9" t="str">
        <f aca="false">IF(Raw_Donors!H750="","Not Rated",Raw_Donors!H750)</f>
        <v>Not Rated</v>
      </c>
      <c r="J750" s="9" t="str">
        <f aca="false">IF(TRIM(Raw_Donors!I750)="","Unknown",TRIM(Raw_Donors!I750))</f>
        <v>HOME</v>
      </c>
      <c r="K750" s="9" t="str">
        <f aca="false">Raw_Donors!J750</f>
        <v>Y</v>
      </c>
      <c r="L750" s="9" t="n">
        <f aca="false">Raw_Donors!K750</f>
        <v>4</v>
      </c>
      <c r="M750" s="10" t="n">
        <f aca="false">IFERROR(VALUE(SUBSTITUTE(SUBSTITUTE(Raw_Donors!L750,"$",""),",","")),0)</f>
        <v>25</v>
      </c>
      <c r="N750" s="10" t="n">
        <f aca="false">IFERROR(VALUE(SUBSTITUTE(SUBSTITUTE(Raw_Donors!M750,"$",""),",","")),0)</f>
        <v>0</v>
      </c>
      <c r="O750" s="10" t="n">
        <f aca="false">IFERROR(VALUE(SUBSTITUTE(SUBSTITUTE(Raw_Donors!N750,"$",""),",","")),0)</f>
        <v>0</v>
      </c>
      <c r="P750" s="10" t="n">
        <f aca="false">IFERROR(VALUE(SUBSTITUTE(SUBSTITUTE(Raw_Donors!O750,"$",""),",","")),0)</f>
        <v>0</v>
      </c>
      <c r="Q750" s="10" t="n">
        <f aca="false">IFERROR(VALUE(SUBSTITUTE(SUBSTITUTE(Raw_Donors!P750,"$",""),",","")),0)</f>
        <v>480</v>
      </c>
      <c r="R750" s="10" t="n">
        <f aca="false">Raw_Donors!Q750</f>
        <v>505</v>
      </c>
      <c r="S750" s="9" t="str">
        <f aca="false">Raw_Donors!R750</f>
        <v>Y</v>
      </c>
      <c r="T750" s="9" t="str">
        <f aca="false">IF(Raw_Donors!S750="","",Raw_Donors!S750)</f>
        <v/>
      </c>
      <c r="U750" s="9" t="str">
        <f aca="false">IF(AND((O750+P750)&gt;0,Q750=0),"Lapsed - Follow Up","")</f>
        <v/>
      </c>
      <c r="V750" s="9" t="n">
        <f aca="false">RANK(R750,$R$2:$R$759)+COUNTIF($R$2:R750,R750)-1</f>
        <v>88</v>
      </c>
      <c r="W750" s="9" t="str">
        <f aca="false">IF(U750="Lapsed - Follow Up",COUNTIF($U$2:U750,"Lapsed - Follow Up"),"")</f>
        <v/>
      </c>
    </row>
    <row r="751" customFormat="false" ht="15" hidden="false" customHeight="true" outlineLevel="0" collapsed="false">
      <c r="A751" s="9" t="str">
        <f aca="false">Raw_Donors!A751</f>
        <v>D1749</v>
      </c>
      <c r="B751" s="9" t="str">
        <f aca="false">IF(ISNUMBER(SEARCH("-DUP",A751)),"Duplicate ID","")</f>
        <v/>
      </c>
      <c r="C751" s="9" t="n">
        <f aca="false">Raw_Donors!B751</f>
        <v>24815</v>
      </c>
      <c r="D751" s="9" t="n">
        <f aca="false">Raw_Donors!C751</f>
        <v>0</v>
      </c>
      <c r="E751" s="9" t="str">
        <f aca="false">IFERROR(IF(Raw_Donors!D751="","Unknown",Raw_Donors!D751),"Unknown")</f>
        <v>Unknown</v>
      </c>
      <c r="F751" s="9" t="str">
        <f aca="false">IFERROR(IF(Raw_Donors!E751="","Unknown",Raw_Donors!E751),"Unknown")</f>
        <v>Male</v>
      </c>
      <c r="G751" s="9" t="str">
        <f aca="false">PROPER(TRIM(Raw_Donors!F751))</f>
        <v>Individual Donor</v>
      </c>
      <c r="H751" s="9" t="str">
        <f aca="false">IFERROR(IF(Raw_Donors!G751="","N",Raw_Donors!G751),"N")</f>
        <v>N</v>
      </c>
      <c r="I751" s="9" t="str">
        <f aca="false">IF(Raw_Donors!H751="","Not Rated",Raw_Donors!H751)</f>
        <v>Not Rated</v>
      </c>
      <c r="J751" s="9" t="str">
        <f aca="false">IF(TRIM(Raw_Donors!I751)="","Unknown",TRIM(Raw_Donors!I751))</f>
        <v>Unknown</v>
      </c>
      <c r="K751" s="9" t="str">
        <f aca="false">Raw_Donors!J751</f>
        <v>N</v>
      </c>
      <c r="L751" s="9" t="n">
        <f aca="false">Raw_Donors!K751</f>
        <v>2</v>
      </c>
      <c r="M751" s="10" t="n">
        <f aca="false">IFERROR(VALUE(SUBSTITUTE(SUBSTITUTE(Raw_Donors!L751,"$",""),",","")),0)</f>
        <v>0</v>
      </c>
      <c r="N751" s="10" t="n">
        <f aca="false">IFERROR(VALUE(SUBSTITUTE(SUBSTITUTE(Raw_Donors!M751,"$",""),",","")),0)</f>
        <v>0</v>
      </c>
      <c r="O751" s="10" t="n">
        <f aca="false">IFERROR(VALUE(SUBSTITUTE(SUBSTITUTE(Raw_Donors!N751,"$",""),",","")),0)</f>
        <v>0</v>
      </c>
      <c r="P751" s="10" t="n">
        <f aca="false">IFERROR(VALUE(SUBSTITUTE(SUBSTITUTE(Raw_Donors!O751,"$",""),",","")),0)</f>
        <v>0</v>
      </c>
      <c r="Q751" s="10" t="n">
        <f aca="false">IFERROR(VALUE(SUBSTITUTE(SUBSTITUTE(Raw_Donors!P751,"$",""),",","")),0)</f>
        <v>0</v>
      </c>
      <c r="R751" s="10" t="n">
        <f aca="false">Raw_Donors!Q751</f>
        <v>130</v>
      </c>
      <c r="S751" s="9" t="str">
        <f aca="false">Raw_Donors!R751</f>
        <v>Y</v>
      </c>
      <c r="T751" s="9" t="str">
        <f aca="false">IF(Raw_Donors!S751="","",Raw_Donors!S751)</f>
        <v/>
      </c>
      <c r="U751" s="9" t="str">
        <f aca="false">IF(AND((O751+P751)&gt;0,Q751=0),"Lapsed - Follow Up","")</f>
        <v/>
      </c>
      <c r="V751" s="9" t="n">
        <f aca="false">RANK(R751,$R$2:$R$759)+COUNTIF($R$2:R751,R751)-1</f>
        <v>242</v>
      </c>
      <c r="W751" s="9" t="str">
        <f aca="false">IF(U751="Lapsed - Follow Up",COUNTIF($U$2:U751,"Lapsed - Follow Up"),"")</f>
        <v/>
      </c>
    </row>
    <row r="752" customFormat="false" ht="15" hidden="false" customHeight="true" outlineLevel="0" collapsed="false">
      <c r="A752" s="9" t="str">
        <f aca="false">Raw_Donors!A752</f>
        <v>D1618-DUP</v>
      </c>
      <c r="B752" s="9" t="str">
        <f aca="false">IF(ISNUMBER(SEARCH("-DUP",A752)),"Duplicate ID","")</f>
        <v>Duplicate ID</v>
      </c>
      <c r="C752" s="9" t="n">
        <f aca="false">Raw_Donors!B752</f>
        <v>90265</v>
      </c>
      <c r="D752" s="9" t="n">
        <f aca="false">Raw_Donors!C752</f>
        <v>32</v>
      </c>
      <c r="E752" s="9" t="str">
        <f aca="false">IFERROR(IF(Raw_Donors!D752="","Unknown",Raw_Donors!D752),"Unknown")</f>
        <v>Unknown</v>
      </c>
      <c r="F752" s="9" t="str">
        <f aca="false">IFERROR(IF(Raw_Donors!E752="","Unknown",Raw_Donors!E752),"Unknown")</f>
        <v>Female</v>
      </c>
      <c r="G752" s="9" t="str">
        <f aca="false">PROPER(TRIM(Raw_Donors!F752))</f>
        <v>Community Partner</v>
      </c>
      <c r="H752" s="9" t="str">
        <f aca="false">IFERROR(IF(Raw_Donors!G752="","N",Raw_Donors!G752),"N")</f>
        <v>Y</v>
      </c>
      <c r="I752" s="9" t="str">
        <f aca="false">IF(Raw_Donors!H752="","Not Rated",Raw_Donors!H752)</f>
        <v>Not Rated</v>
      </c>
      <c r="J752" s="9" t="str">
        <f aca="false">IF(TRIM(Raw_Donors!I752)="","Unknown",TRIM(Raw_Donors!I752))</f>
        <v>HOME</v>
      </c>
      <c r="K752" s="9" t="str">
        <f aca="false">Raw_Donors!J752</f>
        <v>Y</v>
      </c>
      <c r="L752" s="9" t="n">
        <f aca="false">Raw_Donors!K752</f>
        <v>1</v>
      </c>
      <c r="M752" s="10" t="n">
        <f aca="false">IFERROR(VALUE(SUBSTITUTE(SUBSTITUTE(Raw_Donors!L752,"$",""),",","")),0)</f>
        <v>0</v>
      </c>
      <c r="N752" s="10" t="n">
        <f aca="false">IFERROR(VALUE(SUBSTITUTE(SUBSTITUTE(Raw_Donors!M752,"$",""),",","")),0)</f>
        <v>0</v>
      </c>
      <c r="O752" s="10" t="n">
        <f aca="false">IFERROR(VALUE(SUBSTITUTE(SUBSTITUTE(Raw_Donors!N752,"$",""),",","")),0)</f>
        <v>0</v>
      </c>
      <c r="P752" s="10" t="n">
        <f aca="false">IFERROR(VALUE(SUBSTITUTE(SUBSTITUTE(Raw_Donors!O752,"$",""),",","")),0)</f>
        <v>0</v>
      </c>
      <c r="Q752" s="10" t="n">
        <f aca="false">IFERROR(VALUE(SUBSTITUTE(SUBSTITUTE(Raw_Donors!P752,"$",""),",","")),0)</f>
        <v>0</v>
      </c>
      <c r="R752" s="10" t="n">
        <f aca="false">Raw_Donors!Q752</f>
        <v>0</v>
      </c>
      <c r="S752" s="9" t="str">
        <f aca="false">Raw_Donors!R752</f>
        <v>N</v>
      </c>
      <c r="T752" s="9" t="str">
        <f aca="false">IF(Raw_Donors!S752="","",Raw_Donors!S752)</f>
        <v>1985-06-19</v>
      </c>
      <c r="U752" s="9" t="str">
        <f aca="false">IF(AND((O752+P752)&gt;0,Q752=0),"Lapsed - Follow Up","")</f>
        <v/>
      </c>
      <c r="V752" s="9" t="n">
        <f aca="false">RANK(R752,$R$2:$R$759)+COUNTIF($R$2:R752,R752)-1</f>
        <v>757</v>
      </c>
      <c r="W752" s="9" t="str">
        <f aca="false">IF(U752="Lapsed - Follow Up",COUNTIF($U$2:U752,"Lapsed - Follow Up"),"")</f>
        <v/>
      </c>
    </row>
    <row r="753" customFormat="false" ht="15" hidden="false" customHeight="true" outlineLevel="0" collapsed="false">
      <c r="A753" s="9" t="str">
        <f aca="false">Raw_Donors!A753</f>
        <v>D1053-DUP</v>
      </c>
      <c r="B753" s="9" t="str">
        <f aca="false">IF(ISNUMBER(SEARCH("-DUP",A753)),"Duplicate ID","")</f>
        <v>Duplicate ID</v>
      </c>
      <c r="C753" s="9" t="n">
        <f aca="false">Raw_Donors!B753</f>
        <v>50146</v>
      </c>
      <c r="D753" s="9" t="n">
        <f aca="false">Raw_Donors!C753</f>
        <v>0</v>
      </c>
      <c r="E753" s="9" t="str">
        <f aca="false">IFERROR(IF(Raw_Donors!D753="","Unknown",Raw_Donors!D753),"Unknown")</f>
        <v>Unknown</v>
      </c>
      <c r="F753" s="9" t="str">
        <f aca="false">IFERROR(IF(Raw_Donors!E753="","Unknown",Raw_Donors!E753),"Unknown")</f>
        <v>Male</v>
      </c>
      <c r="G753" s="9" t="str">
        <f aca="false">PROPER(TRIM(Raw_Donors!F753))</f>
        <v>Individual Donor</v>
      </c>
      <c r="H753" s="9" t="str">
        <f aca="false">IFERROR(IF(Raw_Donors!G753="","N",Raw_Donors!G753),"N")</f>
        <v>N</v>
      </c>
      <c r="I753" s="9" t="str">
        <f aca="false">IF(Raw_Donors!H753="","Not Rated",Raw_Donors!H753)</f>
        <v>$100,000-$249,999</v>
      </c>
      <c r="J753" s="9" t="str">
        <f aca="false">IF(TRIM(Raw_Donors!I753)="","Unknown",TRIM(Raw_Donors!I753))</f>
        <v>HOME</v>
      </c>
      <c r="K753" s="9" t="str">
        <f aca="false">Raw_Donors!J753</f>
        <v>N</v>
      </c>
      <c r="L753" s="9" t="n">
        <f aca="false">Raw_Donors!K753</f>
        <v>1</v>
      </c>
      <c r="M753" s="10" t="n">
        <f aca="false">IFERROR(VALUE(SUBSTITUTE(SUBSTITUTE(Raw_Donors!L753,"$",""),",","")),0)</f>
        <v>0</v>
      </c>
      <c r="N753" s="10" t="n">
        <f aca="false">IFERROR(VALUE(SUBSTITUTE(SUBSTITUTE(Raw_Donors!M753,"$",""),",","")),0)</f>
        <v>0</v>
      </c>
      <c r="O753" s="10" t="n">
        <f aca="false">IFERROR(VALUE(SUBSTITUTE(SUBSTITUTE(Raw_Donors!N753,"$",""),",","")),0)</f>
        <v>1</v>
      </c>
      <c r="P753" s="10" t="n">
        <f aca="false">IFERROR(VALUE(SUBSTITUTE(SUBSTITUTE(Raw_Donors!O753,"$",""),",","")),0)</f>
        <v>0</v>
      </c>
      <c r="Q753" s="10" t="n">
        <f aca="false">IFERROR(VALUE(SUBSTITUTE(SUBSTITUTE(Raw_Donors!P753,"$",""),",","")),0)</f>
        <v>0</v>
      </c>
      <c r="R753" s="10" t="n">
        <f aca="false">Raw_Donors!Q753</f>
        <v>1</v>
      </c>
      <c r="S753" s="9" t="str">
        <f aca="false">Raw_Donors!R753</f>
        <v>Y</v>
      </c>
      <c r="T753" s="9" t="str">
        <f aca="false">IF(Raw_Donors!S753="","",Raw_Donors!S753)</f>
        <v/>
      </c>
      <c r="U753" s="9" t="str">
        <f aca="false">IF(AND((O753+P753)&gt;0,Q753=0),"Lapsed - Follow Up","")</f>
        <v>Lapsed - Follow Up</v>
      </c>
      <c r="V753" s="9" t="n">
        <f aca="false">RANK(R753,$R$2:$R$759)+COUNTIF($R$2:R753,R753)-1</f>
        <v>556</v>
      </c>
      <c r="W753" s="9" t="n">
        <f aca="false">IF(U753="Lapsed - Follow Up",COUNTIF($U$2:U753,"Lapsed - Follow Up"),"")</f>
        <v>100</v>
      </c>
    </row>
    <row r="754" customFormat="false" ht="15" hidden="false" customHeight="true" outlineLevel="0" collapsed="false">
      <c r="A754" s="9" t="str">
        <f aca="false">Raw_Donors!A754</f>
        <v>D1289-DUP</v>
      </c>
      <c r="B754" s="9" t="str">
        <f aca="false">IF(ISNUMBER(SEARCH("-DUP",A754)),"Duplicate ID","")</f>
        <v>Duplicate ID</v>
      </c>
      <c r="C754" s="9" t="n">
        <f aca="false">Raw_Donors!B754</f>
        <v>90265</v>
      </c>
      <c r="D754" s="9" t="n">
        <f aca="false">Raw_Donors!C754</f>
        <v>41</v>
      </c>
      <c r="E754" s="9" t="str">
        <f aca="false">IFERROR(IF(Raw_Donors!D754="","Unknown",Raw_Donors!D754),"Unknown")</f>
        <v>Unknown</v>
      </c>
      <c r="F754" s="9" t="str">
        <f aca="false">IFERROR(IF(Raw_Donors!E754="","Unknown",Raw_Donors!E754),"Unknown")</f>
        <v>Female</v>
      </c>
      <c r="G754" s="9" t="str">
        <f aca="false">PROPER(TRIM(Raw_Donors!F754))</f>
        <v>Community Partner</v>
      </c>
      <c r="H754" s="9" t="str">
        <f aca="false">IFERROR(IF(Raw_Donors!G754="","N",Raw_Donors!G754),"N")</f>
        <v>Y</v>
      </c>
      <c r="I754" s="9" t="str">
        <f aca="false">IF(Raw_Donors!H754="","Not Rated",Raw_Donors!H754)</f>
        <v>Not Rated</v>
      </c>
      <c r="J754" s="9" t="str">
        <f aca="false">IF(TRIM(Raw_Donors!I754)="","Unknown",TRIM(Raw_Donors!I754))</f>
        <v>Unknown</v>
      </c>
      <c r="K754" s="9" t="str">
        <f aca="false">Raw_Donors!J754</f>
        <v>Y</v>
      </c>
      <c r="L754" s="9" t="n">
        <f aca="false">Raw_Donors!K754</f>
        <v>1</v>
      </c>
      <c r="M754" s="10" t="n">
        <f aca="false">IFERROR(VALUE(SUBSTITUTE(SUBSTITUTE(Raw_Donors!L754,"$",""),",","")),0)</f>
        <v>0</v>
      </c>
      <c r="N754" s="10" t="n">
        <f aca="false">IFERROR(VALUE(SUBSTITUTE(SUBSTITUTE(Raw_Donors!M754,"$",""),",","")),0)</f>
        <v>0</v>
      </c>
      <c r="O754" s="10" t="n">
        <f aca="false">IFERROR(VALUE(SUBSTITUTE(SUBSTITUTE(Raw_Donors!N754,"$",""),",","")),0)</f>
        <v>0</v>
      </c>
      <c r="P754" s="10" t="n">
        <f aca="false">IFERROR(VALUE(SUBSTITUTE(SUBSTITUTE(Raw_Donors!O754,"$",""),",","")),0)</f>
        <v>0</v>
      </c>
      <c r="Q754" s="10" t="n">
        <f aca="false">IFERROR(VALUE(SUBSTITUTE(SUBSTITUTE(Raw_Donors!P754,"$",""),",","")),0)</f>
        <v>0</v>
      </c>
      <c r="R754" s="10" t="n">
        <f aca="false">Raw_Donors!Q754</f>
        <v>0</v>
      </c>
      <c r="S754" s="9" t="str">
        <f aca="false">Raw_Donors!R754</f>
        <v>N</v>
      </c>
      <c r="T754" s="9" t="str">
        <f aca="false">IF(Raw_Donors!S754="","",Raw_Donors!S754)</f>
        <v>1976-09-16</v>
      </c>
      <c r="U754" s="9" t="str">
        <f aca="false">IF(AND((O754+P754)&gt;0,Q754=0),"Lapsed - Follow Up","")</f>
        <v/>
      </c>
      <c r="V754" s="9" t="n">
        <f aca="false">RANK(R754,$R$2:$R$759)+COUNTIF($R$2:R754,R754)-1</f>
        <v>758</v>
      </c>
      <c r="W754" s="9" t="str">
        <f aca="false">IF(U754="Lapsed - Follow Up",COUNTIF($U$2:U754,"Lapsed - Follow Up"),"")</f>
        <v/>
      </c>
    </row>
    <row r="755" customFormat="false" ht="15" hidden="false" customHeight="true" outlineLevel="0" collapsed="false">
      <c r="A755" s="9" t="str">
        <f aca="false">Raw_Donors!A755</f>
        <v>D1221-DUP</v>
      </c>
      <c r="B755" s="9" t="str">
        <f aca="false">IF(ISNUMBER(SEARCH("-DUP",A755)),"Duplicate ID","")</f>
        <v>Duplicate ID</v>
      </c>
      <c r="C755" s="9" t="n">
        <f aca="false">Raw_Donors!B755</f>
        <v>65608</v>
      </c>
      <c r="D755" s="9" t="n">
        <f aca="false">Raw_Donors!C755</f>
        <v>0</v>
      </c>
      <c r="E755" s="9" t="str">
        <f aca="false">IFERROR(IF(Raw_Donors!D755="","Unknown",Raw_Donors!D755),"Unknown")</f>
        <v>Unknown</v>
      </c>
      <c r="F755" s="9" t="str">
        <f aca="false">IFERROR(IF(Raw_Donors!E755="","Unknown",Raw_Donors!E755),"Unknown")</f>
        <v>Female</v>
      </c>
      <c r="G755" s="9" t="str">
        <f aca="false">PROPER(TRIM(Raw_Donors!F755))</f>
        <v>Individual Donor</v>
      </c>
      <c r="H755" s="9" t="str">
        <f aca="false">IFERROR(IF(Raw_Donors!G755="","N",Raw_Donors!G755),"N")</f>
        <v>N</v>
      </c>
      <c r="I755" s="9" t="str">
        <f aca="false">IF(Raw_Donors!H755="","Not Rated",Raw_Donors!H755)</f>
        <v>Not Rated</v>
      </c>
      <c r="J755" s="9" t="str">
        <f aca="false">IF(TRIM(Raw_Donors!I755)="","Unknown",TRIM(Raw_Donors!I755))</f>
        <v>HOME</v>
      </c>
      <c r="K755" s="9" t="str">
        <f aca="false">Raw_Donors!J755</f>
        <v>N</v>
      </c>
      <c r="L755" s="9" t="n">
        <f aca="false">Raw_Donors!K755</f>
        <v>7</v>
      </c>
      <c r="M755" s="10" t="n">
        <f aca="false">IFERROR(VALUE(SUBSTITUTE(SUBSTITUTE(Raw_Donors!L755,"$",""),",","")),0)</f>
        <v>0</v>
      </c>
      <c r="N755" s="10" t="n">
        <f aca="false">IFERROR(VALUE(SUBSTITUTE(SUBSTITUTE(Raw_Donors!M755,"$",""),",","")),0)</f>
        <v>150</v>
      </c>
      <c r="O755" s="10" t="n">
        <f aca="false">IFERROR(VALUE(SUBSTITUTE(SUBSTITUTE(Raw_Donors!N755,"$",""),",","")),0)</f>
        <v>0</v>
      </c>
      <c r="P755" s="10" t="n">
        <f aca="false">IFERROR(VALUE(SUBSTITUTE(SUBSTITUTE(Raw_Donors!O755,"$",""),",","")),0)</f>
        <v>0</v>
      </c>
      <c r="Q755" s="10" t="n">
        <f aca="false">IFERROR(VALUE(SUBSTITUTE(SUBSTITUTE(Raw_Donors!P755,"$",""),",","")),0)</f>
        <v>0</v>
      </c>
      <c r="R755" s="10" t="n">
        <f aca="false">Raw_Donors!Q755</f>
        <v>150</v>
      </c>
      <c r="S755" s="9" t="str">
        <f aca="false">Raw_Donors!R755</f>
        <v>Y</v>
      </c>
      <c r="T755" s="9" t="str">
        <f aca="false">IF(Raw_Donors!S755="","",Raw_Donors!S755)</f>
        <v/>
      </c>
      <c r="U755" s="9" t="str">
        <f aca="false">IF(AND((O755+P755)&gt;0,Q755=0),"Lapsed - Follow Up","")</f>
        <v/>
      </c>
      <c r="V755" s="9" t="n">
        <f aca="false">RANK(R755,$R$2:$R$759)+COUNTIF($R$2:R755,R755)-1</f>
        <v>234</v>
      </c>
      <c r="W755" s="9" t="str">
        <f aca="false">IF(U755="Lapsed - Follow Up",COUNTIF($U$2:U755,"Lapsed - Follow Up"),"")</f>
        <v/>
      </c>
    </row>
    <row r="756" customFormat="false" ht="15" hidden="false" customHeight="true" outlineLevel="0" collapsed="false">
      <c r="A756" s="9" t="str">
        <f aca="false">Raw_Donors!A756</f>
        <v>D1232-DUP</v>
      </c>
      <c r="B756" s="9" t="str">
        <f aca="false">IF(ISNUMBER(SEARCH("-DUP",A756)),"Duplicate ID","")</f>
        <v>Duplicate ID</v>
      </c>
      <c r="C756" s="9" t="n">
        <f aca="false">Raw_Donors!B756</f>
        <v>70537</v>
      </c>
      <c r="D756" s="9" t="n">
        <f aca="false">Raw_Donors!C756</f>
        <v>76</v>
      </c>
      <c r="E756" s="9" t="str">
        <f aca="false">IFERROR(IF(Raw_Donors!D756="","Unknown",Raw_Donors!D756),"Unknown")</f>
        <v>Married</v>
      </c>
      <c r="F756" s="9" t="str">
        <f aca="false">IFERROR(IF(Raw_Donors!E756="","Unknown",Raw_Donors!E756),"Unknown")</f>
        <v>Male</v>
      </c>
      <c r="G756" s="9" t="str">
        <f aca="false">PROPER(TRIM(Raw_Donors!F756))</f>
        <v>Individual Donor</v>
      </c>
      <c r="H756" s="9" t="str">
        <f aca="false">IFERROR(IF(Raw_Donors!G756="","N",Raw_Donors!G756),"N")</f>
        <v>Y</v>
      </c>
      <c r="I756" s="9" t="str">
        <f aca="false">IF(Raw_Donors!H756="","Not Rated",Raw_Donors!H756)</f>
        <v>$250,000-$499,999</v>
      </c>
      <c r="J756" s="9" t="str">
        <f aca="false">IF(TRIM(Raw_Donors!I756)="","Unknown",TRIM(Raw_Donors!I756))</f>
        <v>HOME</v>
      </c>
      <c r="K756" s="9" t="str">
        <f aca="false">Raw_Donors!J756</f>
        <v>N</v>
      </c>
      <c r="L756" s="9" t="n">
        <f aca="false">Raw_Donors!K756</f>
        <v>4</v>
      </c>
      <c r="M756" s="10" t="n">
        <f aca="false">IFERROR(VALUE(SUBSTITUTE(SUBSTITUTE(Raw_Donors!L756,"$",""),",","")),0)</f>
        <v>0</v>
      </c>
      <c r="N756" s="10" t="n">
        <f aca="false">IFERROR(VALUE(SUBSTITUTE(SUBSTITUTE(Raw_Donors!M756,"$",""),",","")),0)</f>
        <v>0</v>
      </c>
      <c r="O756" s="10" t="n">
        <f aca="false">IFERROR(VALUE(SUBSTITUTE(SUBSTITUTE(Raw_Donors!N756,"$",""),",","")),0)</f>
        <v>0</v>
      </c>
      <c r="P756" s="10" t="n">
        <f aca="false">IFERROR(VALUE(SUBSTITUTE(SUBSTITUTE(Raw_Donors!O756,"$",""),",","")),0)</f>
        <v>0</v>
      </c>
      <c r="Q756" s="10" t="n">
        <f aca="false">IFERROR(VALUE(SUBSTITUTE(SUBSTITUTE(Raw_Donors!P756,"$",""),",","")),0)</f>
        <v>0</v>
      </c>
      <c r="R756" s="10" t="n">
        <f aca="false">Raw_Donors!Q756</f>
        <v>40</v>
      </c>
      <c r="S756" s="9" t="str">
        <f aca="false">Raw_Donors!R756</f>
        <v>Y</v>
      </c>
      <c r="T756" s="9" t="str">
        <f aca="false">IF(Raw_Donors!S756="","",Raw_Donors!S756)</f>
        <v>1941-09-10</v>
      </c>
      <c r="U756" s="9" t="str">
        <f aca="false">IF(AND((O756+P756)&gt;0,Q756=0),"Lapsed - Follow Up","")</f>
        <v/>
      </c>
      <c r="V756" s="9" t="n">
        <f aca="false">RANK(R756,$R$2:$R$759)+COUNTIF($R$2:R756,R756)-1</f>
        <v>408</v>
      </c>
      <c r="W756" s="9" t="str">
        <f aca="false">IF(U756="Lapsed - Follow Up",COUNTIF($U$2:U756,"Lapsed - Follow Up"),"")</f>
        <v/>
      </c>
    </row>
    <row r="757" customFormat="false" ht="15" hidden="false" customHeight="true" outlineLevel="0" collapsed="false">
      <c r="A757" s="9" t="str">
        <f aca="false">Raw_Donors!A757</f>
        <v>D1726-DUP</v>
      </c>
      <c r="B757" s="9" t="str">
        <f aca="false">IF(ISNUMBER(SEARCH("-DUP",A757)),"Duplicate ID","")</f>
        <v>Duplicate ID</v>
      </c>
      <c r="C757" s="9" t="n">
        <f aca="false">Raw_Donors!B757</f>
        <v>55175</v>
      </c>
      <c r="D757" s="9" t="n">
        <f aca="false">Raw_Donors!C757</f>
        <v>0</v>
      </c>
      <c r="E757" s="9" t="str">
        <f aca="false">IFERROR(IF(Raw_Donors!D757="","Unknown",Raw_Donors!D757),"Unknown")</f>
        <v>Married</v>
      </c>
      <c r="F757" s="9" t="str">
        <f aca="false">IFERROR(IF(Raw_Donors!E757="","Unknown",Raw_Donors!E757),"Unknown")</f>
        <v>Male</v>
      </c>
      <c r="G757" s="9" t="str">
        <f aca="false">PROPER(TRIM(Raw_Donors!F757))</f>
        <v>Individual Donor</v>
      </c>
      <c r="H757" s="9" t="str">
        <f aca="false">IFERROR(IF(Raw_Donors!G757="","N",Raw_Donors!G757),"N")</f>
        <v>N</v>
      </c>
      <c r="I757" s="9" t="str">
        <f aca="false">IF(Raw_Donors!H757="","Not Rated",Raw_Donors!H757)</f>
        <v>Not Rated</v>
      </c>
      <c r="J757" s="9" t="str">
        <f aca="false">IF(TRIM(Raw_Donors!I757)="","Unknown",TRIM(Raw_Donors!I757))</f>
        <v>HOME</v>
      </c>
      <c r="K757" s="9" t="str">
        <f aca="false">Raw_Donors!J757</f>
        <v>N</v>
      </c>
      <c r="L757" s="9" t="n">
        <f aca="false">Raw_Donors!K757</f>
        <v>1</v>
      </c>
      <c r="M757" s="10" t="n">
        <f aca="false">IFERROR(VALUE(SUBSTITUTE(SUBSTITUTE(Raw_Donors!L757,"$",""),",","")),0)</f>
        <v>0</v>
      </c>
      <c r="N757" s="10" t="n">
        <f aca="false">IFERROR(VALUE(SUBSTITUTE(SUBSTITUTE(Raw_Donors!M757,"$",""),",","")),0)</f>
        <v>0</v>
      </c>
      <c r="O757" s="10" t="n">
        <f aca="false">IFERROR(VALUE(SUBSTITUTE(SUBSTITUTE(Raw_Donors!N757,"$",""),",","")),0)</f>
        <v>0</v>
      </c>
      <c r="P757" s="10" t="n">
        <f aca="false">IFERROR(VALUE(SUBSTITUTE(SUBSTITUTE(Raw_Donors!O757,"$",""),",","")),0)</f>
        <v>0</v>
      </c>
      <c r="Q757" s="10" t="n">
        <f aca="false">IFERROR(VALUE(SUBSTITUTE(SUBSTITUTE(Raw_Donors!P757,"$",""),",","")),0)</f>
        <v>0</v>
      </c>
      <c r="R757" s="10" t="n">
        <f aca="false">Raw_Donors!Q757</f>
        <v>100</v>
      </c>
      <c r="S757" s="9" t="str">
        <f aca="false">Raw_Donors!R757</f>
        <v>Y</v>
      </c>
      <c r="T757" s="9" t="str">
        <f aca="false">IF(Raw_Donors!S757="","",Raw_Donors!S757)</f>
        <v/>
      </c>
      <c r="U757" s="9" t="str">
        <f aca="false">IF(AND((O757+P757)&gt;0,Q757=0),"Lapsed - Follow Up","")</f>
        <v/>
      </c>
      <c r="V757" s="9" t="n">
        <f aca="false">RANK(R757,$R$2:$R$759)+COUNTIF($R$2:R757,R757)-1</f>
        <v>309</v>
      </c>
      <c r="W757" s="9" t="str">
        <f aca="false">IF(U757="Lapsed - Follow Up",COUNTIF($U$2:U757,"Lapsed - Follow Up"),"")</f>
        <v/>
      </c>
    </row>
    <row r="758" customFormat="false" ht="15" hidden="false" customHeight="true" outlineLevel="0" collapsed="false">
      <c r="A758" s="9" t="str">
        <f aca="false">Raw_Donors!A758</f>
        <v>D1472-DUP</v>
      </c>
      <c r="B758" s="9" t="str">
        <f aca="false">IF(ISNUMBER(SEARCH("-DUP",A758)),"Duplicate ID","")</f>
        <v>Duplicate ID</v>
      </c>
      <c r="C758" s="9" t="n">
        <f aca="false">Raw_Donors!B758</f>
        <v>50381</v>
      </c>
      <c r="D758" s="9" t="n">
        <f aca="false">Raw_Donors!C758</f>
        <v>73</v>
      </c>
      <c r="E758" s="9" t="str">
        <f aca="false">IFERROR(IF(Raw_Donors!D758="","Unknown",Raw_Donors!D758),"Unknown")</f>
        <v>Unknown</v>
      </c>
      <c r="F758" s="9" t="str">
        <f aca="false">IFERROR(IF(Raw_Donors!E758="","Unknown",Raw_Donors!E758),"Unknown")</f>
        <v>Female</v>
      </c>
      <c r="G758" s="9" t="str">
        <f aca="false">PROPER(TRIM(Raw_Donors!F758))</f>
        <v>Individual Donor</v>
      </c>
      <c r="H758" s="9" t="str">
        <f aca="false">IFERROR(IF(Raw_Donors!G758="","N",Raw_Donors!G758),"N")</f>
        <v>N</v>
      </c>
      <c r="I758" s="9" t="str">
        <f aca="false">IF(Raw_Donors!H758="","Not Rated",Raw_Donors!H758)</f>
        <v>Not Rated</v>
      </c>
      <c r="J758" s="9" t="str">
        <f aca="false">IF(TRIM(Raw_Donors!I758)="","Unknown",TRIM(Raw_Donors!I758))</f>
        <v>HOME</v>
      </c>
      <c r="K758" s="9" t="str">
        <f aca="false">Raw_Donors!J758</f>
        <v>N</v>
      </c>
      <c r="L758" s="9" t="n">
        <f aca="false">Raw_Donors!K758</f>
        <v>0</v>
      </c>
      <c r="M758" s="10" t="n">
        <f aca="false">IFERROR(VALUE(SUBSTITUTE(SUBSTITUTE(Raw_Donors!L758,"$",""),",","")),0)</f>
        <v>0</v>
      </c>
      <c r="N758" s="10" t="n">
        <f aca="false">IFERROR(VALUE(SUBSTITUTE(SUBSTITUTE(Raw_Donors!M758,"$",""),",","")),0)</f>
        <v>0</v>
      </c>
      <c r="O758" s="10" t="n">
        <f aca="false">IFERROR(VALUE(SUBSTITUTE(SUBSTITUTE(Raw_Donors!N758,"$",""),",","")),0)</f>
        <v>0</v>
      </c>
      <c r="P758" s="10" t="n">
        <f aca="false">IFERROR(VALUE(SUBSTITUTE(SUBSTITUTE(Raw_Donors!O758,"$",""),",","")),0)</f>
        <v>0</v>
      </c>
      <c r="Q758" s="10" t="n">
        <f aca="false">IFERROR(VALUE(SUBSTITUTE(SUBSTITUTE(Raw_Donors!P758,"$",""),",","")),0)</f>
        <v>0</v>
      </c>
      <c r="R758" s="10" t="n">
        <f aca="false">Raw_Donors!Q758</f>
        <v>25</v>
      </c>
      <c r="S758" s="9" t="str">
        <f aca="false">Raw_Donors!R758</f>
        <v>Y</v>
      </c>
      <c r="T758" s="9" t="str">
        <f aca="false">IF(Raw_Donors!S758="","",Raw_Donors!S758)</f>
        <v>1944-06-09</v>
      </c>
      <c r="U758" s="9" t="str">
        <f aca="false">IF(AND((O758+P758)&gt;0,Q758=0),"Lapsed - Follow Up","")</f>
        <v/>
      </c>
      <c r="V758" s="9" t="n">
        <f aca="false">RANK(R758,$R$2:$R$759)+COUNTIF($R$2:R758,R758)-1</f>
        <v>465</v>
      </c>
      <c r="W758" s="9" t="str">
        <f aca="false">IF(U758="Lapsed - Follow Up",COUNTIF($U$2:U758,"Lapsed - Follow Up"),"")</f>
        <v/>
      </c>
    </row>
    <row r="759" customFormat="false" ht="15" hidden="false" customHeight="true" outlineLevel="0" collapsed="false">
      <c r="A759" s="9" t="str">
        <f aca="false">Raw_Donors!A759</f>
        <v>D1351-DUP</v>
      </c>
      <c r="B759" s="9" t="str">
        <f aca="false">IF(ISNUMBER(SEARCH("-DUP",A759)),"Duplicate ID","")</f>
        <v>Duplicate ID</v>
      </c>
      <c r="C759" s="9" t="n">
        <f aca="false">Raw_Donors!B759</f>
        <v>90265</v>
      </c>
      <c r="D759" s="9" t="n">
        <f aca="false">Raw_Donors!C759</f>
        <v>50</v>
      </c>
      <c r="E759" s="9" t="str">
        <f aca="false">IFERROR(IF(Raw_Donors!D759="","Unknown",Raw_Donors!D759),"Unknown")</f>
        <v>Unknown</v>
      </c>
      <c r="F759" s="9" t="str">
        <f aca="false">IFERROR(IF(Raw_Donors!E759="","Unknown",Raw_Donors!E759),"Unknown")</f>
        <v>Female</v>
      </c>
      <c r="G759" s="9" t="str">
        <f aca="false">PROPER(TRIM(Raw_Donors!F759))</f>
        <v>Community Partner</v>
      </c>
      <c r="H759" s="9" t="str">
        <f aca="false">IFERROR(IF(Raw_Donors!G759="","N",Raw_Donors!G759),"N")</f>
        <v>Y</v>
      </c>
      <c r="I759" s="9" t="str">
        <f aca="false">IF(Raw_Donors!H759="","Not Rated",Raw_Donors!H759)</f>
        <v>Not Rated</v>
      </c>
      <c r="J759" s="9" t="str">
        <f aca="false">IF(TRIM(Raw_Donors!I759)="","Unknown",TRIM(Raw_Donors!I759))</f>
        <v>HOME</v>
      </c>
      <c r="K759" s="9" t="str">
        <f aca="false">Raw_Donors!J759</f>
        <v>N</v>
      </c>
      <c r="L759" s="9" t="n">
        <f aca="false">Raw_Donors!K759</f>
        <v>1</v>
      </c>
      <c r="M759" s="10" t="n">
        <f aca="false">IFERROR(VALUE(SUBSTITUTE(SUBSTITUTE(Raw_Donors!L759,"$",""),",","")),0)</f>
        <v>0</v>
      </c>
      <c r="N759" s="10" t="n">
        <f aca="false">IFERROR(VALUE(SUBSTITUTE(SUBSTITUTE(Raw_Donors!M759,"$",""),",","")),0)</f>
        <v>0</v>
      </c>
      <c r="O759" s="10" t="n">
        <f aca="false">IFERROR(VALUE(SUBSTITUTE(SUBSTITUTE(Raw_Donors!N759,"$",""),",","")),0)</f>
        <v>0</v>
      </c>
      <c r="P759" s="10" t="n">
        <f aca="false">IFERROR(VALUE(SUBSTITUTE(SUBSTITUTE(Raw_Donors!O759,"$",""),",","")),0)</f>
        <v>0</v>
      </c>
      <c r="Q759" s="10" t="n">
        <f aca="false">IFERROR(VALUE(SUBSTITUTE(SUBSTITUTE(Raw_Donors!P759,"$",""),",","")),0)</f>
        <v>0</v>
      </c>
      <c r="R759" s="10" t="n">
        <f aca="false">Raw_Donors!Q759</f>
        <v>240</v>
      </c>
      <c r="S759" s="9" t="str">
        <f aca="false">Raw_Donors!R759</f>
        <v>Y</v>
      </c>
      <c r="T759" s="9" t="str">
        <f aca="false">IF(Raw_Donors!S759="","",Raw_Donors!S759)</f>
        <v>1967-05-08</v>
      </c>
      <c r="U759" s="9" t="str">
        <f aca="false">IF(AND((O759+P759)&gt;0,Q759=0),"Lapsed - Follow Up","")</f>
        <v/>
      </c>
      <c r="V759" s="9" t="n">
        <f aca="false">RANK(R759,$R$2:$R$759)+COUNTIF($R$2:R759,R759)-1</f>
        <v>180</v>
      </c>
      <c r="W759" s="9" t="str">
        <f aca="false">IF(U759="Lapsed - Follow Up",COUNTIF($U$2:U759,"Lapsed - Follow Up"),"")</f>
        <v/>
      </c>
    </row>
  </sheetData>
  <conditionalFormatting sqref="B2:B759">
    <cfRule type="expression" priority="2" aboveAverage="0" equalAverage="0" bottom="0" percent="0" rank="0" text="" dxfId="4">
      <formula>$B2&lt;&gt;""</formula>
    </cfRule>
  </conditionalFormatting>
  <conditionalFormatting sqref="U2:U759">
    <cfRule type="expression" priority="3" aboveAverage="0" equalAverage="0" bottom="0" percent="0" rank="0" text="" dxfId="4">
      <formula>$U2&lt;&gt;""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9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14"/>
    <col collapsed="false" customWidth="true" hidden="false" outlineLevel="0" max="4" min="4" style="1" width="12"/>
    <col collapsed="false" customWidth="true" hidden="false" outlineLevel="0" max="5" min="5" style="1" width="18"/>
    <col collapsed="false" customWidth="true" hidden="false" outlineLevel="0" max="6" min="6" style="1" width="12"/>
    <col collapsed="false" customWidth="true" hidden="false" outlineLevel="0" max="7" min="7" style="1" width="16"/>
    <col collapsed="false" customWidth="true" hidden="false" outlineLevel="0" max="8" min="8" style="1" width="20"/>
    <col collapsed="false" customWidth="true" hidden="false" outlineLevel="0" max="9" min="9" style="1" width="11"/>
  </cols>
  <sheetData>
    <row r="1" customFormat="false" ht="27.75" hidden="false" customHeight="true" outlineLevel="0" collapsed="false">
      <c r="A1" s="8" t="s">
        <v>1167</v>
      </c>
      <c r="B1" s="8" t="s">
        <v>2453</v>
      </c>
      <c r="C1" s="8" t="s">
        <v>2459</v>
      </c>
      <c r="D1" s="8" t="s">
        <v>2460</v>
      </c>
      <c r="E1" s="8" t="s">
        <v>1169</v>
      </c>
      <c r="F1" s="8" t="s">
        <v>1170</v>
      </c>
      <c r="G1" s="8" t="s">
        <v>2461</v>
      </c>
      <c r="H1" s="8" t="s">
        <v>1172</v>
      </c>
      <c r="I1" s="8" t="s">
        <v>2462</v>
      </c>
    </row>
    <row r="2" customFormat="false" ht="15" hidden="false" customHeight="true" outlineLevel="0" collapsed="false">
      <c r="A2" s="9" t="str">
        <f aca="false">Raw_Volunteers!A2</f>
        <v>V2001</v>
      </c>
      <c r="B2" s="9" t="str">
        <f aca="false">IF(COUNTIFS(Raw_Volunteers!$A$2:$A$926,Raw_Volunteers!A2,Raw_Volunteers!$D$2:$D$926,Raw_Volunteers!D2,Raw_Volunteers!$E$2:$E$926,Raw_Volunteers!E2,Raw_Volunteers!$G$2:$G$926,Raw_Volunteers!G2)&gt;1,"Possible Duplicate","")</f>
        <v/>
      </c>
      <c r="C2" s="9" t="str">
        <f aca="false">Raw_Volunteers!B2</f>
        <v>D1259</v>
      </c>
      <c r="D2" s="9" t="str">
        <f aca="false">IF(C2="","No","Yes")</f>
        <v>Yes</v>
      </c>
      <c r="E2" s="9" t="str">
        <f aca="false">Raw_Volunteers!C2</f>
        <v>Elizabeth Wright</v>
      </c>
      <c r="F2" s="9" t="str">
        <f aca="false">Raw_Volunteers!D2</f>
        <v>03/03/2025</v>
      </c>
      <c r="G2" s="9" t="str">
        <f aca="false">PROPER(TRIM(Raw_Volunteers!E2))</f>
        <v>Warehouse Loading</v>
      </c>
      <c r="H2" s="9" t="str">
        <f aca="false">Raw_Volunteers!F2</f>
        <v>Main Warehouse</v>
      </c>
      <c r="I2" s="9" t="n">
        <f aca="false">IF(Raw_Volunteers!G2="",ROUND(AVERAGE(Raw_Volunteers!$G$2:$G$926),1),Raw_Volunteers!G2)</f>
        <v>3</v>
      </c>
    </row>
    <row r="3" customFormat="false" ht="15" hidden="false" customHeight="true" outlineLevel="0" collapsed="false">
      <c r="A3" s="9" t="str">
        <f aca="false">Raw_Volunteers!A3</f>
        <v>V2001</v>
      </c>
      <c r="B3" s="9" t="str">
        <f aca="false">IF(COUNTIFS(Raw_Volunteers!$A$2:$A$926,Raw_Volunteers!A3,Raw_Volunteers!$D$2:$D$926,Raw_Volunteers!D3,Raw_Volunteers!$E$2:$E$926,Raw_Volunteers!E3,Raw_Volunteers!$G$2:$G$926,Raw_Volunteers!G3)&gt;1,"Possible Duplicate","")</f>
        <v/>
      </c>
      <c r="C3" s="9" t="str">
        <f aca="false">Raw_Volunteers!B3</f>
        <v>D1259</v>
      </c>
      <c r="D3" s="9" t="str">
        <f aca="false">IF(C3="","No","Yes")</f>
        <v>Yes</v>
      </c>
      <c r="E3" s="9" t="str">
        <f aca="false">Raw_Volunteers!C3</f>
        <v>Elizabeth Wright</v>
      </c>
      <c r="F3" s="9" t="str">
        <f aca="false">Raw_Volunteers!D3</f>
        <v>05/24/2026</v>
      </c>
      <c r="G3" s="9" t="str">
        <f aca="false">PROPER(TRIM(Raw_Volunteers!E3))</f>
        <v>Food Sorting</v>
      </c>
      <c r="H3" s="9" t="str">
        <f aca="false">Raw_Volunteers!F3</f>
        <v>Main Warehouse</v>
      </c>
      <c r="I3" s="9" t="n">
        <f aca="false">IF(Raw_Volunteers!G3="",ROUND(AVERAGE(Raw_Volunteers!$G$2:$G$926),1),Raw_Volunteers!G3)</f>
        <v>6</v>
      </c>
    </row>
    <row r="4" customFormat="false" ht="15" hidden="false" customHeight="true" outlineLevel="0" collapsed="false">
      <c r="A4" s="9" t="str">
        <f aca="false">Raw_Volunteers!A4</f>
        <v>V2001</v>
      </c>
      <c r="B4" s="9" t="str">
        <f aca="false">IF(COUNTIFS(Raw_Volunteers!$A$2:$A$926,Raw_Volunteers!A4,Raw_Volunteers!$D$2:$D$926,Raw_Volunteers!D4,Raw_Volunteers!$E$2:$E$926,Raw_Volunteers!E4,Raw_Volunteers!$G$2:$G$926,Raw_Volunteers!G4)&gt;1,"Possible Duplicate","")</f>
        <v/>
      </c>
      <c r="C4" s="9" t="str">
        <f aca="false">Raw_Volunteers!B4</f>
        <v>D1259</v>
      </c>
      <c r="D4" s="9" t="str">
        <f aca="false">IF(C4="","No","Yes")</f>
        <v>Yes</v>
      </c>
      <c r="E4" s="9" t="str">
        <f aca="false">Raw_Volunteers!C4</f>
        <v>Elizabeth Wright</v>
      </c>
      <c r="F4" s="9" t="str">
        <f aca="false">Raw_Volunteers!D4</f>
        <v>12/29/2024</v>
      </c>
      <c r="G4" s="9" t="str">
        <f aca="false">PROPER(TRIM(Raw_Volunteers!E4))</f>
        <v>Warehouse Loading</v>
      </c>
      <c r="H4" s="9" t="str">
        <f aca="false">Raw_Volunteers!F4</f>
        <v>Downtown Pantry</v>
      </c>
      <c r="I4" s="9" t="n">
        <f aca="false">IF(Raw_Volunteers!G4="",ROUND(AVERAGE(Raw_Volunteers!$G$2:$G$926),1),Raw_Volunteers!G4)</f>
        <v>2</v>
      </c>
    </row>
    <row r="5" customFormat="false" ht="15" hidden="false" customHeight="true" outlineLevel="0" collapsed="false">
      <c r="A5" s="9" t="str">
        <f aca="false">Raw_Volunteers!A5</f>
        <v>V2002</v>
      </c>
      <c r="B5" s="9" t="str">
        <f aca="false">IF(COUNTIFS(Raw_Volunteers!$A$2:$A$926,Raw_Volunteers!A5,Raw_Volunteers!$D$2:$D$926,Raw_Volunteers!D5,Raw_Volunteers!$E$2:$E$926,Raw_Volunteers!E5,Raw_Volunteers!$G$2:$G$926,Raw_Volunteers!G5)&gt;1,"Possible Duplicate","")</f>
        <v/>
      </c>
      <c r="C5" s="9" t="str">
        <f aca="false">Raw_Volunteers!B5</f>
        <v>D1351-DUP</v>
      </c>
      <c r="D5" s="9" t="str">
        <f aca="false">IF(C5="","No","Yes")</f>
        <v>Yes</v>
      </c>
      <c r="E5" s="9" t="str">
        <f aca="false">Raw_Volunteers!C5</f>
        <v>Kevin Young</v>
      </c>
      <c r="F5" s="9" t="str">
        <f aca="false">Raw_Volunteers!D5</f>
        <v>05/10/2025</v>
      </c>
      <c r="G5" s="9" t="str">
        <f aca="false">PROPER(TRIM(Raw_Volunteers!E5))</f>
        <v>Mobile Distribution Driver</v>
      </c>
      <c r="H5" s="9" t="str">
        <f aca="false">Raw_Volunteers!F5</f>
        <v>Mobile Unit - Route A</v>
      </c>
      <c r="I5" s="9" t="n">
        <f aca="false">IF(Raw_Volunteers!G5="",ROUND(AVERAGE(Raw_Volunteers!$G$2:$G$926),1),Raw_Volunteers!G5)</f>
        <v>4</v>
      </c>
    </row>
    <row r="6" customFormat="false" ht="15" hidden="false" customHeight="true" outlineLevel="0" collapsed="false">
      <c r="A6" s="9" t="str">
        <f aca="false">Raw_Volunteers!A6</f>
        <v>V2002</v>
      </c>
      <c r="B6" s="9" t="str">
        <f aca="false">IF(COUNTIFS(Raw_Volunteers!$A$2:$A$926,Raw_Volunteers!A6,Raw_Volunteers!$D$2:$D$926,Raw_Volunteers!D6,Raw_Volunteers!$E$2:$E$926,Raw_Volunteers!E6,Raw_Volunteers!$G$2:$G$926,Raw_Volunteers!G6)&gt;1,"Possible Duplicate","")</f>
        <v/>
      </c>
      <c r="C6" s="9" t="str">
        <f aca="false">Raw_Volunteers!B6</f>
        <v>D1351-DUP</v>
      </c>
      <c r="D6" s="9" t="str">
        <f aca="false">IF(C6="","No","Yes")</f>
        <v>Yes</v>
      </c>
      <c r="E6" s="9" t="str">
        <f aca="false">Raw_Volunteers!C6</f>
        <v>Kevin Young</v>
      </c>
      <c r="F6" s="9" t="str">
        <f aca="false">Raw_Volunteers!D6</f>
        <v>07/13/2025</v>
      </c>
      <c r="G6" s="9" t="str">
        <f aca="false">PROPER(TRIM(Raw_Volunteers!E6))</f>
        <v>Event Setup</v>
      </c>
      <c r="H6" s="9" t="str">
        <f aca="false">Raw_Volunteers!F6</f>
        <v>Mobile Unit - Route B</v>
      </c>
      <c r="I6" s="9" t="n">
        <f aca="false">IF(Raw_Volunteers!G6="",ROUND(AVERAGE(Raw_Volunteers!$G$2:$G$926),1),Raw_Volunteers!G6)</f>
        <v>3</v>
      </c>
    </row>
    <row r="7" customFormat="false" ht="15" hidden="false" customHeight="true" outlineLevel="0" collapsed="false">
      <c r="A7" s="9" t="str">
        <f aca="false">Raw_Volunteers!A7</f>
        <v>V2002</v>
      </c>
      <c r="B7" s="9" t="str">
        <f aca="false">IF(COUNTIFS(Raw_Volunteers!$A$2:$A$926,Raw_Volunteers!A7,Raw_Volunteers!$D$2:$D$926,Raw_Volunteers!D7,Raw_Volunteers!$E$2:$E$926,Raw_Volunteers!E7,Raw_Volunteers!$G$2:$G$926,Raw_Volunteers!G7)&gt;1,"Possible Duplicate","")</f>
        <v/>
      </c>
      <c r="C7" s="9" t="str">
        <f aca="false">Raw_Volunteers!B7</f>
        <v>D1351-DUP</v>
      </c>
      <c r="D7" s="9" t="str">
        <f aca="false">IF(C7="","No","Yes")</f>
        <v>Yes</v>
      </c>
      <c r="E7" s="9" t="str">
        <f aca="false">Raw_Volunteers!C7</f>
        <v>Kevin Young</v>
      </c>
      <c r="F7" s="9" t="str">
        <f aca="false">Raw_Volunteers!D7</f>
        <v>06/20/2025</v>
      </c>
      <c r="G7" s="9" t="str">
        <f aca="false">PROPER(TRIM(Raw_Volunteers!E7))</f>
        <v>Front Desk Greeter</v>
      </c>
      <c r="H7" s="9" t="str">
        <f aca="false">Raw_Volunteers!F7</f>
        <v>Downtown Pantry</v>
      </c>
      <c r="I7" s="9" t="n">
        <f aca="false">IF(Raw_Volunteers!G7="",ROUND(AVERAGE(Raw_Volunteers!$G$2:$G$926),1),Raw_Volunteers!G7)</f>
        <v>2</v>
      </c>
    </row>
    <row r="8" customFormat="false" ht="15" hidden="false" customHeight="true" outlineLevel="0" collapsed="false">
      <c r="A8" s="9" t="str">
        <f aca="false">Raw_Volunteers!A8</f>
        <v>V2002</v>
      </c>
      <c r="B8" s="9" t="str">
        <f aca="false">IF(COUNTIFS(Raw_Volunteers!$A$2:$A$926,Raw_Volunteers!A8,Raw_Volunteers!$D$2:$D$926,Raw_Volunteers!D8,Raw_Volunteers!$E$2:$E$926,Raw_Volunteers!E8,Raw_Volunteers!$G$2:$G$926,Raw_Volunteers!G8)&gt;1,"Possible Duplicate","")</f>
        <v/>
      </c>
      <c r="C8" s="9" t="str">
        <f aca="false">Raw_Volunteers!B8</f>
        <v>D1351-DUP</v>
      </c>
      <c r="D8" s="9" t="str">
        <f aca="false">IF(C8="","No","Yes")</f>
        <v>Yes</v>
      </c>
      <c r="E8" s="9" t="str">
        <f aca="false">Raw_Volunteers!C8</f>
        <v>Kevin Young</v>
      </c>
      <c r="F8" s="9" t="str">
        <f aca="false">Raw_Volunteers!D8</f>
        <v>02/03/2024</v>
      </c>
      <c r="G8" s="9" t="str">
        <f aca="false">PROPER(TRIM(Raw_Volunteers!E8))</f>
        <v>Front Desk Greeter</v>
      </c>
      <c r="H8" s="9" t="str">
        <f aca="false">Raw_Volunteers!F8</f>
        <v>Mobile Unit - Route B</v>
      </c>
      <c r="I8" s="9" t="n">
        <f aca="false">IF(Raw_Volunteers!G8="",ROUND(AVERAGE(Raw_Volunteers!$G$2:$G$926),1),Raw_Volunteers!G8)</f>
        <v>2</v>
      </c>
    </row>
    <row r="9" customFormat="false" ht="15" hidden="false" customHeight="true" outlineLevel="0" collapsed="false">
      <c r="A9" s="9" t="str">
        <f aca="false">Raw_Volunteers!A9</f>
        <v>V2002</v>
      </c>
      <c r="B9" s="9" t="str">
        <f aca="false">IF(COUNTIFS(Raw_Volunteers!$A$2:$A$926,Raw_Volunteers!A9,Raw_Volunteers!$D$2:$D$926,Raw_Volunteers!D9,Raw_Volunteers!$E$2:$E$926,Raw_Volunteers!E9,Raw_Volunteers!$G$2:$G$926,Raw_Volunteers!G9)&gt;1,"Possible Duplicate","")</f>
        <v/>
      </c>
      <c r="C9" s="9" t="str">
        <f aca="false">Raw_Volunteers!B9</f>
        <v>D1351-DUP</v>
      </c>
      <c r="D9" s="9" t="str">
        <f aca="false">IF(C9="","No","Yes")</f>
        <v>Yes</v>
      </c>
      <c r="E9" s="9" t="str">
        <f aca="false">Raw_Volunteers!C9</f>
        <v>Kevin Young</v>
      </c>
      <c r="F9" s="9" t="str">
        <f aca="false">Raw_Volunteers!D9</f>
        <v>08/30/2025</v>
      </c>
      <c r="G9" s="9" t="str">
        <f aca="false">PROPER(TRIM(Raw_Volunteers!E9))</f>
        <v>Warehouse Loading</v>
      </c>
      <c r="H9" s="9" t="str">
        <f aca="false">Raw_Volunteers!F9</f>
        <v>Mobile Unit - Route B</v>
      </c>
      <c r="I9" s="9" t="n">
        <f aca="false">IF(Raw_Volunteers!G9="",ROUND(AVERAGE(Raw_Volunteers!$G$2:$G$926),1),Raw_Volunteers!G9)</f>
        <v>3</v>
      </c>
    </row>
    <row r="10" customFormat="false" ht="15" hidden="false" customHeight="true" outlineLevel="0" collapsed="false">
      <c r="A10" s="9" t="str">
        <f aca="false">Raw_Volunteers!A10</f>
        <v>V2002</v>
      </c>
      <c r="B10" s="9" t="str">
        <f aca="false">IF(COUNTIFS(Raw_Volunteers!$A$2:$A$926,Raw_Volunteers!A10,Raw_Volunteers!$D$2:$D$926,Raw_Volunteers!D10,Raw_Volunteers!$E$2:$E$926,Raw_Volunteers!E10,Raw_Volunteers!$G$2:$G$926,Raw_Volunteers!G10)&gt;1,"Possible Duplicate","")</f>
        <v/>
      </c>
      <c r="C10" s="9" t="str">
        <f aca="false">Raw_Volunteers!B10</f>
        <v>D1351-DUP</v>
      </c>
      <c r="D10" s="9" t="str">
        <f aca="false">IF(C10="","No","Yes")</f>
        <v>Yes</v>
      </c>
      <c r="E10" s="9" t="str">
        <f aca="false">Raw_Volunteers!C10</f>
        <v>Kevin Young</v>
      </c>
      <c r="F10" s="9" t="str">
        <f aca="false">Raw_Volunteers!D10</f>
        <v>05/12/2026</v>
      </c>
      <c r="G10" s="9" t="str">
        <f aca="false">PROPER(TRIM(Raw_Volunteers!E10))</f>
        <v>Event Setup</v>
      </c>
      <c r="H10" s="9" t="str">
        <f aca="false">Raw_Volunteers!F10</f>
        <v>Community Center Site</v>
      </c>
      <c r="I10" s="9" t="n">
        <f aca="false">IF(Raw_Volunteers!G10="",ROUND(AVERAGE(Raw_Volunteers!$G$2:$G$926),1),Raw_Volunteers!G10)</f>
        <v>2</v>
      </c>
    </row>
    <row r="11" customFormat="false" ht="15" hidden="false" customHeight="true" outlineLevel="0" collapsed="false">
      <c r="A11" s="9" t="str">
        <f aca="false">Raw_Volunteers!A11</f>
        <v>V2002</v>
      </c>
      <c r="B11" s="9" t="str">
        <f aca="false">IF(COUNTIFS(Raw_Volunteers!$A$2:$A$926,Raw_Volunteers!A11,Raw_Volunteers!$D$2:$D$926,Raw_Volunteers!D11,Raw_Volunteers!$E$2:$E$926,Raw_Volunteers!E11,Raw_Volunteers!$G$2:$G$926,Raw_Volunteers!G11)&gt;1,"Possible Duplicate","")</f>
        <v/>
      </c>
      <c r="C11" s="9" t="str">
        <f aca="false">Raw_Volunteers!B11</f>
        <v>D1351-DUP</v>
      </c>
      <c r="D11" s="9" t="str">
        <f aca="false">IF(C11="","No","Yes")</f>
        <v>Yes</v>
      </c>
      <c r="E11" s="9" t="str">
        <f aca="false">Raw_Volunteers!C11</f>
        <v>Kevin Young</v>
      </c>
      <c r="F11" s="9" t="str">
        <f aca="false">Raw_Volunteers!D11</f>
        <v>02/04/2025</v>
      </c>
      <c r="G11" s="9" t="str">
        <f aca="false">PROPER(TRIM(Raw_Volunteers!E11))</f>
        <v>Pantry Stocking</v>
      </c>
      <c r="H11" s="9" t="str">
        <f aca="false">Raw_Volunteers!F11</f>
        <v>Mobile Unit - Route A</v>
      </c>
      <c r="I11" s="9" t="n">
        <f aca="false">IF(Raw_Volunteers!G11="",ROUND(AVERAGE(Raw_Volunteers!$G$2:$G$926),1),Raw_Volunteers!G11)</f>
        <v>3</v>
      </c>
    </row>
    <row r="12" customFormat="false" ht="15" hidden="false" customHeight="true" outlineLevel="0" collapsed="false">
      <c r="A12" s="9" t="str">
        <f aca="false">Raw_Volunteers!A12</f>
        <v>V2002</v>
      </c>
      <c r="B12" s="9" t="str">
        <f aca="false">IF(COUNTIFS(Raw_Volunteers!$A$2:$A$926,Raw_Volunteers!A12,Raw_Volunteers!$D$2:$D$926,Raw_Volunteers!D12,Raw_Volunteers!$E$2:$E$926,Raw_Volunteers!E12,Raw_Volunteers!$G$2:$G$926,Raw_Volunteers!G12)&gt;1,"Possible Duplicate","")</f>
        <v/>
      </c>
      <c r="C12" s="9" t="str">
        <f aca="false">Raw_Volunteers!B12</f>
        <v>D1351-DUP</v>
      </c>
      <c r="D12" s="9" t="str">
        <f aca="false">IF(C12="","No","Yes")</f>
        <v>Yes</v>
      </c>
      <c r="E12" s="9" t="str">
        <f aca="false">Raw_Volunteers!C12</f>
        <v>Kevin Young</v>
      </c>
      <c r="F12" s="9" t="str">
        <f aca="false">Raw_Volunteers!D12</f>
        <v>01/15/2025</v>
      </c>
      <c r="G12" s="9" t="str">
        <f aca="false">PROPER(TRIM(Raw_Volunteers!E12))</f>
        <v>Front Desk Greeter</v>
      </c>
      <c r="H12" s="9" t="str">
        <f aca="false">Raw_Volunteers!F12</f>
        <v>Downtown Pantry</v>
      </c>
      <c r="I12" s="9" t="n">
        <f aca="false">IF(Raw_Volunteers!G12="",ROUND(AVERAGE(Raw_Volunteers!$G$2:$G$926),1),Raw_Volunteers!G12)</f>
        <v>2</v>
      </c>
    </row>
    <row r="13" customFormat="false" ht="15" hidden="false" customHeight="true" outlineLevel="0" collapsed="false">
      <c r="A13" s="9" t="str">
        <f aca="false">Raw_Volunteers!A13</f>
        <v>V2003</v>
      </c>
      <c r="B13" s="9" t="str">
        <f aca="false">IF(COUNTIFS(Raw_Volunteers!$A$2:$A$926,Raw_Volunteers!A13,Raw_Volunteers!$D$2:$D$926,Raw_Volunteers!D13,Raw_Volunteers!$E$2:$E$926,Raw_Volunteers!E13,Raw_Volunteers!$G$2:$G$926,Raw_Volunteers!G13)&gt;1,"Possible Duplicate","")</f>
        <v/>
      </c>
      <c r="C13" s="9" t="str">
        <f aca="false">Raw_Volunteers!B13</f>
        <v>D1605</v>
      </c>
      <c r="D13" s="9" t="str">
        <f aca="false">IF(C13="","No","Yes")</f>
        <v>Yes</v>
      </c>
      <c r="E13" s="9" t="str">
        <f aca="false">Raw_Volunteers!C13</f>
        <v>Donald King</v>
      </c>
      <c r="F13" s="9" t="str">
        <f aca="false">Raw_Volunteers!D13</f>
        <v>07/03/2024</v>
      </c>
      <c r="G13" s="9" t="str">
        <f aca="false">PROPER(TRIM(Raw_Volunteers!E13))</f>
        <v>Warehouse Loading</v>
      </c>
      <c r="H13" s="9" t="str">
        <f aca="false">Raw_Volunteers!F13</f>
        <v>Mobile Unit - Route A</v>
      </c>
      <c r="I13" s="9" t="n">
        <f aca="false">IF(Raw_Volunteers!G13="",ROUND(AVERAGE(Raw_Volunteers!$G$2:$G$926),1),Raw_Volunteers!G13)</f>
        <v>3</v>
      </c>
    </row>
    <row r="14" customFormat="false" ht="15" hidden="false" customHeight="true" outlineLevel="0" collapsed="false">
      <c r="A14" s="9" t="str">
        <f aca="false">Raw_Volunteers!A14</f>
        <v>V2003</v>
      </c>
      <c r="B14" s="9" t="str">
        <f aca="false">IF(COUNTIFS(Raw_Volunteers!$A$2:$A$926,Raw_Volunteers!A14,Raw_Volunteers!$D$2:$D$926,Raw_Volunteers!D14,Raw_Volunteers!$E$2:$E$926,Raw_Volunteers!E14,Raw_Volunteers!$G$2:$G$926,Raw_Volunteers!G14)&gt;1,"Possible Duplicate","")</f>
        <v/>
      </c>
      <c r="C14" s="9" t="str">
        <f aca="false">Raw_Volunteers!B14</f>
        <v>D1605</v>
      </c>
      <c r="D14" s="9" t="str">
        <f aca="false">IF(C14="","No","Yes")</f>
        <v>Yes</v>
      </c>
      <c r="E14" s="9" t="str">
        <f aca="false">Raw_Volunteers!C14</f>
        <v>Donald King</v>
      </c>
      <c r="F14" s="9" t="str">
        <f aca="false">Raw_Volunteers!D14</f>
        <v>02/14/2024</v>
      </c>
      <c r="G14" s="9" t="str">
        <f aca="false">PROPER(TRIM(Raw_Volunteers!E14))</f>
        <v>Holiday Box Packing</v>
      </c>
      <c r="H14" s="9" t="str">
        <f aca="false">Raw_Volunteers!F14</f>
        <v>Community Center Site</v>
      </c>
      <c r="I14" s="9" t="n">
        <f aca="false">IF(Raw_Volunteers!G14="",ROUND(AVERAGE(Raw_Volunteers!$G$2:$G$926),1),Raw_Volunteers!G14)</f>
        <v>3</v>
      </c>
    </row>
    <row r="15" customFormat="false" ht="15" hidden="false" customHeight="true" outlineLevel="0" collapsed="false">
      <c r="A15" s="9" t="str">
        <f aca="false">Raw_Volunteers!A15</f>
        <v>V2003</v>
      </c>
      <c r="B15" s="9" t="str">
        <f aca="false">IF(COUNTIFS(Raw_Volunteers!$A$2:$A$926,Raw_Volunteers!A15,Raw_Volunteers!$D$2:$D$926,Raw_Volunteers!D15,Raw_Volunteers!$E$2:$E$926,Raw_Volunteers!E15,Raw_Volunteers!$G$2:$G$926,Raw_Volunteers!G15)&gt;1,"Possible Duplicate","")</f>
        <v/>
      </c>
      <c r="C15" s="9" t="str">
        <f aca="false">Raw_Volunteers!B15</f>
        <v>D1605</v>
      </c>
      <c r="D15" s="9" t="str">
        <f aca="false">IF(C15="","No","Yes")</f>
        <v>Yes</v>
      </c>
      <c r="E15" s="9" t="str">
        <f aca="false">Raw_Volunteers!C15</f>
        <v>Donald King</v>
      </c>
      <c r="F15" s="9" t="str">
        <f aca="false">Raw_Volunteers!D15</f>
        <v>10/01/2024</v>
      </c>
      <c r="G15" s="9" t="str">
        <f aca="false">PROPER(TRIM(Raw_Volunteers!E15))</f>
        <v>Food Sorting</v>
      </c>
      <c r="H15" s="9" t="str">
        <f aca="false">Raw_Volunteers!F15</f>
        <v>Mobile Unit - Route A</v>
      </c>
      <c r="I15" s="9" t="n">
        <f aca="false">IF(Raw_Volunteers!G15="",ROUND(AVERAGE(Raw_Volunteers!$G$2:$G$926),1),Raw_Volunteers!G15)</f>
        <v>5</v>
      </c>
    </row>
    <row r="16" customFormat="false" ht="15" hidden="false" customHeight="true" outlineLevel="0" collapsed="false">
      <c r="A16" s="9" t="str">
        <f aca="false">Raw_Volunteers!A16</f>
        <v>V2003</v>
      </c>
      <c r="B16" s="9" t="str">
        <f aca="false">IF(COUNTIFS(Raw_Volunteers!$A$2:$A$926,Raw_Volunteers!A16,Raw_Volunteers!$D$2:$D$926,Raw_Volunteers!D16,Raw_Volunteers!$E$2:$E$926,Raw_Volunteers!E16,Raw_Volunteers!$G$2:$G$926,Raw_Volunteers!G16)&gt;1,"Possible Duplicate","")</f>
        <v/>
      </c>
      <c r="C16" s="9" t="str">
        <f aca="false">Raw_Volunteers!B16</f>
        <v>D1605</v>
      </c>
      <c r="D16" s="9" t="str">
        <f aca="false">IF(C16="","No","Yes")</f>
        <v>Yes</v>
      </c>
      <c r="E16" s="9" t="str">
        <f aca="false">Raw_Volunteers!C16</f>
        <v>Donald King</v>
      </c>
      <c r="F16" s="9" t="str">
        <f aca="false">Raw_Volunteers!D16</f>
        <v>01/19/2024</v>
      </c>
      <c r="G16" s="9" t="str">
        <f aca="false">PROPER(TRIM(Raw_Volunteers!E16))</f>
        <v>Warehouse Loading</v>
      </c>
      <c r="H16" s="9" t="str">
        <f aca="false">Raw_Volunteers!F16</f>
        <v>Main Warehouse</v>
      </c>
      <c r="I16" s="9" t="n">
        <f aca="false">IF(Raw_Volunteers!G16="",ROUND(AVERAGE(Raw_Volunteers!$G$2:$G$926),1),Raw_Volunteers!G16)</f>
        <v>3</v>
      </c>
    </row>
    <row r="17" customFormat="false" ht="15" hidden="false" customHeight="true" outlineLevel="0" collapsed="false">
      <c r="A17" s="9" t="str">
        <f aca="false">Raw_Volunteers!A17</f>
        <v>V2003</v>
      </c>
      <c r="B17" s="9" t="str">
        <f aca="false">IF(COUNTIFS(Raw_Volunteers!$A$2:$A$926,Raw_Volunteers!A17,Raw_Volunteers!$D$2:$D$926,Raw_Volunteers!D17,Raw_Volunteers!$E$2:$E$926,Raw_Volunteers!E17,Raw_Volunteers!$G$2:$G$926,Raw_Volunteers!G17)&gt;1,"Possible Duplicate","")</f>
        <v/>
      </c>
      <c r="C17" s="9" t="str">
        <f aca="false">Raw_Volunteers!B17</f>
        <v>D1605</v>
      </c>
      <c r="D17" s="9" t="str">
        <f aca="false">IF(C17="","No","Yes")</f>
        <v>Yes</v>
      </c>
      <c r="E17" s="9" t="str">
        <f aca="false">Raw_Volunteers!C17</f>
        <v>Donald King</v>
      </c>
      <c r="F17" s="9" t="str">
        <f aca="false">Raw_Volunteers!D17</f>
        <v>03/09/2024</v>
      </c>
      <c r="G17" s="9" t="str">
        <f aca="false">PROPER(TRIM(Raw_Volunteers!E17))</f>
        <v>Event Setup</v>
      </c>
      <c r="H17" s="9" t="str">
        <f aca="false">Raw_Volunteers!F17</f>
        <v>Mobile Unit - Route A</v>
      </c>
      <c r="I17" s="9" t="n">
        <f aca="false">IF(Raw_Volunteers!G17="",ROUND(AVERAGE(Raw_Volunteers!$G$2:$G$926),1),Raw_Volunteers!G17)</f>
        <v>3</v>
      </c>
    </row>
    <row r="18" customFormat="false" ht="15" hidden="false" customHeight="true" outlineLevel="0" collapsed="false">
      <c r="A18" s="9" t="str">
        <f aca="false">Raw_Volunteers!A18</f>
        <v>V2003</v>
      </c>
      <c r="B18" s="9" t="str">
        <f aca="false">IF(COUNTIFS(Raw_Volunteers!$A$2:$A$926,Raw_Volunteers!A18,Raw_Volunteers!$D$2:$D$926,Raw_Volunteers!D18,Raw_Volunteers!$E$2:$E$926,Raw_Volunteers!E18,Raw_Volunteers!$G$2:$G$926,Raw_Volunteers!G18)&gt;1,"Possible Duplicate","")</f>
        <v/>
      </c>
      <c r="C18" s="9" t="str">
        <f aca="false">Raw_Volunteers!B18</f>
        <v>D1605</v>
      </c>
      <c r="D18" s="9" t="str">
        <f aca="false">IF(C18="","No","Yes")</f>
        <v>Yes</v>
      </c>
      <c r="E18" s="9" t="str">
        <f aca="false">Raw_Volunteers!C18</f>
        <v>Donald King</v>
      </c>
      <c r="F18" s="9" t="str">
        <f aca="false">Raw_Volunteers!D18</f>
        <v>03/29/2024</v>
      </c>
      <c r="G18" s="9" t="str">
        <f aca="false">PROPER(TRIM(Raw_Volunteers!E18))</f>
        <v>Warehouse Loading</v>
      </c>
      <c r="H18" s="9" t="str">
        <f aca="false">Raw_Volunteers!F18</f>
        <v>Mobile Unit - Route B</v>
      </c>
      <c r="I18" s="9" t="n">
        <f aca="false">IF(Raw_Volunteers!G18="",ROUND(AVERAGE(Raw_Volunteers!$G$2:$G$926),1),Raw_Volunteers!G18)</f>
        <v>2</v>
      </c>
    </row>
    <row r="19" customFormat="false" ht="15" hidden="false" customHeight="true" outlineLevel="0" collapsed="false">
      <c r="A19" s="9" t="str">
        <f aca="false">Raw_Volunteers!A19</f>
        <v>V2003</v>
      </c>
      <c r="B19" s="9" t="str">
        <f aca="false">IF(COUNTIFS(Raw_Volunteers!$A$2:$A$926,Raw_Volunteers!A19,Raw_Volunteers!$D$2:$D$926,Raw_Volunteers!D19,Raw_Volunteers!$E$2:$E$926,Raw_Volunteers!E19,Raw_Volunteers!$G$2:$G$926,Raw_Volunteers!G19)&gt;1,"Possible Duplicate","")</f>
        <v/>
      </c>
      <c r="C19" s="9" t="str">
        <f aca="false">Raw_Volunteers!B19</f>
        <v>D1605</v>
      </c>
      <c r="D19" s="9" t="str">
        <f aca="false">IF(C19="","No","Yes")</f>
        <v>Yes</v>
      </c>
      <c r="E19" s="9" t="str">
        <f aca="false">Raw_Volunteers!C19</f>
        <v>Donald King</v>
      </c>
      <c r="F19" s="9" t="str">
        <f aca="false">Raw_Volunteers!D19</f>
        <v>01/17/2024</v>
      </c>
      <c r="G19" s="9" t="str">
        <f aca="false">PROPER(TRIM(Raw_Volunteers!E19))</f>
        <v>Event Setup</v>
      </c>
      <c r="H19" s="9" t="str">
        <f aca="false">Raw_Volunteers!F19</f>
        <v>Community Center Site</v>
      </c>
      <c r="I19" s="9" t="n">
        <f aca="false">IF(Raw_Volunteers!G19="",ROUND(AVERAGE(Raw_Volunteers!$G$2:$G$926),1),Raw_Volunteers!G19)</f>
        <v>6</v>
      </c>
    </row>
    <row r="20" customFormat="false" ht="15" hidden="false" customHeight="true" outlineLevel="0" collapsed="false">
      <c r="A20" s="9" t="str">
        <f aca="false">Raw_Volunteers!A20</f>
        <v>V2003</v>
      </c>
      <c r="B20" s="9" t="str">
        <f aca="false">IF(COUNTIFS(Raw_Volunteers!$A$2:$A$926,Raw_Volunteers!A20,Raw_Volunteers!$D$2:$D$926,Raw_Volunteers!D20,Raw_Volunteers!$E$2:$E$926,Raw_Volunteers!E20,Raw_Volunteers!$G$2:$G$926,Raw_Volunteers!G20)&gt;1,"Possible Duplicate","")</f>
        <v/>
      </c>
      <c r="C20" s="9" t="str">
        <f aca="false">Raw_Volunteers!B20</f>
        <v>D1605</v>
      </c>
      <c r="D20" s="9" t="str">
        <f aca="false">IF(C20="","No","Yes")</f>
        <v>Yes</v>
      </c>
      <c r="E20" s="9" t="str">
        <f aca="false">Raw_Volunteers!C20</f>
        <v>Donald King</v>
      </c>
      <c r="F20" s="9" t="str">
        <f aca="false">Raw_Volunteers!D20</f>
        <v>08/28/2025</v>
      </c>
      <c r="G20" s="9" t="str">
        <f aca="false">PROPER(TRIM(Raw_Volunteers!E20))</f>
        <v>Pantry Stocking</v>
      </c>
      <c r="H20" s="9" t="str">
        <f aca="false">Raw_Volunteers!F20</f>
        <v>Community Center Site</v>
      </c>
      <c r="I20" s="9" t="n">
        <f aca="false">IF(Raw_Volunteers!G20="",ROUND(AVERAGE(Raw_Volunteers!$G$2:$G$926),1),Raw_Volunteers!G20)</f>
        <v>3</v>
      </c>
    </row>
    <row r="21" customFormat="false" ht="15" hidden="false" customHeight="true" outlineLevel="0" collapsed="false">
      <c r="A21" s="9" t="str">
        <f aca="false">Raw_Volunteers!A21</f>
        <v>V2003</v>
      </c>
      <c r="B21" s="9" t="str">
        <f aca="false">IF(COUNTIFS(Raw_Volunteers!$A$2:$A$926,Raw_Volunteers!A21,Raw_Volunteers!$D$2:$D$926,Raw_Volunteers!D21,Raw_Volunteers!$E$2:$E$926,Raw_Volunteers!E21,Raw_Volunteers!$G$2:$G$926,Raw_Volunteers!G21)&gt;1,"Possible Duplicate","")</f>
        <v/>
      </c>
      <c r="C21" s="9" t="str">
        <f aca="false">Raw_Volunteers!B21</f>
        <v>D1605</v>
      </c>
      <c r="D21" s="9" t="str">
        <f aca="false">IF(C21="","No","Yes")</f>
        <v>Yes</v>
      </c>
      <c r="E21" s="9" t="str">
        <f aca="false">Raw_Volunteers!C21</f>
        <v>Donald King</v>
      </c>
      <c r="F21" s="9" t="str">
        <f aca="false">Raw_Volunteers!D21</f>
        <v>07/25/2024</v>
      </c>
      <c r="G21" s="9" t="str">
        <f aca="false">PROPER(TRIM(Raw_Volunteers!E21))</f>
        <v>Event Setup</v>
      </c>
      <c r="H21" s="9" t="str">
        <f aca="false">Raw_Volunteers!F21</f>
        <v>Mobile Unit - Route A</v>
      </c>
      <c r="I21" s="9" t="n">
        <f aca="false">IF(Raw_Volunteers!G21="",ROUND(AVERAGE(Raw_Volunteers!$G$2:$G$926),1),Raw_Volunteers!G21)</f>
        <v>3</v>
      </c>
    </row>
    <row r="22" customFormat="false" ht="15" hidden="false" customHeight="true" outlineLevel="0" collapsed="false">
      <c r="A22" s="9" t="str">
        <f aca="false">Raw_Volunteers!A22</f>
        <v>V2003</v>
      </c>
      <c r="B22" s="9" t="str">
        <f aca="false">IF(COUNTIFS(Raw_Volunteers!$A$2:$A$926,Raw_Volunteers!A22,Raw_Volunteers!$D$2:$D$926,Raw_Volunteers!D22,Raw_Volunteers!$E$2:$E$926,Raw_Volunteers!E22,Raw_Volunteers!$G$2:$G$926,Raw_Volunteers!G22)&gt;1,"Possible Duplicate","")</f>
        <v/>
      </c>
      <c r="C22" s="9" t="str">
        <f aca="false">Raw_Volunteers!B22</f>
        <v>D1605</v>
      </c>
      <c r="D22" s="9" t="str">
        <f aca="false">IF(C22="","No","Yes")</f>
        <v>Yes</v>
      </c>
      <c r="E22" s="9" t="str">
        <f aca="false">Raw_Volunteers!C22</f>
        <v>Donald King</v>
      </c>
      <c r="F22" s="9" t="str">
        <f aca="false">Raw_Volunteers!D22</f>
        <v>08/29/2024</v>
      </c>
      <c r="G22" s="9" t="str">
        <f aca="false">PROPER(TRIM(Raw_Volunteers!E22))</f>
        <v>Event Setup</v>
      </c>
      <c r="H22" s="9" t="str">
        <f aca="false">Raw_Volunteers!F22</f>
        <v>Downtown Pantry</v>
      </c>
      <c r="I22" s="9" t="n">
        <f aca="false">IF(Raw_Volunteers!G22="",ROUND(AVERAGE(Raw_Volunteers!$G$2:$G$926),1),Raw_Volunteers!G22)</f>
        <v>2</v>
      </c>
    </row>
    <row r="23" customFormat="false" ht="15" hidden="false" customHeight="true" outlineLevel="0" collapsed="false">
      <c r="A23" s="9" t="str">
        <f aca="false">Raw_Volunteers!A23</f>
        <v>V2004</v>
      </c>
      <c r="B23" s="9" t="str">
        <f aca="false">IF(COUNTIFS(Raw_Volunteers!$A$2:$A$926,Raw_Volunteers!A23,Raw_Volunteers!$D$2:$D$926,Raw_Volunteers!D23,Raw_Volunteers!$E$2:$E$926,Raw_Volunteers!E23,Raw_Volunteers!$G$2:$G$926,Raw_Volunteers!G23)&gt;1,"Possible Duplicate","")</f>
        <v/>
      </c>
      <c r="C23" s="9" t="str">
        <f aca="false">Raw_Volunteers!B23</f>
        <v>D1339</v>
      </c>
      <c r="D23" s="9" t="str">
        <f aca="false">IF(C23="","No","Yes")</f>
        <v>Yes</v>
      </c>
      <c r="E23" s="9" t="str">
        <f aca="false">Raw_Volunteers!C23</f>
        <v>Christopher Allen</v>
      </c>
      <c r="F23" s="9" t="str">
        <f aca="false">Raw_Volunteers!D23</f>
        <v>07/17/2024</v>
      </c>
      <c r="G23" s="9" t="str">
        <f aca="false">PROPER(TRIM(Raw_Volunteers!E23))</f>
        <v>Client Intake Assistant</v>
      </c>
      <c r="H23" s="9" t="str">
        <f aca="false">Raw_Volunteers!F23</f>
        <v>Main Warehouse</v>
      </c>
      <c r="I23" s="9" t="n">
        <f aca="false">IF(Raw_Volunteers!G23="",ROUND(AVERAGE(Raw_Volunteers!$G$2:$G$926),1),Raw_Volunteers!G23)</f>
        <v>2</v>
      </c>
    </row>
    <row r="24" customFormat="false" ht="15" hidden="false" customHeight="true" outlineLevel="0" collapsed="false">
      <c r="A24" s="9" t="str">
        <f aca="false">Raw_Volunteers!A24</f>
        <v>V2004</v>
      </c>
      <c r="B24" s="9" t="str">
        <f aca="false">IF(COUNTIFS(Raw_Volunteers!$A$2:$A$926,Raw_Volunteers!A24,Raw_Volunteers!$D$2:$D$926,Raw_Volunteers!D24,Raw_Volunteers!$E$2:$E$926,Raw_Volunteers!E24,Raw_Volunteers!$G$2:$G$926,Raw_Volunteers!G24)&gt;1,"Possible Duplicate","")</f>
        <v/>
      </c>
      <c r="C24" s="9" t="str">
        <f aca="false">Raw_Volunteers!B24</f>
        <v>D1339</v>
      </c>
      <c r="D24" s="9" t="str">
        <f aca="false">IF(C24="","No","Yes")</f>
        <v>Yes</v>
      </c>
      <c r="E24" s="9" t="str">
        <f aca="false">Raw_Volunteers!C24</f>
        <v>Christopher Allen</v>
      </c>
      <c r="F24" s="9" t="str">
        <f aca="false">Raw_Volunteers!D24</f>
        <v>06/17/2025</v>
      </c>
      <c r="G24" s="9" t="str">
        <f aca="false">PROPER(TRIM(Raw_Volunteers!E24))</f>
        <v>Mobile Distribution Driver</v>
      </c>
      <c r="H24" s="9" t="str">
        <f aca="false">Raw_Volunteers!F24</f>
        <v>Mobile Unit - Route B</v>
      </c>
      <c r="I24" s="9" t="n">
        <f aca="false">IF(Raw_Volunteers!G24="",ROUND(AVERAGE(Raw_Volunteers!$G$2:$G$926),1),Raw_Volunteers!G24)</f>
        <v>2</v>
      </c>
    </row>
    <row r="25" customFormat="false" ht="15" hidden="false" customHeight="true" outlineLevel="0" collapsed="false">
      <c r="A25" s="9" t="str">
        <f aca="false">Raw_Volunteers!A25</f>
        <v>V2005</v>
      </c>
      <c r="B25" s="9" t="str">
        <f aca="false">IF(COUNTIFS(Raw_Volunteers!$A$2:$A$926,Raw_Volunteers!A25,Raw_Volunteers!$D$2:$D$926,Raw_Volunteers!D25,Raw_Volunteers!$E$2:$E$926,Raw_Volunteers!E25,Raw_Volunteers!$G$2:$G$926,Raw_Volunteers!G25)&gt;1,"Possible Duplicate","")</f>
        <v/>
      </c>
      <c r="C25" s="9" t="str">
        <f aca="false">Raw_Volunteers!B25</f>
        <v>D1533</v>
      </c>
      <c r="D25" s="9" t="str">
        <f aca="false">IF(C25="","No","Yes")</f>
        <v>Yes</v>
      </c>
      <c r="E25" s="9" t="str">
        <f aca="false">Raw_Volunteers!C25</f>
        <v>Andrew Rodriguez</v>
      </c>
      <c r="F25" s="9" t="str">
        <f aca="false">Raw_Volunteers!D25</f>
        <v>02/04/2026</v>
      </c>
      <c r="G25" s="9" t="str">
        <f aca="false">PROPER(TRIM(Raw_Volunteers!E25))</f>
        <v>Holiday Box Packing</v>
      </c>
      <c r="H25" s="9" t="str">
        <f aca="false">Raw_Volunteers!F25</f>
        <v>Mobile Unit - Route B</v>
      </c>
      <c r="I25" s="9" t="n">
        <f aca="false">IF(Raw_Volunteers!G25="",ROUND(AVERAGE(Raw_Volunteers!$G$2:$G$926),1),Raw_Volunteers!G25)</f>
        <v>3</v>
      </c>
    </row>
    <row r="26" customFormat="false" ht="15" hidden="false" customHeight="true" outlineLevel="0" collapsed="false">
      <c r="A26" s="9" t="str">
        <f aca="false">Raw_Volunteers!A26</f>
        <v>V2005</v>
      </c>
      <c r="B26" s="9" t="str">
        <f aca="false">IF(COUNTIFS(Raw_Volunteers!$A$2:$A$926,Raw_Volunteers!A26,Raw_Volunteers!$D$2:$D$926,Raw_Volunteers!D26,Raw_Volunteers!$E$2:$E$926,Raw_Volunteers!E26,Raw_Volunteers!$G$2:$G$926,Raw_Volunteers!G26)&gt;1,"Possible Duplicate","")</f>
        <v/>
      </c>
      <c r="C26" s="9" t="str">
        <f aca="false">Raw_Volunteers!B26</f>
        <v>D1533</v>
      </c>
      <c r="D26" s="9" t="str">
        <f aca="false">IF(C26="","No","Yes")</f>
        <v>Yes</v>
      </c>
      <c r="E26" s="9" t="str">
        <f aca="false">Raw_Volunteers!C26</f>
        <v>Andrew Rodriguez</v>
      </c>
      <c r="F26" s="9" t="str">
        <f aca="false">Raw_Volunteers!D26</f>
        <v>10/28/2024</v>
      </c>
      <c r="G26" s="9" t="str">
        <f aca="false">PROPER(TRIM(Raw_Volunteers!E26))</f>
        <v>Mobile Distribution Driver</v>
      </c>
      <c r="H26" s="9" t="str">
        <f aca="false">Raw_Volunteers!F26</f>
        <v>Mobile Unit - Route B</v>
      </c>
      <c r="I26" s="9" t="n">
        <f aca="false">IF(Raw_Volunteers!G26="",ROUND(AVERAGE(Raw_Volunteers!$G$2:$G$926),1),Raw_Volunteers!G26)</f>
        <v>3</v>
      </c>
    </row>
    <row r="27" customFormat="false" ht="15" hidden="false" customHeight="true" outlineLevel="0" collapsed="false">
      <c r="A27" s="9" t="str">
        <f aca="false">Raw_Volunteers!A27</f>
        <v>V2005</v>
      </c>
      <c r="B27" s="9" t="str">
        <f aca="false">IF(COUNTIFS(Raw_Volunteers!$A$2:$A$926,Raw_Volunteers!A27,Raw_Volunteers!$D$2:$D$926,Raw_Volunteers!D27,Raw_Volunteers!$E$2:$E$926,Raw_Volunteers!E27,Raw_Volunteers!$G$2:$G$926,Raw_Volunteers!G27)&gt;1,"Possible Duplicate","")</f>
        <v/>
      </c>
      <c r="C27" s="9" t="str">
        <f aca="false">Raw_Volunteers!B27</f>
        <v>D1533</v>
      </c>
      <c r="D27" s="9" t="str">
        <f aca="false">IF(C27="","No","Yes")</f>
        <v>Yes</v>
      </c>
      <c r="E27" s="9" t="str">
        <f aca="false">Raw_Volunteers!C27</f>
        <v>Andrew Rodriguez</v>
      </c>
      <c r="F27" s="9" t="str">
        <f aca="false">Raw_Volunteers!D27</f>
        <v>06/29/2025</v>
      </c>
      <c r="G27" s="9" t="str">
        <f aca="false">PROPER(TRIM(Raw_Volunteers!E27))</f>
        <v>Food Sorting</v>
      </c>
      <c r="H27" s="9" t="str">
        <f aca="false">Raw_Volunteers!F27</f>
        <v>Community Center Site</v>
      </c>
      <c r="I27" s="9" t="n">
        <f aca="false">IF(Raw_Volunteers!G27="",ROUND(AVERAGE(Raw_Volunteers!$G$2:$G$926),1),Raw_Volunteers!G27)</f>
        <v>2</v>
      </c>
    </row>
    <row r="28" customFormat="false" ht="15" hidden="false" customHeight="true" outlineLevel="0" collapsed="false">
      <c r="A28" s="9" t="str">
        <f aca="false">Raw_Volunteers!A28</f>
        <v>V2005</v>
      </c>
      <c r="B28" s="9" t="str">
        <f aca="false">IF(COUNTIFS(Raw_Volunteers!$A$2:$A$926,Raw_Volunteers!A28,Raw_Volunteers!$D$2:$D$926,Raw_Volunteers!D28,Raw_Volunteers!$E$2:$E$926,Raw_Volunteers!E28,Raw_Volunteers!$G$2:$G$926,Raw_Volunteers!G28)&gt;1,"Possible Duplicate","")</f>
        <v/>
      </c>
      <c r="C28" s="9" t="str">
        <f aca="false">Raw_Volunteers!B28</f>
        <v>D1533</v>
      </c>
      <c r="D28" s="9" t="str">
        <f aca="false">IF(C28="","No","Yes")</f>
        <v>Yes</v>
      </c>
      <c r="E28" s="9" t="str">
        <f aca="false">Raw_Volunteers!C28</f>
        <v>Andrew Rodriguez</v>
      </c>
      <c r="F28" s="9" t="str">
        <f aca="false">Raw_Volunteers!D28</f>
        <v>02/25/2026</v>
      </c>
      <c r="G28" s="9" t="str">
        <f aca="false">PROPER(TRIM(Raw_Volunteers!E28))</f>
        <v>Front Desk Greeter</v>
      </c>
      <c r="H28" s="9" t="str">
        <f aca="false">Raw_Volunteers!F28</f>
        <v>Mobile Unit - Route B</v>
      </c>
      <c r="I28" s="9" t="n">
        <f aca="false">IF(Raw_Volunteers!G28="",ROUND(AVERAGE(Raw_Volunteers!$G$2:$G$926),1),Raw_Volunteers!G28)</f>
        <v>4</v>
      </c>
    </row>
    <row r="29" customFormat="false" ht="15" hidden="false" customHeight="true" outlineLevel="0" collapsed="false">
      <c r="A29" s="9" t="str">
        <f aca="false">Raw_Volunteers!A29</f>
        <v>V2005</v>
      </c>
      <c r="B29" s="9" t="str">
        <f aca="false">IF(COUNTIFS(Raw_Volunteers!$A$2:$A$926,Raw_Volunteers!A29,Raw_Volunteers!$D$2:$D$926,Raw_Volunteers!D29,Raw_Volunteers!$E$2:$E$926,Raw_Volunteers!E29,Raw_Volunteers!$G$2:$G$926,Raw_Volunteers!G29)&gt;1,"Possible Duplicate","")</f>
        <v/>
      </c>
      <c r="C29" s="9" t="str">
        <f aca="false">Raw_Volunteers!B29</f>
        <v>D1533</v>
      </c>
      <c r="D29" s="9" t="str">
        <f aca="false">IF(C29="","No","Yes")</f>
        <v>Yes</v>
      </c>
      <c r="E29" s="9" t="str">
        <f aca="false">Raw_Volunteers!C29</f>
        <v>Andrew Rodriguez</v>
      </c>
      <c r="F29" s="9" t="str">
        <f aca="false">Raw_Volunteers!D29</f>
        <v>04/13/2024</v>
      </c>
      <c r="G29" s="9" t="str">
        <f aca="false">PROPER(TRIM(Raw_Volunteers!E29))</f>
        <v>Food Sorting</v>
      </c>
      <c r="H29" s="9" t="str">
        <f aca="false">Raw_Volunteers!F29</f>
        <v>Main Warehouse</v>
      </c>
      <c r="I29" s="9" t="n">
        <f aca="false">IF(Raw_Volunteers!G29="",ROUND(AVERAGE(Raw_Volunteers!$G$2:$G$926),1),Raw_Volunteers!G29)</f>
        <v>2</v>
      </c>
    </row>
    <row r="30" customFormat="false" ht="15" hidden="false" customHeight="true" outlineLevel="0" collapsed="false">
      <c r="A30" s="9" t="str">
        <f aca="false">Raw_Volunteers!A30</f>
        <v>V2005</v>
      </c>
      <c r="B30" s="9" t="str">
        <f aca="false">IF(COUNTIFS(Raw_Volunteers!$A$2:$A$926,Raw_Volunteers!A30,Raw_Volunteers!$D$2:$D$926,Raw_Volunteers!D30,Raw_Volunteers!$E$2:$E$926,Raw_Volunteers!E30,Raw_Volunteers!$G$2:$G$926,Raw_Volunteers!G30)&gt;1,"Possible Duplicate","")</f>
        <v/>
      </c>
      <c r="C30" s="9" t="str">
        <f aca="false">Raw_Volunteers!B30</f>
        <v>D1533</v>
      </c>
      <c r="D30" s="9" t="str">
        <f aca="false">IF(C30="","No","Yes")</f>
        <v>Yes</v>
      </c>
      <c r="E30" s="9" t="str">
        <f aca="false">Raw_Volunteers!C30</f>
        <v>Andrew Rodriguez</v>
      </c>
      <c r="F30" s="9" t="str">
        <f aca="false">Raw_Volunteers!D30</f>
        <v>09/25/2024</v>
      </c>
      <c r="G30" s="9" t="str">
        <f aca="false">PROPER(TRIM(Raw_Volunteers!E30))</f>
        <v>Pantry Stocking</v>
      </c>
      <c r="H30" s="9" t="str">
        <f aca="false">Raw_Volunteers!F30</f>
        <v>Mobile Unit - Route A</v>
      </c>
      <c r="I30" s="9" t="n">
        <f aca="false">IF(Raw_Volunteers!G30="",ROUND(AVERAGE(Raw_Volunteers!$G$2:$G$926),1),Raw_Volunteers!G30)</f>
        <v>3</v>
      </c>
    </row>
    <row r="31" customFormat="false" ht="15" hidden="false" customHeight="true" outlineLevel="0" collapsed="false">
      <c r="A31" s="9" t="str">
        <f aca="false">Raw_Volunteers!A31</f>
        <v>V2006</v>
      </c>
      <c r="B31" s="9" t="str">
        <f aca="false">IF(COUNTIFS(Raw_Volunteers!$A$2:$A$926,Raw_Volunteers!A31,Raw_Volunteers!$D$2:$D$926,Raw_Volunteers!D31,Raw_Volunteers!$E$2:$E$926,Raw_Volunteers!E31,Raw_Volunteers!$G$2:$G$926,Raw_Volunteers!G31)&gt;1,"Possible Duplicate","")</f>
        <v/>
      </c>
      <c r="C31" s="9" t="str">
        <f aca="false">Raw_Volunteers!B31</f>
        <v>D1014</v>
      </c>
      <c r="D31" s="9" t="str">
        <f aca="false">IF(C31="","No","Yes")</f>
        <v>Yes</v>
      </c>
      <c r="E31" s="9" t="str">
        <f aca="false">Raw_Volunteers!C31</f>
        <v>Steven Clark</v>
      </c>
      <c r="F31" s="9" t="str">
        <f aca="false">Raw_Volunteers!D31</f>
        <v>05/09/2024</v>
      </c>
      <c r="G31" s="9" t="str">
        <f aca="false">PROPER(TRIM(Raw_Volunteers!E31))</f>
        <v>Warehouse Loading</v>
      </c>
      <c r="H31" s="9" t="str">
        <f aca="false">Raw_Volunteers!F31</f>
        <v>Main Warehouse</v>
      </c>
      <c r="I31" s="9" t="n">
        <f aca="false">IF(Raw_Volunteers!G31="",ROUND(AVERAGE(Raw_Volunteers!$G$2:$G$926),1),Raw_Volunteers!G31)</f>
        <v>3</v>
      </c>
    </row>
    <row r="32" customFormat="false" ht="15" hidden="false" customHeight="true" outlineLevel="0" collapsed="false">
      <c r="A32" s="9" t="str">
        <f aca="false">Raw_Volunteers!A32</f>
        <v>V2006</v>
      </c>
      <c r="B32" s="9" t="str">
        <f aca="false">IF(COUNTIFS(Raw_Volunteers!$A$2:$A$926,Raw_Volunteers!A32,Raw_Volunteers!$D$2:$D$926,Raw_Volunteers!D32,Raw_Volunteers!$E$2:$E$926,Raw_Volunteers!E32,Raw_Volunteers!$G$2:$G$926,Raw_Volunteers!G32)&gt;1,"Possible Duplicate","")</f>
        <v/>
      </c>
      <c r="C32" s="9" t="str">
        <f aca="false">Raw_Volunteers!B32</f>
        <v>D1014</v>
      </c>
      <c r="D32" s="9" t="str">
        <f aca="false">IF(C32="","No","Yes")</f>
        <v>Yes</v>
      </c>
      <c r="E32" s="9" t="str">
        <f aca="false">Raw_Volunteers!C32</f>
        <v>Steven Clark</v>
      </c>
      <c r="F32" s="9" t="str">
        <f aca="false">Raw_Volunteers!D32</f>
        <v>12/24/2025</v>
      </c>
      <c r="G32" s="9" t="str">
        <f aca="false">PROPER(TRIM(Raw_Volunteers!E32))</f>
        <v>Front Desk Greeter</v>
      </c>
      <c r="H32" s="9" t="str">
        <f aca="false">Raw_Volunteers!F32</f>
        <v>Mobile Unit - Route A</v>
      </c>
      <c r="I32" s="9" t="n">
        <f aca="false">IF(Raw_Volunteers!G32="",ROUND(AVERAGE(Raw_Volunteers!$G$2:$G$926),1),Raw_Volunteers!G32)</f>
        <v>2</v>
      </c>
    </row>
    <row r="33" customFormat="false" ht="15" hidden="false" customHeight="true" outlineLevel="0" collapsed="false">
      <c r="A33" s="9" t="str">
        <f aca="false">Raw_Volunteers!A33</f>
        <v>V2006</v>
      </c>
      <c r="B33" s="9" t="str">
        <f aca="false">IF(COUNTIFS(Raw_Volunteers!$A$2:$A$926,Raw_Volunteers!A33,Raw_Volunteers!$D$2:$D$926,Raw_Volunteers!D33,Raw_Volunteers!$E$2:$E$926,Raw_Volunteers!E33,Raw_Volunteers!$G$2:$G$926,Raw_Volunteers!G33)&gt;1,"Possible Duplicate","")</f>
        <v/>
      </c>
      <c r="C33" s="9" t="str">
        <f aca="false">Raw_Volunteers!B33</f>
        <v>D1014</v>
      </c>
      <c r="D33" s="9" t="str">
        <f aca="false">IF(C33="","No","Yes")</f>
        <v>Yes</v>
      </c>
      <c r="E33" s="9" t="str">
        <f aca="false">Raw_Volunteers!C33</f>
        <v>Steven Clark</v>
      </c>
      <c r="F33" s="9" t="str">
        <f aca="false">Raw_Volunteers!D33</f>
        <v>04/21/2024</v>
      </c>
      <c r="G33" s="9" t="str">
        <f aca="false">PROPER(TRIM(Raw_Volunteers!E33))</f>
        <v>Food Sorting</v>
      </c>
      <c r="H33" s="9" t="str">
        <f aca="false">Raw_Volunteers!F33</f>
        <v>Mobile Unit - Route A</v>
      </c>
      <c r="I33" s="9" t="n">
        <f aca="false">IF(Raw_Volunteers!G33="",ROUND(AVERAGE(Raw_Volunteers!$G$2:$G$926),1),Raw_Volunteers!G33)</f>
        <v>3</v>
      </c>
    </row>
    <row r="34" customFormat="false" ht="15" hidden="false" customHeight="true" outlineLevel="0" collapsed="false">
      <c r="A34" s="9" t="str">
        <f aca="false">Raw_Volunteers!A34</f>
        <v>V2006</v>
      </c>
      <c r="B34" s="9" t="str">
        <f aca="false">IF(COUNTIFS(Raw_Volunteers!$A$2:$A$926,Raw_Volunteers!A34,Raw_Volunteers!$D$2:$D$926,Raw_Volunteers!D34,Raw_Volunteers!$E$2:$E$926,Raw_Volunteers!E34,Raw_Volunteers!$G$2:$G$926,Raw_Volunteers!G34)&gt;1,"Possible Duplicate","")</f>
        <v/>
      </c>
      <c r="C34" s="9" t="str">
        <f aca="false">Raw_Volunteers!B34</f>
        <v>D1014</v>
      </c>
      <c r="D34" s="9" t="str">
        <f aca="false">IF(C34="","No","Yes")</f>
        <v>Yes</v>
      </c>
      <c r="E34" s="9" t="str">
        <f aca="false">Raw_Volunteers!C34</f>
        <v>Steven Clark</v>
      </c>
      <c r="F34" s="9" t="str">
        <f aca="false">Raw_Volunteers!D34</f>
        <v>11/09/2024</v>
      </c>
      <c r="G34" s="9" t="str">
        <f aca="false">PROPER(TRIM(Raw_Volunteers!E34))</f>
        <v>Holiday Box Packing</v>
      </c>
      <c r="H34" s="9" t="str">
        <f aca="false">Raw_Volunteers!F34</f>
        <v>Main Warehouse</v>
      </c>
      <c r="I34" s="9" t="n">
        <f aca="false">IF(Raw_Volunteers!G34="",ROUND(AVERAGE(Raw_Volunteers!$G$2:$G$926),1),Raw_Volunteers!G34)</f>
        <v>3</v>
      </c>
    </row>
    <row r="35" customFormat="false" ht="15" hidden="false" customHeight="true" outlineLevel="0" collapsed="false">
      <c r="A35" s="9" t="str">
        <f aca="false">Raw_Volunteers!A35</f>
        <v>V2006</v>
      </c>
      <c r="B35" s="9" t="str">
        <f aca="false">IF(COUNTIFS(Raw_Volunteers!$A$2:$A$926,Raw_Volunteers!A35,Raw_Volunteers!$D$2:$D$926,Raw_Volunteers!D35,Raw_Volunteers!$E$2:$E$926,Raw_Volunteers!E35,Raw_Volunteers!$G$2:$G$926,Raw_Volunteers!G35)&gt;1,"Possible Duplicate","")</f>
        <v/>
      </c>
      <c r="C35" s="9" t="str">
        <f aca="false">Raw_Volunteers!B35</f>
        <v>D1014</v>
      </c>
      <c r="D35" s="9" t="str">
        <f aca="false">IF(C35="","No","Yes")</f>
        <v>Yes</v>
      </c>
      <c r="E35" s="9" t="str">
        <f aca="false">Raw_Volunteers!C35</f>
        <v>Steven Clark</v>
      </c>
      <c r="F35" s="9" t="str">
        <f aca="false">Raw_Volunteers!D35</f>
        <v>09/11/2024</v>
      </c>
      <c r="G35" s="9" t="str">
        <f aca="false">PROPER(TRIM(Raw_Volunteers!E35))</f>
        <v>Mobile Distribution Driver</v>
      </c>
      <c r="H35" s="9" t="str">
        <f aca="false">Raw_Volunteers!F35</f>
        <v>Mobile Unit - Route A</v>
      </c>
      <c r="I35" s="9" t="n">
        <f aca="false">IF(Raw_Volunteers!G35="",ROUND(AVERAGE(Raw_Volunteers!$G$2:$G$926),1),Raw_Volunteers!G35)</f>
        <v>2</v>
      </c>
    </row>
    <row r="36" customFormat="false" ht="15" hidden="false" customHeight="true" outlineLevel="0" collapsed="false">
      <c r="A36" s="9" t="str">
        <f aca="false">Raw_Volunteers!A36</f>
        <v>V2006</v>
      </c>
      <c r="B36" s="9" t="str">
        <f aca="false">IF(COUNTIFS(Raw_Volunteers!$A$2:$A$926,Raw_Volunteers!A36,Raw_Volunteers!$D$2:$D$926,Raw_Volunteers!D36,Raw_Volunteers!$E$2:$E$926,Raw_Volunteers!E36,Raw_Volunteers!$G$2:$G$926,Raw_Volunteers!G36)&gt;1,"Possible Duplicate","")</f>
        <v/>
      </c>
      <c r="C36" s="9" t="str">
        <f aca="false">Raw_Volunteers!B36</f>
        <v>D1014</v>
      </c>
      <c r="D36" s="9" t="str">
        <f aca="false">IF(C36="","No","Yes")</f>
        <v>Yes</v>
      </c>
      <c r="E36" s="9" t="str">
        <f aca="false">Raw_Volunteers!C36</f>
        <v>Steven Clark</v>
      </c>
      <c r="F36" s="9" t="str">
        <f aca="false">Raw_Volunteers!D36</f>
        <v>12/08/2025</v>
      </c>
      <c r="G36" s="9" t="str">
        <f aca="false">PROPER(TRIM(Raw_Volunteers!E36))</f>
        <v>Pantry Stocking</v>
      </c>
      <c r="H36" s="9" t="str">
        <f aca="false">Raw_Volunteers!F36</f>
        <v>Community Center Site</v>
      </c>
      <c r="I36" s="9" t="n">
        <f aca="false">IF(Raw_Volunteers!G36="",ROUND(AVERAGE(Raw_Volunteers!$G$2:$G$926),1),Raw_Volunteers!G36)</f>
        <v>2</v>
      </c>
    </row>
    <row r="37" customFormat="false" ht="15" hidden="false" customHeight="true" outlineLevel="0" collapsed="false">
      <c r="A37" s="9" t="str">
        <f aca="false">Raw_Volunteers!A37</f>
        <v>V2007</v>
      </c>
      <c r="B37" s="9" t="str">
        <f aca="false">IF(COUNTIFS(Raw_Volunteers!$A$2:$A$926,Raw_Volunteers!A37,Raw_Volunteers!$D$2:$D$926,Raw_Volunteers!D37,Raw_Volunteers!$E$2:$E$926,Raw_Volunteers!E37,Raw_Volunteers!$G$2:$G$926,Raw_Volunteers!G37)&gt;1,"Possible Duplicate","")</f>
        <v/>
      </c>
      <c r="C37" s="9" t="str">
        <f aca="false">Raw_Volunteers!B37</f>
        <v>D1099</v>
      </c>
      <c r="D37" s="9" t="str">
        <f aca="false">IF(C37="","No","Yes")</f>
        <v>Yes</v>
      </c>
      <c r="E37" s="9" t="str">
        <f aca="false">Raw_Volunteers!C37</f>
        <v>Melissa Hill</v>
      </c>
      <c r="F37" s="9" t="str">
        <f aca="false">Raw_Volunteers!D37</f>
        <v>02/11/2024</v>
      </c>
      <c r="G37" s="9" t="str">
        <f aca="false">PROPER(TRIM(Raw_Volunteers!E37))</f>
        <v>Client Intake Assistant</v>
      </c>
      <c r="H37" s="9" t="str">
        <f aca="false">Raw_Volunteers!F37</f>
        <v>Main Warehouse</v>
      </c>
      <c r="I37" s="9" t="n">
        <f aca="false">IF(Raw_Volunteers!G37="",ROUND(AVERAGE(Raw_Volunteers!$G$2:$G$926),1),Raw_Volunteers!G37)</f>
        <v>3</v>
      </c>
    </row>
    <row r="38" customFormat="false" ht="15" hidden="false" customHeight="true" outlineLevel="0" collapsed="false">
      <c r="A38" s="9" t="str">
        <f aca="false">Raw_Volunteers!A38</f>
        <v>V2007</v>
      </c>
      <c r="B38" s="9" t="str">
        <f aca="false">IF(COUNTIFS(Raw_Volunteers!$A$2:$A$926,Raw_Volunteers!A38,Raw_Volunteers!$D$2:$D$926,Raw_Volunteers!D38,Raw_Volunteers!$E$2:$E$926,Raw_Volunteers!E38,Raw_Volunteers!$G$2:$G$926,Raw_Volunteers!G38)&gt;1,"Possible Duplicate","")</f>
        <v/>
      </c>
      <c r="C38" s="9" t="str">
        <f aca="false">Raw_Volunteers!B38</f>
        <v>D1099</v>
      </c>
      <c r="D38" s="9" t="str">
        <f aca="false">IF(C38="","No","Yes")</f>
        <v>Yes</v>
      </c>
      <c r="E38" s="9" t="str">
        <f aca="false">Raw_Volunteers!C38</f>
        <v>Melissa Hill</v>
      </c>
      <c r="F38" s="9" t="str">
        <f aca="false">Raw_Volunteers!D38</f>
        <v>11/07/2025</v>
      </c>
      <c r="G38" s="9" t="str">
        <f aca="false">PROPER(TRIM(Raw_Volunteers!E38))</f>
        <v>Event Setup</v>
      </c>
      <c r="H38" s="9" t="str">
        <f aca="false">Raw_Volunteers!F38</f>
        <v>Mobile Unit - Route B</v>
      </c>
      <c r="I38" s="9" t="n">
        <f aca="false">IF(Raw_Volunteers!G38="",ROUND(AVERAGE(Raw_Volunteers!$G$2:$G$926),1),Raw_Volunteers!G38)</f>
        <v>3</v>
      </c>
    </row>
    <row r="39" customFormat="false" ht="15" hidden="false" customHeight="true" outlineLevel="0" collapsed="false">
      <c r="A39" s="9" t="str">
        <f aca="false">Raw_Volunteers!A39</f>
        <v>V2007</v>
      </c>
      <c r="B39" s="9" t="str">
        <f aca="false">IF(COUNTIFS(Raw_Volunteers!$A$2:$A$926,Raw_Volunteers!A39,Raw_Volunteers!$D$2:$D$926,Raw_Volunteers!D39,Raw_Volunteers!$E$2:$E$926,Raw_Volunteers!E39,Raw_Volunteers!$G$2:$G$926,Raw_Volunteers!G39)&gt;1,"Possible Duplicate","")</f>
        <v/>
      </c>
      <c r="C39" s="9" t="str">
        <f aca="false">Raw_Volunteers!B39</f>
        <v>D1099</v>
      </c>
      <c r="D39" s="9" t="str">
        <f aca="false">IF(C39="","No","Yes")</f>
        <v>Yes</v>
      </c>
      <c r="E39" s="9" t="str">
        <f aca="false">Raw_Volunteers!C39</f>
        <v>Melissa Hill</v>
      </c>
      <c r="F39" s="9" t="str">
        <f aca="false">Raw_Volunteers!D39</f>
        <v>06/14/2024</v>
      </c>
      <c r="G39" s="9" t="str">
        <f aca="false">PROPER(TRIM(Raw_Volunteers!E39))</f>
        <v>Mobile Distribution Driver</v>
      </c>
      <c r="H39" s="9" t="str">
        <f aca="false">Raw_Volunteers!F39</f>
        <v>Community Center Site</v>
      </c>
      <c r="I39" s="9" t="n">
        <f aca="false">IF(Raw_Volunteers!G39="",ROUND(AVERAGE(Raw_Volunteers!$G$2:$G$926),1),Raw_Volunteers!G39)</f>
        <v>3</v>
      </c>
    </row>
    <row r="40" customFormat="false" ht="15" hidden="false" customHeight="true" outlineLevel="0" collapsed="false">
      <c r="A40" s="9" t="str">
        <f aca="false">Raw_Volunteers!A40</f>
        <v>V2007</v>
      </c>
      <c r="B40" s="9" t="str">
        <f aca="false">IF(COUNTIFS(Raw_Volunteers!$A$2:$A$926,Raw_Volunteers!A40,Raw_Volunteers!$D$2:$D$926,Raw_Volunteers!D40,Raw_Volunteers!$E$2:$E$926,Raw_Volunteers!E40,Raw_Volunteers!$G$2:$G$926,Raw_Volunteers!G40)&gt;1,"Possible Duplicate","")</f>
        <v/>
      </c>
      <c r="C40" s="9" t="str">
        <f aca="false">Raw_Volunteers!B40</f>
        <v>D1099</v>
      </c>
      <c r="D40" s="9" t="str">
        <f aca="false">IF(C40="","No","Yes")</f>
        <v>Yes</v>
      </c>
      <c r="E40" s="9" t="str">
        <f aca="false">Raw_Volunteers!C40</f>
        <v>Melissa Hill</v>
      </c>
      <c r="F40" s="9" t="str">
        <f aca="false">Raw_Volunteers!D40</f>
        <v>12/30/2024</v>
      </c>
      <c r="G40" s="9" t="str">
        <f aca="false">PROPER(TRIM(Raw_Volunteers!E40))</f>
        <v>Warehouse Loading</v>
      </c>
      <c r="H40" s="9" t="str">
        <f aca="false">Raw_Volunteers!F40</f>
        <v>Downtown Pantry</v>
      </c>
      <c r="I40" s="9" t="n">
        <f aca="false">IF(Raw_Volunteers!G40="",ROUND(AVERAGE(Raw_Volunteers!$G$2:$G$926),1),Raw_Volunteers!G40)</f>
        <v>2</v>
      </c>
    </row>
    <row r="41" customFormat="false" ht="15" hidden="false" customHeight="true" outlineLevel="0" collapsed="false">
      <c r="A41" s="9" t="str">
        <f aca="false">Raw_Volunteers!A41</f>
        <v>V2007</v>
      </c>
      <c r="B41" s="9" t="str">
        <f aca="false">IF(COUNTIFS(Raw_Volunteers!$A$2:$A$926,Raw_Volunteers!A41,Raw_Volunteers!$D$2:$D$926,Raw_Volunteers!D41,Raw_Volunteers!$E$2:$E$926,Raw_Volunteers!E41,Raw_Volunteers!$G$2:$G$926,Raw_Volunteers!G41)&gt;1,"Possible Duplicate","")</f>
        <v/>
      </c>
      <c r="C41" s="9" t="str">
        <f aca="false">Raw_Volunteers!B41</f>
        <v>D1099</v>
      </c>
      <c r="D41" s="9" t="str">
        <f aca="false">IF(C41="","No","Yes")</f>
        <v>Yes</v>
      </c>
      <c r="E41" s="9" t="str">
        <f aca="false">Raw_Volunteers!C41</f>
        <v>Melissa Hill</v>
      </c>
      <c r="F41" s="9" t="str">
        <f aca="false">Raw_Volunteers!D41</f>
        <v>08/04/2025</v>
      </c>
      <c r="G41" s="9" t="str">
        <f aca="false">PROPER(TRIM(Raw_Volunteers!E41))</f>
        <v>Food Sorting</v>
      </c>
      <c r="H41" s="9" t="str">
        <f aca="false">Raw_Volunteers!F41</f>
        <v>Mobile Unit - Route B</v>
      </c>
      <c r="I41" s="9" t="n">
        <f aca="false">IF(Raw_Volunteers!G41="",ROUND(AVERAGE(Raw_Volunteers!$G$2:$G$926),1),Raw_Volunteers!G41)</f>
        <v>2</v>
      </c>
    </row>
    <row r="42" customFormat="false" ht="15" hidden="false" customHeight="true" outlineLevel="0" collapsed="false">
      <c r="A42" s="9" t="str">
        <f aca="false">Raw_Volunteers!A42</f>
        <v>V2007</v>
      </c>
      <c r="B42" s="9" t="str">
        <f aca="false">IF(COUNTIFS(Raw_Volunteers!$A$2:$A$926,Raw_Volunteers!A42,Raw_Volunteers!$D$2:$D$926,Raw_Volunteers!D42,Raw_Volunteers!$E$2:$E$926,Raw_Volunteers!E42,Raw_Volunteers!$G$2:$G$926,Raw_Volunteers!G42)&gt;1,"Possible Duplicate","")</f>
        <v/>
      </c>
      <c r="C42" s="9" t="str">
        <f aca="false">Raw_Volunteers!B42</f>
        <v>D1099</v>
      </c>
      <c r="D42" s="9" t="str">
        <f aca="false">IF(C42="","No","Yes")</f>
        <v>Yes</v>
      </c>
      <c r="E42" s="9" t="str">
        <f aca="false">Raw_Volunteers!C42</f>
        <v>Melissa Hill</v>
      </c>
      <c r="F42" s="9" t="str">
        <f aca="false">Raw_Volunteers!D42</f>
        <v>10/17/2024</v>
      </c>
      <c r="G42" s="9" t="str">
        <f aca="false">PROPER(TRIM(Raw_Volunteers!E42))</f>
        <v>Food Sorting</v>
      </c>
      <c r="H42" s="9" t="str">
        <f aca="false">Raw_Volunteers!F42</f>
        <v>Downtown Pantry</v>
      </c>
      <c r="I42" s="9" t="n">
        <f aca="false">IF(Raw_Volunteers!G42="",ROUND(AVERAGE(Raw_Volunteers!$G$2:$G$926),1),Raw_Volunteers!G42)</f>
        <v>2</v>
      </c>
    </row>
    <row r="43" customFormat="false" ht="15" hidden="false" customHeight="true" outlineLevel="0" collapsed="false">
      <c r="A43" s="9" t="str">
        <f aca="false">Raw_Volunteers!A43</f>
        <v>V2007</v>
      </c>
      <c r="B43" s="9" t="str">
        <f aca="false">IF(COUNTIFS(Raw_Volunteers!$A$2:$A$926,Raw_Volunteers!A43,Raw_Volunteers!$D$2:$D$926,Raw_Volunteers!D43,Raw_Volunteers!$E$2:$E$926,Raw_Volunteers!E43,Raw_Volunteers!$G$2:$G$926,Raw_Volunteers!G43)&gt;1,"Possible Duplicate","")</f>
        <v/>
      </c>
      <c r="C43" s="9" t="str">
        <f aca="false">Raw_Volunteers!B43</f>
        <v>D1099</v>
      </c>
      <c r="D43" s="9" t="str">
        <f aca="false">IF(C43="","No","Yes")</f>
        <v>Yes</v>
      </c>
      <c r="E43" s="9" t="str">
        <f aca="false">Raw_Volunteers!C43</f>
        <v>Melissa Hill</v>
      </c>
      <c r="F43" s="9" t="str">
        <f aca="false">Raw_Volunteers!D43</f>
        <v>04/22/2026</v>
      </c>
      <c r="G43" s="9" t="str">
        <f aca="false">PROPER(TRIM(Raw_Volunteers!E43))</f>
        <v>Client Intake Assistant</v>
      </c>
      <c r="H43" s="9" t="str">
        <f aca="false">Raw_Volunteers!F43</f>
        <v>Mobile Unit - Route B</v>
      </c>
      <c r="I43" s="9" t="n">
        <f aca="false">IF(Raw_Volunteers!G43="",ROUND(AVERAGE(Raw_Volunteers!$G$2:$G$926),1),Raw_Volunteers!G43)</f>
        <v>2</v>
      </c>
    </row>
    <row r="44" customFormat="false" ht="15" hidden="false" customHeight="true" outlineLevel="0" collapsed="false">
      <c r="A44" s="9" t="str">
        <f aca="false">Raw_Volunteers!A44</f>
        <v>V2007</v>
      </c>
      <c r="B44" s="9" t="str">
        <f aca="false">IF(COUNTIFS(Raw_Volunteers!$A$2:$A$926,Raw_Volunteers!A44,Raw_Volunteers!$D$2:$D$926,Raw_Volunteers!D44,Raw_Volunteers!$E$2:$E$926,Raw_Volunteers!E44,Raw_Volunteers!$G$2:$G$926,Raw_Volunteers!G44)&gt;1,"Possible Duplicate","")</f>
        <v/>
      </c>
      <c r="C44" s="9" t="str">
        <f aca="false">Raw_Volunteers!B44</f>
        <v>D1099</v>
      </c>
      <c r="D44" s="9" t="str">
        <f aca="false">IF(C44="","No","Yes")</f>
        <v>Yes</v>
      </c>
      <c r="E44" s="9" t="str">
        <f aca="false">Raw_Volunteers!C44</f>
        <v>Melissa Hill</v>
      </c>
      <c r="F44" s="9" t="str">
        <f aca="false">Raw_Volunteers!D44</f>
        <v>05/15/2024</v>
      </c>
      <c r="G44" s="9" t="str">
        <f aca="false">PROPER(TRIM(Raw_Volunteers!E44))</f>
        <v>Mobile Distribution Driver</v>
      </c>
      <c r="H44" s="9" t="str">
        <f aca="false">Raw_Volunteers!F44</f>
        <v>Mobile Unit - Route A</v>
      </c>
      <c r="I44" s="9" t="n">
        <f aca="false">IF(Raw_Volunteers!G44="",ROUND(AVERAGE(Raw_Volunteers!$G$2:$G$926),1),Raw_Volunteers!G44)</f>
        <v>2</v>
      </c>
    </row>
    <row r="45" customFormat="false" ht="15" hidden="false" customHeight="true" outlineLevel="0" collapsed="false">
      <c r="A45" s="9" t="str">
        <f aca="false">Raw_Volunteers!A45</f>
        <v>V2007</v>
      </c>
      <c r="B45" s="9" t="str">
        <f aca="false">IF(COUNTIFS(Raw_Volunteers!$A$2:$A$926,Raw_Volunteers!A45,Raw_Volunteers!$D$2:$D$926,Raw_Volunteers!D45,Raw_Volunteers!$E$2:$E$926,Raw_Volunteers!E45,Raw_Volunteers!$G$2:$G$926,Raw_Volunteers!G45)&gt;1,"Possible Duplicate","")</f>
        <v/>
      </c>
      <c r="C45" s="9" t="str">
        <f aca="false">Raw_Volunteers!B45</f>
        <v>D1099</v>
      </c>
      <c r="D45" s="9" t="str">
        <f aca="false">IF(C45="","No","Yes")</f>
        <v>Yes</v>
      </c>
      <c r="E45" s="9" t="str">
        <f aca="false">Raw_Volunteers!C45</f>
        <v>Melissa Hill</v>
      </c>
      <c r="F45" s="9" t="str">
        <f aca="false">Raw_Volunteers!D45</f>
        <v>03/18/2026</v>
      </c>
      <c r="G45" s="9" t="str">
        <f aca="false">PROPER(TRIM(Raw_Volunteers!E45))</f>
        <v>Food Sorting</v>
      </c>
      <c r="H45" s="9" t="str">
        <f aca="false">Raw_Volunteers!F45</f>
        <v>Mobile Unit - Route A</v>
      </c>
      <c r="I45" s="9" t="n">
        <f aca="false">IF(Raw_Volunteers!G45="",ROUND(AVERAGE(Raw_Volunteers!$G$2:$G$926),1),Raw_Volunteers!G45)</f>
        <v>6</v>
      </c>
    </row>
    <row r="46" customFormat="false" ht="15" hidden="false" customHeight="true" outlineLevel="0" collapsed="false">
      <c r="A46" s="9" t="str">
        <f aca="false">Raw_Volunteers!A46</f>
        <v>V2007</v>
      </c>
      <c r="B46" s="9" t="str">
        <f aca="false">IF(COUNTIFS(Raw_Volunteers!$A$2:$A$926,Raw_Volunteers!A46,Raw_Volunteers!$D$2:$D$926,Raw_Volunteers!D46,Raw_Volunteers!$E$2:$E$926,Raw_Volunteers!E46,Raw_Volunteers!$G$2:$G$926,Raw_Volunteers!G46)&gt;1,"Possible Duplicate","")</f>
        <v/>
      </c>
      <c r="C46" s="9" t="str">
        <f aca="false">Raw_Volunteers!B46</f>
        <v>D1099</v>
      </c>
      <c r="D46" s="9" t="str">
        <f aca="false">IF(C46="","No","Yes")</f>
        <v>Yes</v>
      </c>
      <c r="E46" s="9" t="str">
        <f aca="false">Raw_Volunteers!C46</f>
        <v>Melissa Hill</v>
      </c>
      <c r="F46" s="9" t="str">
        <f aca="false">Raw_Volunteers!D46</f>
        <v>05/31/2025</v>
      </c>
      <c r="G46" s="9" t="str">
        <f aca="false">PROPER(TRIM(Raw_Volunteers!E46))</f>
        <v>Food Sorting</v>
      </c>
      <c r="H46" s="9" t="str">
        <f aca="false">Raw_Volunteers!F46</f>
        <v>Community Center Site</v>
      </c>
      <c r="I46" s="9" t="n">
        <f aca="false">IF(Raw_Volunteers!G46="",ROUND(AVERAGE(Raw_Volunteers!$G$2:$G$926),1),Raw_Volunteers!G46)</f>
        <v>5</v>
      </c>
    </row>
    <row r="47" customFormat="false" ht="15" hidden="false" customHeight="true" outlineLevel="0" collapsed="false">
      <c r="A47" s="9" t="str">
        <f aca="false">Raw_Volunteers!A47</f>
        <v>V2008</v>
      </c>
      <c r="B47" s="9" t="str">
        <f aca="false">IF(COUNTIFS(Raw_Volunteers!$A$2:$A$926,Raw_Volunteers!A47,Raw_Volunteers!$D$2:$D$926,Raw_Volunteers!D47,Raw_Volunteers!$E$2:$E$926,Raw_Volunteers!E47,Raw_Volunteers!$G$2:$G$926,Raw_Volunteers!G47)&gt;1,"Possible Duplicate","")</f>
        <v/>
      </c>
      <c r="C47" s="9" t="str">
        <f aca="false">Raw_Volunteers!B47</f>
        <v>D1588</v>
      </c>
      <c r="D47" s="9" t="str">
        <f aca="false">IF(C47="","No","Yes")</f>
        <v>Yes</v>
      </c>
      <c r="E47" s="9" t="str">
        <f aca="false">Raw_Volunteers!C47</f>
        <v>Christopher Robinson</v>
      </c>
      <c r="F47" s="9" t="str">
        <f aca="false">Raw_Volunteers!D47</f>
        <v>01/03/2025</v>
      </c>
      <c r="G47" s="9" t="str">
        <f aca="false">PROPER(TRIM(Raw_Volunteers!E47))</f>
        <v>Pantry Stocking</v>
      </c>
      <c r="H47" s="9" t="str">
        <f aca="false">Raw_Volunteers!F47</f>
        <v>Main Warehouse</v>
      </c>
      <c r="I47" s="9" t="n">
        <f aca="false">IF(Raw_Volunteers!G47="",ROUND(AVERAGE(Raw_Volunteers!$G$2:$G$926),1),Raw_Volunteers!G47)</f>
        <v>3</v>
      </c>
    </row>
    <row r="48" customFormat="false" ht="15" hidden="false" customHeight="true" outlineLevel="0" collapsed="false">
      <c r="A48" s="9" t="str">
        <f aca="false">Raw_Volunteers!A48</f>
        <v>V2008</v>
      </c>
      <c r="B48" s="9" t="str">
        <f aca="false">IF(COUNTIFS(Raw_Volunteers!$A$2:$A$926,Raw_Volunteers!A48,Raw_Volunteers!$D$2:$D$926,Raw_Volunteers!D48,Raw_Volunteers!$E$2:$E$926,Raw_Volunteers!E48,Raw_Volunteers!$G$2:$G$926,Raw_Volunteers!G48)&gt;1,"Possible Duplicate","")</f>
        <v/>
      </c>
      <c r="C48" s="9" t="str">
        <f aca="false">Raw_Volunteers!B48</f>
        <v>D1588</v>
      </c>
      <c r="D48" s="9" t="str">
        <f aca="false">IF(C48="","No","Yes")</f>
        <v>Yes</v>
      </c>
      <c r="E48" s="9" t="str">
        <f aca="false">Raw_Volunteers!C48</f>
        <v>Christopher Robinson</v>
      </c>
      <c r="F48" s="9" t="str">
        <f aca="false">Raw_Volunteers!D48</f>
        <v>11/01/2025</v>
      </c>
      <c r="G48" s="9" t="str">
        <f aca="false">PROPER(TRIM(Raw_Volunteers!E48))</f>
        <v>Mobile Distribution Driver</v>
      </c>
      <c r="H48" s="9" t="str">
        <f aca="false">Raw_Volunteers!F48</f>
        <v>Main Warehouse</v>
      </c>
      <c r="I48" s="9" t="n">
        <f aca="false">IF(Raw_Volunteers!G48="",ROUND(AVERAGE(Raw_Volunteers!$G$2:$G$926),1),Raw_Volunteers!G48)</f>
        <v>3</v>
      </c>
    </row>
    <row r="49" customFormat="false" ht="15" hidden="false" customHeight="true" outlineLevel="0" collapsed="false">
      <c r="A49" s="9" t="str">
        <f aca="false">Raw_Volunteers!A49</f>
        <v>V2008</v>
      </c>
      <c r="B49" s="9" t="str">
        <f aca="false">IF(COUNTIFS(Raw_Volunteers!$A$2:$A$926,Raw_Volunteers!A49,Raw_Volunteers!$D$2:$D$926,Raw_Volunteers!D49,Raw_Volunteers!$E$2:$E$926,Raw_Volunteers!E49,Raw_Volunteers!$G$2:$G$926,Raw_Volunteers!G49)&gt;1,"Possible Duplicate","")</f>
        <v/>
      </c>
      <c r="C49" s="9" t="str">
        <f aca="false">Raw_Volunteers!B49</f>
        <v>D1588</v>
      </c>
      <c r="D49" s="9" t="str">
        <f aca="false">IF(C49="","No","Yes")</f>
        <v>Yes</v>
      </c>
      <c r="E49" s="9" t="str">
        <f aca="false">Raw_Volunteers!C49</f>
        <v>Christopher Robinson</v>
      </c>
      <c r="F49" s="9" t="str">
        <f aca="false">Raw_Volunteers!D49</f>
        <v>03/20/2024</v>
      </c>
      <c r="G49" s="9" t="str">
        <f aca="false">PROPER(TRIM(Raw_Volunteers!E49))</f>
        <v>Client Intake Assistant</v>
      </c>
      <c r="H49" s="9" t="str">
        <f aca="false">Raw_Volunteers!F49</f>
        <v>Downtown Pantry</v>
      </c>
      <c r="I49" s="9" t="n">
        <f aca="false">IF(Raw_Volunteers!G49="",ROUND(AVERAGE(Raw_Volunteers!$G$2:$G$926),1),Raw_Volunteers!G49)</f>
        <v>2</v>
      </c>
    </row>
    <row r="50" customFormat="false" ht="15" hidden="false" customHeight="true" outlineLevel="0" collapsed="false">
      <c r="A50" s="9" t="str">
        <f aca="false">Raw_Volunteers!A50</f>
        <v>V2008</v>
      </c>
      <c r="B50" s="9" t="str">
        <f aca="false">IF(COUNTIFS(Raw_Volunteers!$A$2:$A$926,Raw_Volunteers!A50,Raw_Volunteers!$D$2:$D$926,Raw_Volunteers!D50,Raw_Volunteers!$E$2:$E$926,Raw_Volunteers!E50,Raw_Volunteers!$G$2:$G$926,Raw_Volunteers!G50)&gt;1,"Possible Duplicate","")</f>
        <v/>
      </c>
      <c r="C50" s="9" t="str">
        <f aca="false">Raw_Volunteers!B50</f>
        <v>D1588</v>
      </c>
      <c r="D50" s="9" t="str">
        <f aca="false">IF(C50="","No","Yes")</f>
        <v>Yes</v>
      </c>
      <c r="E50" s="9" t="str">
        <f aca="false">Raw_Volunteers!C50</f>
        <v>Christopher Robinson</v>
      </c>
      <c r="F50" s="9" t="str">
        <f aca="false">Raw_Volunteers!D50</f>
        <v>08/14/2024</v>
      </c>
      <c r="G50" s="9" t="str">
        <f aca="false">PROPER(TRIM(Raw_Volunteers!E50))</f>
        <v>Front Desk Greeter</v>
      </c>
      <c r="H50" s="9" t="str">
        <f aca="false">Raw_Volunteers!F50</f>
        <v>Community Center Site</v>
      </c>
      <c r="I50" s="9" t="n">
        <f aca="false">IF(Raw_Volunteers!G50="",ROUND(AVERAGE(Raw_Volunteers!$G$2:$G$926),1),Raw_Volunteers!G50)</f>
        <v>4</v>
      </c>
    </row>
    <row r="51" customFormat="false" ht="15" hidden="false" customHeight="true" outlineLevel="0" collapsed="false">
      <c r="A51" s="9" t="str">
        <f aca="false">Raw_Volunteers!A51</f>
        <v>V2008</v>
      </c>
      <c r="B51" s="9" t="str">
        <f aca="false">IF(COUNTIFS(Raw_Volunteers!$A$2:$A$926,Raw_Volunteers!A51,Raw_Volunteers!$D$2:$D$926,Raw_Volunteers!D51,Raw_Volunteers!$E$2:$E$926,Raw_Volunteers!E51,Raw_Volunteers!$G$2:$G$926,Raw_Volunteers!G51)&gt;1,"Possible Duplicate","")</f>
        <v/>
      </c>
      <c r="C51" s="9" t="str">
        <f aca="false">Raw_Volunteers!B51</f>
        <v>D1588</v>
      </c>
      <c r="D51" s="9" t="str">
        <f aca="false">IF(C51="","No","Yes")</f>
        <v>Yes</v>
      </c>
      <c r="E51" s="9" t="str">
        <f aca="false">Raw_Volunteers!C51</f>
        <v>Christopher Robinson</v>
      </c>
      <c r="F51" s="9" t="str">
        <f aca="false">Raw_Volunteers!D51</f>
        <v>05/03/2026</v>
      </c>
      <c r="G51" s="9" t="str">
        <f aca="false">PROPER(TRIM(Raw_Volunteers!E51))</f>
        <v>Event Setup</v>
      </c>
      <c r="H51" s="9" t="str">
        <f aca="false">Raw_Volunteers!F51</f>
        <v>Main Warehouse</v>
      </c>
      <c r="I51" s="9" t="n">
        <f aca="false">IF(Raw_Volunteers!G51="",ROUND(AVERAGE(Raw_Volunteers!$G$2:$G$926),1),Raw_Volunteers!G51)</f>
        <v>4</v>
      </c>
    </row>
    <row r="52" customFormat="false" ht="15" hidden="false" customHeight="true" outlineLevel="0" collapsed="false">
      <c r="A52" s="9" t="str">
        <f aca="false">Raw_Volunteers!A52</f>
        <v>V2008</v>
      </c>
      <c r="B52" s="9" t="str">
        <f aca="false">IF(COUNTIFS(Raw_Volunteers!$A$2:$A$926,Raw_Volunteers!A52,Raw_Volunteers!$D$2:$D$926,Raw_Volunteers!D52,Raw_Volunteers!$E$2:$E$926,Raw_Volunteers!E52,Raw_Volunteers!$G$2:$G$926,Raw_Volunteers!G52)&gt;1,"Possible Duplicate","")</f>
        <v/>
      </c>
      <c r="C52" s="9" t="str">
        <f aca="false">Raw_Volunteers!B52</f>
        <v>D1588</v>
      </c>
      <c r="D52" s="9" t="str">
        <f aca="false">IF(C52="","No","Yes")</f>
        <v>Yes</v>
      </c>
      <c r="E52" s="9" t="str">
        <f aca="false">Raw_Volunteers!C52</f>
        <v>Christopher Robinson</v>
      </c>
      <c r="F52" s="9" t="str">
        <f aca="false">Raw_Volunteers!D52</f>
        <v>03/28/2024</v>
      </c>
      <c r="G52" s="9" t="str">
        <f aca="false">PROPER(TRIM(Raw_Volunteers!E52))</f>
        <v>Client Intake Assistant</v>
      </c>
      <c r="H52" s="9" t="str">
        <f aca="false">Raw_Volunteers!F52</f>
        <v>Mobile Unit - Route B</v>
      </c>
      <c r="I52" s="9" t="n">
        <f aca="false">IF(Raw_Volunteers!G52="",ROUND(AVERAGE(Raw_Volunteers!$G$2:$G$926),1),Raw_Volunteers!G52)</f>
        <v>3</v>
      </c>
    </row>
    <row r="53" customFormat="false" ht="15" hidden="false" customHeight="true" outlineLevel="0" collapsed="false">
      <c r="A53" s="9" t="str">
        <f aca="false">Raw_Volunteers!A53</f>
        <v>V2008</v>
      </c>
      <c r="B53" s="9" t="str">
        <f aca="false">IF(COUNTIFS(Raw_Volunteers!$A$2:$A$926,Raw_Volunteers!A53,Raw_Volunteers!$D$2:$D$926,Raw_Volunteers!D53,Raw_Volunteers!$E$2:$E$926,Raw_Volunteers!E53,Raw_Volunteers!$G$2:$G$926,Raw_Volunteers!G53)&gt;1,"Possible Duplicate","")</f>
        <v/>
      </c>
      <c r="C53" s="9" t="str">
        <f aca="false">Raw_Volunteers!B53</f>
        <v>D1588</v>
      </c>
      <c r="D53" s="9" t="str">
        <f aca="false">IF(C53="","No","Yes")</f>
        <v>Yes</v>
      </c>
      <c r="E53" s="9" t="str">
        <f aca="false">Raw_Volunteers!C53</f>
        <v>Christopher Robinson</v>
      </c>
      <c r="F53" s="9" t="str">
        <f aca="false">Raw_Volunteers!D53</f>
        <v>01/12/2024</v>
      </c>
      <c r="G53" s="9" t="str">
        <f aca="false">PROPER(TRIM(Raw_Volunteers!E53))</f>
        <v>Warehouse Loading</v>
      </c>
      <c r="H53" s="9" t="str">
        <f aca="false">Raw_Volunteers!F53</f>
        <v>Community Center Site</v>
      </c>
      <c r="I53" s="9" t="n">
        <f aca="false">IF(Raw_Volunteers!G53="",ROUND(AVERAGE(Raw_Volunteers!$G$2:$G$926),1),Raw_Volunteers!G53)</f>
        <v>3</v>
      </c>
    </row>
    <row r="54" customFormat="false" ht="15" hidden="false" customHeight="true" outlineLevel="0" collapsed="false">
      <c r="A54" s="9" t="str">
        <f aca="false">Raw_Volunteers!A54</f>
        <v>V2008</v>
      </c>
      <c r="B54" s="9" t="str">
        <f aca="false">IF(COUNTIFS(Raw_Volunteers!$A$2:$A$926,Raw_Volunteers!A54,Raw_Volunteers!$D$2:$D$926,Raw_Volunteers!D54,Raw_Volunteers!$E$2:$E$926,Raw_Volunteers!E54,Raw_Volunteers!$G$2:$G$926,Raw_Volunteers!G54)&gt;1,"Possible Duplicate","")</f>
        <v/>
      </c>
      <c r="C54" s="9" t="str">
        <f aca="false">Raw_Volunteers!B54</f>
        <v>D1588</v>
      </c>
      <c r="D54" s="9" t="str">
        <f aca="false">IF(C54="","No","Yes")</f>
        <v>Yes</v>
      </c>
      <c r="E54" s="9" t="str">
        <f aca="false">Raw_Volunteers!C54</f>
        <v>Christopher Robinson</v>
      </c>
      <c r="F54" s="9" t="str">
        <f aca="false">Raw_Volunteers!D54</f>
        <v>04/03/2024</v>
      </c>
      <c r="G54" s="9" t="str">
        <f aca="false">PROPER(TRIM(Raw_Volunteers!E54))</f>
        <v>Holiday Box Packing</v>
      </c>
      <c r="H54" s="9" t="str">
        <f aca="false">Raw_Volunteers!F54</f>
        <v>Downtown Pantry</v>
      </c>
      <c r="I54" s="9" t="n">
        <f aca="false">IF(Raw_Volunteers!G54="",ROUND(AVERAGE(Raw_Volunteers!$G$2:$G$926),1),Raw_Volunteers!G54)</f>
        <v>4</v>
      </c>
    </row>
    <row r="55" customFormat="false" ht="15" hidden="false" customHeight="true" outlineLevel="0" collapsed="false">
      <c r="A55" s="9" t="str">
        <f aca="false">Raw_Volunteers!A55</f>
        <v>V2008</v>
      </c>
      <c r="B55" s="9" t="str">
        <f aca="false">IF(COUNTIFS(Raw_Volunteers!$A$2:$A$926,Raw_Volunteers!A55,Raw_Volunteers!$D$2:$D$926,Raw_Volunteers!D55,Raw_Volunteers!$E$2:$E$926,Raw_Volunteers!E55,Raw_Volunteers!$G$2:$G$926,Raw_Volunteers!G55)&gt;1,"Possible Duplicate","")</f>
        <v/>
      </c>
      <c r="C55" s="9" t="str">
        <f aca="false">Raw_Volunteers!B55</f>
        <v>D1588</v>
      </c>
      <c r="D55" s="9" t="str">
        <f aca="false">IF(C55="","No","Yes")</f>
        <v>Yes</v>
      </c>
      <c r="E55" s="9" t="str">
        <f aca="false">Raw_Volunteers!C55</f>
        <v>Christopher Robinson</v>
      </c>
      <c r="F55" s="9" t="str">
        <f aca="false">Raw_Volunteers!D55</f>
        <v>02/01/2026</v>
      </c>
      <c r="G55" s="9" t="str">
        <f aca="false">PROPER(TRIM(Raw_Volunteers!E55))</f>
        <v>Food Sorting</v>
      </c>
      <c r="H55" s="9" t="str">
        <f aca="false">Raw_Volunteers!F55</f>
        <v>Mobile Unit - Route A</v>
      </c>
      <c r="I55" s="9" t="n">
        <f aca="false">IF(Raw_Volunteers!G55="",ROUND(AVERAGE(Raw_Volunteers!$G$2:$G$926),1),Raw_Volunteers!G55)</f>
        <v>2</v>
      </c>
    </row>
    <row r="56" customFormat="false" ht="15" hidden="false" customHeight="true" outlineLevel="0" collapsed="false">
      <c r="A56" s="9" t="str">
        <f aca="false">Raw_Volunteers!A56</f>
        <v>V2008</v>
      </c>
      <c r="B56" s="9" t="str">
        <f aca="false">IF(COUNTIFS(Raw_Volunteers!$A$2:$A$926,Raw_Volunteers!A56,Raw_Volunteers!$D$2:$D$926,Raw_Volunteers!D56,Raw_Volunteers!$E$2:$E$926,Raw_Volunteers!E56,Raw_Volunteers!$G$2:$G$926,Raw_Volunteers!G56)&gt;1,"Possible Duplicate","")</f>
        <v/>
      </c>
      <c r="C56" s="9" t="str">
        <f aca="false">Raw_Volunteers!B56</f>
        <v>D1588</v>
      </c>
      <c r="D56" s="9" t="str">
        <f aca="false">IF(C56="","No","Yes")</f>
        <v>Yes</v>
      </c>
      <c r="E56" s="9" t="str">
        <f aca="false">Raw_Volunteers!C56</f>
        <v>Christopher Robinson</v>
      </c>
      <c r="F56" s="9" t="str">
        <f aca="false">Raw_Volunteers!D56</f>
        <v>08/06/2025</v>
      </c>
      <c r="G56" s="9" t="str">
        <f aca="false">PROPER(TRIM(Raw_Volunteers!E56))</f>
        <v>Event Setup</v>
      </c>
      <c r="H56" s="9" t="str">
        <f aca="false">Raw_Volunteers!F56</f>
        <v>Main Warehouse</v>
      </c>
      <c r="I56" s="9" t="n">
        <f aca="false">IF(Raw_Volunteers!G56="",ROUND(AVERAGE(Raw_Volunteers!$G$2:$G$926),1),Raw_Volunteers!G56)</f>
        <v>3</v>
      </c>
    </row>
    <row r="57" customFormat="false" ht="15" hidden="false" customHeight="true" outlineLevel="0" collapsed="false">
      <c r="A57" s="9" t="str">
        <f aca="false">Raw_Volunteers!A57</f>
        <v>V2008</v>
      </c>
      <c r="B57" s="9" t="str">
        <f aca="false">IF(COUNTIFS(Raw_Volunteers!$A$2:$A$926,Raw_Volunteers!A57,Raw_Volunteers!$D$2:$D$926,Raw_Volunteers!D57,Raw_Volunteers!$E$2:$E$926,Raw_Volunteers!E57,Raw_Volunteers!$G$2:$G$926,Raw_Volunteers!G57)&gt;1,"Possible Duplicate","")</f>
        <v/>
      </c>
      <c r="C57" s="9" t="str">
        <f aca="false">Raw_Volunteers!B57</f>
        <v>D1588</v>
      </c>
      <c r="D57" s="9" t="str">
        <f aca="false">IF(C57="","No","Yes")</f>
        <v>Yes</v>
      </c>
      <c r="E57" s="9" t="str">
        <f aca="false">Raw_Volunteers!C57</f>
        <v>Christopher Robinson</v>
      </c>
      <c r="F57" s="9" t="str">
        <f aca="false">Raw_Volunteers!D57</f>
        <v>02/05/2026</v>
      </c>
      <c r="G57" s="9" t="str">
        <f aca="false">PROPER(TRIM(Raw_Volunteers!E57))</f>
        <v>Event Setup</v>
      </c>
      <c r="H57" s="9" t="str">
        <f aca="false">Raw_Volunteers!F57</f>
        <v>Mobile Unit - Route B</v>
      </c>
      <c r="I57" s="9" t="n">
        <f aca="false">IF(Raw_Volunteers!G57="",ROUND(AVERAGE(Raw_Volunteers!$G$2:$G$926),1),Raw_Volunteers!G57)</f>
        <v>2</v>
      </c>
    </row>
    <row r="58" customFormat="false" ht="15" hidden="false" customHeight="true" outlineLevel="0" collapsed="false">
      <c r="A58" s="9" t="str">
        <f aca="false">Raw_Volunteers!A58</f>
        <v>V2008</v>
      </c>
      <c r="B58" s="9" t="str">
        <f aca="false">IF(COUNTIFS(Raw_Volunteers!$A$2:$A$926,Raw_Volunteers!A58,Raw_Volunteers!$D$2:$D$926,Raw_Volunteers!D58,Raw_Volunteers!$E$2:$E$926,Raw_Volunteers!E58,Raw_Volunteers!$G$2:$G$926,Raw_Volunteers!G58)&gt;1,"Possible Duplicate","")</f>
        <v/>
      </c>
      <c r="C58" s="9" t="str">
        <f aca="false">Raw_Volunteers!B58</f>
        <v>D1588</v>
      </c>
      <c r="D58" s="9" t="str">
        <f aca="false">IF(C58="","No","Yes")</f>
        <v>Yes</v>
      </c>
      <c r="E58" s="9" t="str">
        <f aca="false">Raw_Volunteers!C58</f>
        <v>Christopher Robinson</v>
      </c>
      <c r="F58" s="9" t="str">
        <f aca="false">Raw_Volunteers!D58</f>
        <v>03/07/2026</v>
      </c>
      <c r="G58" s="9" t="str">
        <f aca="false">PROPER(TRIM(Raw_Volunteers!E58))</f>
        <v>Client Intake Assistant</v>
      </c>
      <c r="H58" s="9" t="str">
        <f aca="false">Raw_Volunteers!F58</f>
        <v>Community Center Site</v>
      </c>
      <c r="I58" s="9" t="n">
        <f aca="false">IF(Raw_Volunteers!G58="",ROUND(AVERAGE(Raw_Volunteers!$G$2:$G$926),1),Raw_Volunteers!G58)</f>
        <v>4</v>
      </c>
    </row>
    <row r="59" customFormat="false" ht="15" hidden="false" customHeight="true" outlineLevel="0" collapsed="false">
      <c r="A59" s="9" t="str">
        <f aca="false">Raw_Volunteers!A59</f>
        <v>V2009</v>
      </c>
      <c r="B59" s="9" t="str">
        <f aca="false">IF(COUNTIFS(Raw_Volunteers!$A$2:$A$926,Raw_Volunteers!A59,Raw_Volunteers!$D$2:$D$926,Raw_Volunteers!D59,Raw_Volunteers!$E$2:$E$926,Raw_Volunteers!E59,Raw_Volunteers!$G$2:$G$926,Raw_Volunteers!G59)&gt;1,"Possible Duplicate","")</f>
        <v/>
      </c>
      <c r="C59" s="9" t="str">
        <f aca="false">Raw_Volunteers!B59</f>
        <v>D1118</v>
      </c>
      <c r="D59" s="9" t="str">
        <f aca="false">IF(C59="","No","Yes")</f>
        <v>Yes</v>
      </c>
      <c r="E59" s="9" t="str">
        <f aca="false">Raw_Volunteers!C59</f>
        <v>Kenneth Perez</v>
      </c>
      <c r="F59" s="9" t="str">
        <f aca="false">Raw_Volunteers!D59</f>
        <v>11/16/2024</v>
      </c>
      <c r="G59" s="9" t="str">
        <f aca="false">PROPER(TRIM(Raw_Volunteers!E59))</f>
        <v>Client Intake Assistant</v>
      </c>
      <c r="H59" s="9" t="str">
        <f aca="false">Raw_Volunteers!F59</f>
        <v>Mobile Unit - Route B</v>
      </c>
      <c r="I59" s="9" t="n">
        <f aca="false">IF(Raw_Volunteers!G59="",ROUND(AVERAGE(Raw_Volunteers!$G$2:$G$926),1),Raw_Volunteers!G59)</f>
        <v>3</v>
      </c>
    </row>
    <row r="60" customFormat="false" ht="15" hidden="false" customHeight="true" outlineLevel="0" collapsed="false">
      <c r="A60" s="9" t="str">
        <f aca="false">Raw_Volunteers!A60</f>
        <v>V2009</v>
      </c>
      <c r="B60" s="9" t="str">
        <f aca="false">IF(COUNTIFS(Raw_Volunteers!$A$2:$A$926,Raw_Volunteers!A60,Raw_Volunteers!$D$2:$D$926,Raw_Volunteers!D60,Raw_Volunteers!$E$2:$E$926,Raw_Volunteers!E60,Raw_Volunteers!$G$2:$G$926,Raw_Volunteers!G60)&gt;1,"Possible Duplicate","")</f>
        <v/>
      </c>
      <c r="C60" s="9" t="str">
        <f aca="false">Raw_Volunteers!B60</f>
        <v>D1118</v>
      </c>
      <c r="D60" s="9" t="str">
        <f aca="false">IF(C60="","No","Yes")</f>
        <v>Yes</v>
      </c>
      <c r="E60" s="9" t="str">
        <f aca="false">Raw_Volunteers!C60</f>
        <v>Kenneth Perez</v>
      </c>
      <c r="F60" s="9" t="str">
        <f aca="false">Raw_Volunteers!D60</f>
        <v>11/28/2024</v>
      </c>
      <c r="G60" s="9" t="str">
        <f aca="false">PROPER(TRIM(Raw_Volunteers!E60))</f>
        <v>Pantry Stocking</v>
      </c>
      <c r="H60" s="9" t="str">
        <f aca="false">Raw_Volunteers!F60</f>
        <v>Downtown Pantry</v>
      </c>
      <c r="I60" s="9" t="n">
        <f aca="false">IF(Raw_Volunteers!G60="",ROUND(AVERAGE(Raw_Volunteers!$G$2:$G$926),1),Raw_Volunteers!G60)</f>
        <v>2.9</v>
      </c>
    </row>
    <row r="61" customFormat="false" ht="15" hidden="false" customHeight="true" outlineLevel="0" collapsed="false">
      <c r="A61" s="9" t="str">
        <f aca="false">Raw_Volunteers!A61</f>
        <v>V2009</v>
      </c>
      <c r="B61" s="9" t="str">
        <f aca="false">IF(COUNTIFS(Raw_Volunteers!$A$2:$A$926,Raw_Volunteers!A61,Raw_Volunteers!$D$2:$D$926,Raw_Volunteers!D61,Raw_Volunteers!$E$2:$E$926,Raw_Volunteers!E61,Raw_Volunteers!$G$2:$G$926,Raw_Volunteers!G61)&gt;1,"Possible Duplicate","")</f>
        <v/>
      </c>
      <c r="C61" s="9" t="str">
        <f aca="false">Raw_Volunteers!B61</f>
        <v>D1118</v>
      </c>
      <c r="D61" s="9" t="str">
        <f aca="false">IF(C61="","No","Yes")</f>
        <v>Yes</v>
      </c>
      <c r="E61" s="9" t="str">
        <f aca="false">Raw_Volunteers!C61</f>
        <v>Kenneth Perez</v>
      </c>
      <c r="F61" s="9" t="str">
        <f aca="false">Raw_Volunteers!D61</f>
        <v>03/30/2024</v>
      </c>
      <c r="G61" s="9" t="str">
        <f aca="false">PROPER(TRIM(Raw_Volunteers!E61))</f>
        <v>Event Setup</v>
      </c>
      <c r="H61" s="9" t="str">
        <f aca="false">Raw_Volunteers!F61</f>
        <v>Mobile Unit - Route A</v>
      </c>
      <c r="I61" s="9" t="n">
        <f aca="false">IF(Raw_Volunteers!G61="",ROUND(AVERAGE(Raw_Volunteers!$G$2:$G$926),1),Raw_Volunteers!G61)</f>
        <v>3</v>
      </c>
    </row>
    <row r="62" customFormat="false" ht="15" hidden="false" customHeight="true" outlineLevel="0" collapsed="false">
      <c r="A62" s="9" t="str">
        <f aca="false">Raw_Volunteers!A62</f>
        <v>V2009</v>
      </c>
      <c r="B62" s="9" t="str">
        <f aca="false">IF(COUNTIFS(Raw_Volunteers!$A$2:$A$926,Raw_Volunteers!A62,Raw_Volunteers!$D$2:$D$926,Raw_Volunteers!D62,Raw_Volunteers!$E$2:$E$926,Raw_Volunteers!E62,Raw_Volunteers!$G$2:$G$926,Raw_Volunteers!G62)&gt;1,"Possible Duplicate","")</f>
        <v/>
      </c>
      <c r="C62" s="9" t="str">
        <f aca="false">Raw_Volunteers!B62</f>
        <v>D1118</v>
      </c>
      <c r="D62" s="9" t="str">
        <f aca="false">IF(C62="","No","Yes")</f>
        <v>Yes</v>
      </c>
      <c r="E62" s="9" t="str">
        <f aca="false">Raw_Volunteers!C62</f>
        <v>Kenneth Perez</v>
      </c>
      <c r="F62" s="9" t="str">
        <f aca="false">Raw_Volunteers!D62</f>
        <v>04/17/2024</v>
      </c>
      <c r="G62" s="9" t="str">
        <f aca="false">PROPER(TRIM(Raw_Volunteers!E62))</f>
        <v>Food Sorting</v>
      </c>
      <c r="H62" s="9" t="str">
        <f aca="false">Raw_Volunteers!F62</f>
        <v>Downtown Pantry</v>
      </c>
      <c r="I62" s="9" t="n">
        <f aca="false">IF(Raw_Volunteers!G62="",ROUND(AVERAGE(Raw_Volunteers!$G$2:$G$926),1),Raw_Volunteers!G62)</f>
        <v>2</v>
      </c>
    </row>
    <row r="63" customFormat="false" ht="15" hidden="false" customHeight="true" outlineLevel="0" collapsed="false">
      <c r="A63" s="9" t="str">
        <f aca="false">Raw_Volunteers!A63</f>
        <v>V2009</v>
      </c>
      <c r="B63" s="9" t="str">
        <f aca="false">IF(COUNTIFS(Raw_Volunteers!$A$2:$A$926,Raw_Volunteers!A63,Raw_Volunteers!$D$2:$D$926,Raw_Volunteers!D63,Raw_Volunteers!$E$2:$E$926,Raw_Volunteers!E63,Raw_Volunteers!$G$2:$G$926,Raw_Volunteers!G63)&gt;1,"Possible Duplicate","")</f>
        <v/>
      </c>
      <c r="C63" s="9" t="str">
        <f aca="false">Raw_Volunteers!B63</f>
        <v>D1118</v>
      </c>
      <c r="D63" s="9" t="str">
        <f aca="false">IF(C63="","No","Yes")</f>
        <v>Yes</v>
      </c>
      <c r="E63" s="9" t="str">
        <f aca="false">Raw_Volunteers!C63</f>
        <v>Kenneth Perez</v>
      </c>
      <c r="F63" s="9" t="str">
        <f aca="false">Raw_Volunteers!D63</f>
        <v>02/17/2025</v>
      </c>
      <c r="G63" s="9" t="str">
        <f aca="false">PROPER(TRIM(Raw_Volunteers!E63))</f>
        <v>Event Setup</v>
      </c>
      <c r="H63" s="9" t="str">
        <f aca="false">Raw_Volunteers!F63</f>
        <v>Main Warehouse</v>
      </c>
      <c r="I63" s="9" t="n">
        <f aca="false">IF(Raw_Volunteers!G63="",ROUND(AVERAGE(Raw_Volunteers!$G$2:$G$926),1),Raw_Volunteers!G63)</f>
        <v>3</v>
      </c>
    </row>
    <row r="64" customFormat="false" ht="15" hidden="false" customHeight="true" outlineLevel="0" collapsed="false">
      <c r="A64" s="9" t="str">
        <f aca="false">Raw_Volunteers!A64</f>
        <v>V2009</v>
      </c>
      <c r="B64" s="9" t="str">
        <f aca="false">IF(COUNTIFS(Raw_Volunteers!$A$2:$A$926,Raw_Volunteers!A64,Raw_Volunteers!$D$2:$D$926,Raw_Volunteers!D64,Raw_Volunteers!$E$2:$E$926,Raw_Volunteers!E64,Raw_Volunteers!$G$2:$G$926,Raw_Volunteers!G64)&gt;1,"Possible Duplicate","")</f>
        <v/>
      </c>
      <c r="C64" s="9" t="str">
        <f aca="false">Raw_Volunteers!B64</f>
        <v>D1118</v>
      </c>
      <c r="D64" s="9" t="str">
        <f aca="false">IF(C64="","No","Yes")</f>
        <v>Yes</v>
      </c>
      <c r="E64" s="9" t="str">
        <f aca="false">Raw_Volunteers!C64</f>
        <v>Kenneth Perez</v>
      </c>
      <c r="F64" s="9" t="str">
        <f aca="false">Raw_Volunteers!D64</f>
        <v>01/08/2026</v>
      </c>
      <c r="G64" s="9" t="str">
        <f aca="false">PROPER(TRIM(Raw_Volunteers!E64))</f>
        <v>Mobile Distribution Driver</v>
      </c>
      <c r="H64" s="9" t="str">
        <f aca="false">Raw_Volunteers!F64</f>
        <v>Mobile Unit - Route B</v>
      </c>
      <c r="I64" s="9" t="n">
        <f aca="false">IF(Raw_Volunteers!G64="",ROUND(AVERAGE(Raw_Volunteers!$G$2:$G$926),1),Raw_Volunteers!G64)</f>
        <v>3</v>
      </c>
    </row>
    <row r="65" customFormat="false" ht="15" hidden="false" customHeight="true" outlineLevel="0" collapsed="false">
      <c r="A65" s="9" t="str">
        <f aca="false">Raw_Volunteers!A65</f>
        <v>V2009</v>
      </c>
      <c r="B65" s="9" t="str">
        <f aca="false">IF(COUNTIFS(Raw_Volunteers!$A$2:$A$926,Raw_Volunteers!A65,Raw_Volunteers!$D$2:$D$926,Raw_Volunteers!D65,Raw_Volunteers!$E$2:$E$926,Raw_Volunteers!E65,Raw_Volunteers!$G$2:$G$926,Raw_Volunteers!G65)&gt;1,"Possible Duplicate","")</f>
        <v/>
      </c>
      <c r="C65" s="9" t="str">
        <f aca="false">Raw_Volunteers!B65</f>
        <v>D1118</v>
      </c>
      <c r="D65" s="9" t="str">
        <f aca="false">IF(C65="","No","Yes")</f>
        <v>Yes</v>
      </c>
      <c r="E65" s="9" t="str">
        <f aca="false">Raw_Volunteers!C65</f>
        <v>Kenneth Perez</v>
      </c>
      <c r="F65" s="9" t="str">
        <f aca="false">Raw_Volunteers!D65</f>
        <v>12/25/2024</v>
      </c>
      <c r="G65" s="9" t="str">
        <f aca="false">PROPER(TRIM(Raw_Volunteers!E65))</f>
        <v>Food Sorting</v>
      </c>
      <c r="H65" s="9" t="str">
        <f aca="false">Raw_Volunteers!F65</f>
        <v>Main Warehouse</v>
      </c>
      <c r="I65" s="9" t="n">
        <f aca="false">IF(Raw_Volunteers!G65="",ROUND(AVERAGE(Raw_Volunteers!$G$2:$G$926),1),Raw_Volunteers!G65)</f>
        <v>3</v>
      </c>
    </row>
    <row r="66" customFormat="false" ht="15" hidden="false" customHeight="true" outlineLevel="0" collapsed="false">
      <c r="A66" s="9" t="str">
        <f aca="false">Raw_Volunteers!A66</f>
        <v>V2009</v>
      </c>
      <c r="B66" s="9" t="str">
        <f aca="false">IF(COUNTIFS(Raw_Volunteers!$A$2:$A$926,Raw_Volunteers!A66,Raw_Volunteers!$D$2:$D$926,Raw_Volunteers!D66,Raw_Volunteers!$E$2:$E$926,Raw_Volunteers!E66,Raw_Volunteers!$G$2:$G$926,Raw_Volunteers!G66)&gt;1,"Possible Duplicate","")</f>
        <v/>
      </c>
      <c r="C66" s="9" t="str">
        <f aca="false">Raw_Volunteers!B66</f>
        <v>D1118</v>
      </c>
      <c r="D66" s="9" t="str">
        <f aca="false">IF(C66="","No","Yes")</f>
        <v>Yes</v>
      </c>
      <c r="E66" s="9" t="str">
        <f aca="false">Raw_Volunteers!C66</f>
        <v>Kenneth Perez</v>
      </c>
      <c r="F66" s="9" t="str">
        <f aca="false">Raw_Volunteers!D66</f>
        <v>05/27/2025</v>
      </c>
      <c r="G66" s="9" t="str">
        <f aca="false">PROPER(TRIM(Raw_Volunteers!E66))</f>
        <v>Mobile Distribution Driver</v>
      </c>
      <c r="H66" s="9" t="str">
        <f aca="false">Raw_Volunteers!F66</f>
        <v>Downtown Pantry</v>
      </c>
      <c r="I66" s="9" t="n">
        <f aca="false">IF(Raw_Volunteers!G66="",ROUND(AVERAGE(Raw_Volunteers!$G$2:$G$926),1),Raw_Volunteers!G66)</f>
        <v>2</v>
      </c>
    </row>
    <row r="67" customFormat="false" ht="15" hidden="false" customHeight="true" outlineLevel="0" collapsed="false">
      <c r="A67" s="9" t="str">
        <f aca="false">Raw_Volunteers!A67</f>
        <v>V2009</v>
      </c>
      <c r="B67" s="9" t="str">
        <f aca="false">IF(COUNTIFS(Raw_Volunteers!$A$2:$A$926,Raw_Volunteers!A67,Raw_Volunteers!$D$2:$D$926,Raw_Volunteers!D67,Raw_Volunteers!$E$2:$E$926,Raw_Volunteers!E67,Raw_Volunteers!$G$2:$G$926,Raw_Volunteers!G67)&gt;1,"Possible Duplicate","")</f>
        <v/>
      </c>
      <c r="C67" s="9" t="str">
        <f aca="false">Raw_Volunteers!B67</f>
        <v>D1118</v>
      </c>
      <c r="D67" s="9" t="str">
        <f aca="false">IF(C67="","No","Yes")</f>
        <v>Yes</v>
      </c>
      <c r="E67" s="9" t="str">
        <f aca="false">Raw_Volunteers!C67</f>
        <v>Kenneth Perez</v>
      </c>
      <c r="F67" s="9" t="str">
        <f aca="false">Raw_Volunteers!D67</f>
        <v>09/15/2024</v>
      </c>
      <c r="G67" s="9" t="str">
        <f aca="false">PROPER(TRIM(Raw_Volunteers!E67))</f>
        <v>Event Setup</v>
      </c>
      <c r="H67" s="9" t="str">
        <f aca="false">Raw_Volunteers!F67</f>
        <v>Mobile Unit - Route A</v>
      </c>
      <c r="I67" s="9" t="n">
        <f aca="false">IF(Raw_Volunteers!G67="",ROUND(AVERAGE(Raw_Volunteers!$G$2:$G$926),1),Raw_Volunteers!G67)</f>
        <v>2</v>
      </c>
    </row>
    <row r="68" customFormat="false" ht="15" hidden="false" customHeight="true" outlineLevel="0" collapsed="false">
      <c r="A68" s="9" t="str">
        <f aca="false">Raw_Volunteers!A68</f>
        <v>V2009</v>
      </c>
      <c r="B68" s="9" t="str">
        <f aca="false">IF(COUNTIFS(Raw_Volunteers!$A$2:$A$926,Raw_Volunteers!A68,Raw_Volunteers!$D$2:$D$926,Raw_Volunteers!D68,Raw_Volunteers!$E$2:$E$926,Raw_Volunteers!E68,Raw_Volunteers!$G$2:$G$926,Raw_Volunteers!G68)&gt;1,"Possible Duplicate","")</f>
        <v/>
      </c>
      <c r="C68" s="9" t="str">
        <f aca="false">Raw_Volunteers!B68</f>
        <v>D1118</v>
      </c>
      <c r="D68" s="9" t="str">
        <f aca="false">IF(C68="","No","Yes")</f>
        <v>Yes</v>
      </c>
      <c r="E68" s="9" t="str">
        <f aca="false">Raw_Volunteers!C68</f>
        <v>Kenneth Perez</v>
      </c>
      <c r="F68" s="9" t="str">
        <f aca="false">Raw_Volunteers!D68</f>
        <v>03/18/2024</v>
      </c>
      <c r="G68" s="9" t="str">
        <f aca="false">PROPER(TRIM(Raw_Volunteers!E68))</f>
        <v>Client Intake Assistant</v>
      </c>
      <c r="H68" s="9" t="str">
        <f aca="false">Raw_Volunteers!F68</f>
        <v>Downtown Pantry</v>
      </c>
      <c r="I68" s="9" t="n">
        <f aca="false">IF(Raw_Volunteers!G68="",ROUND(AVERAGE(Raw_Volunteers!$G$2:$G$926),1),Raw_Volunteers!G68)</f>
        <v>2</v>
      </c>
    </row>
    <row r="69" customFormat="false" ht="15" hidden="false" customHeight="true" outlineLevel="0" collapsed="false">
      <c r="A69" s="9" t="str">
        <f aca="false">Raw_Volunteers!A69</f>
        <v>V2010</v>
      </c>
      <c r="B69" s="9" t="str">
        <f aca="false">IF(COUNTIFS(Raw_Volunteers!$A$2:$A$926,Raw_Volunteers!A69,Raw_Volunteers!$D$2:$D$926,Raw_Volunteers!D69,Raw_Volunteers!$E$2:$E$926,Raw_Volunteers!E69,Raw_Volunteers!$G$2:$G$926,Raw_Volunteers!G69)&gt;1,"Possible Duplicate","")</f>
        <v/>
      </c>
      <c r="C69" s="9" t="str">
        <f aca="false">Raw_Volunteers!B69</f>
        <v>D1635</v>
      </c>
      <c r="D69" s="9" t="str">
        <f aca="false">IF(C69="","No","Yes")</f>
        <v>Yes</v>
      </c>
      <c r="E69" s="9" t="str">
        <f aca="false">Raw_Volunteers!C69</f>
        <v>Charles Lee</v>
      </c>
      <c r="F69" s="9" t="str">
        <f aca="false">Raw_Volunteers!D69</f>
        <v>12/14/2024</v>
      </c>
      <c r="G69" s="9" t="str">
        <f aca="false">PROPER(TRIM(Raw_Volunteers!E69))</f>
        <v>Front Desk Greeter</v>
      </c>
      <c r="H69" s="9" t="str">
        <f aca="false">Raw_Volunteers!F69</f>
        <v>Downtown Pantry</v>
      </c>
      <c r="I69" s="9" t="n">
        <f aca="false">IF(Raw_Volunteers!G69="",ROUND(AVERAGE(Raw_Volunteers!$G$2:$G$926),1),Raw_Volunteers!G69)</f>
        <v>2</v>
      </c>
    </row>
    <row r="70" customFormat="false" ht="15" hidden="false" customHeight="true" outlineLevel="0" collapsed="false">
      <c r="A70" s="9" t="str">
        <f aca="false">Raw_Volunteers!A70</f>
        <v>V2010</v>
      </c>
      <c r="B70" s="9" t="str">
        <f aca="false">IF(COUNTIFS(Raw_Volunteers!$A$2:$A$926,Raw_Volunteers!A70,Raw_Volunteers!$D$2:$D$926,Raw_Volunteers!D70,Raw_Volunteers!$E$2:$E$926,Raw_Volunteers!E70,Raw_Volunteers!$G$2:$G$926,Raw_Volunteers!G70)&gt;1,"Possible Duplicate","")</f>
        <v/>
      </c>
      <c r="C70" s="9" t="str">
        <f aca="false">Raw_Volunteers!B70</f>
        <v>D1635</v>
      </c>
      <c r="D70" s="9" t="str">
        <f aca="false">IF(C70="","No","Yes")</f>
        <v>Yes</v>
      </c>
      <c r="E70" s="9" t="str">
        <f aca="false">Raw_Volunteers!C70</f>
        <v>Charles Lee</v>
      </c>
      <c r="F70" s="9" t="str">
        <f aca="false">Raw_Volunteers!D70</f>
        <v>05/15/2026</v>
      </c>
      <c r="G70" s="9" t="str">
        <f aca="false">PROPER(TRIM(Raw_Volunteers!E70))</f>
        <v>Food Sorting</v>
      </c>
      <c r="H70" s="9" t="str">
        <f aca="false">Raw_Volunteers!F70</f>
        <v>Downtown Pantry</v>
      </c>
      <c r="I70" s="9" t="n">
        <f aca="false">IF(Raw_Volunteers!G70="",ROUND(AVERAGE(Raw_Volunteers!$G$2:$G$926),1),Raw_Volunteers!G70)</f>
        <v>2</v>
      </c>
    </row>
    <row r="71" customFormat="false" ht="15" hidden="false" customHeight="true" outlineLevel="0" collapsed="false">
      <c r="A71" s="9" t="str">
        <f aca="false">Raw_Volunteers!A71</f>
        <v>V2010</v>
      </c>
      <c r="B71" s="9" t="str">
        <f aca="false">IF(COUNTIFS(Raw_Volunteers!$A$2:$A$926,Raw_Volunteers!A71,Raw_Volunteers!$D$2:$D$926,Raw_Volunteers!D71,Raw_Volunteers!$E$2:$E$926,Raw_Volunteers!E71,Raw_Volunteers!$G$2:$G$926,Raw_Volunteers!G71)&gt;1,"Possible Duplicate","")</f>
        <v/>
      </c>
      <c r="C71" s="9" t="str">
        <f aca="false">Raw_Volunteers!B71</f>
        <v>D1635</v>
      </c>
      <c r="D71" s="9" t="str">
        <f aca="false">IF(C71="","No","Yes")</f>
        <v>Yes</v>
      </c>
      <c r="E71" s="9" t="str">
        <f aca="false">Raw_Volunteers!C71</f>
        <v>Charles Lee</v>
      </c>
      <c r="F71" s="9" t="str">
        <f aca="false">Raw_Volunteers!D71</f>
        <v>04/06/2026</v>
      </c>
      <c r="G71" s="9" t="str">
        <f aca="false">PROPER(TRIM(Raw_Volunteers!E71))</f>
        <v>Client Intake Assistant</v>
      </c>
      <c r="H71" s="9" t="str">
        <f aca="false">Raw_Volunteers!F71</f>
        <v>Mobile Unit - Route A</v>
      </c>
      <c r="I71" s="9" t="n">
        <f aca="false">IF(Raw_Volunteers!G71="",ROUND(AVERAGE(Raw_Volunteers!$G$2:$G$926),1),Raw_Volunteers!G71)</f>
        <v>2</v>
      </c>
    </row>
    <row r="72" customFormat="false" ht="15" hidden="false" customHeight="true" outlineLevel="0" collapsed="false">
      <c r="A72" s="9" t="str">
        <f aca="false">Raw_Volunteers!A72</f>
        <v>V2010</v>
      </c>
      <c r="B72" s="9" t="str">
        <f aca="false">IF(COUNTIFS(Raw_Volunteers!$A$2:$A$926,Raw_Volunteers!A72,Raw_Volunteers!$D$2:$D$926,Raw_Volunteers!D72,Raw_Volunteers!$E$2:$E$926,Raw_Volunteers!E72,Raw_Volunteers!$G$2:$G$926,Raw_Volunteers!G72)&gt;1,"Possible Duplicate","")</f>
        <v/>
      </c>
      <c r="C72" s="9" t="str">
        <f aca="false">Raw_Volunteers!B72</f>
        <v>D1635</v>
      </c>
      <c r="D72" s="9" t="str">
        <f aca="false">IF(C72="","No","Yes")</f>
        <v>Yes</v>
      </c>
      <c r="E72" s="9" t="str">
        <f aca="false">Raw_Volunteers!C72</f>
        <v>Charles Lee</v>
      </c>
      <c r="F72" s="9" t="str">
        <f aca="false">Raw_Volunteers!D72</f>
        <v>03/03/2025</v>
      </c>
      <c r="G72" s="9" t="str">
        <f aca="false">PROPER(TRIM(Raw_Volunteers!E72))</f>
        <v>Pantry Stocking</v>
      </c>
      <c r="H72" s="9" t="str">
        <f aca="false">Raw_Volunteers!F72</f>
        <v>Community Center Site</v>
      </c>
      <c r="I72" s="9" t="n">
        <f aca="false">IF(Raw_Volunteers!G72="",ROUND(AVERAGE(Raw_Volunteers!$G$2:$G$926),1),Raw_Volunteers!G72)</f>
        <v>2</v>
      </c>
    </row>
    <row r="73" customFormat="false" ht="15" hidden="false" customHeight="true" outlineLevel="0" collapsed="false">
      <c r="A73" s="9" t="str">
        <f aca="false">Raw_Volunteers!A73</f>
        <v>V2010</v>
      </c>
      <c r="B73" s="9" t="str">
        <f aca="false">IF(COUNTIFS(Raw_Volunteers!$A$2:$A$926,Raw_Volunteers!A73,Raw_Volunteers!$D$2:$D$926,Raw_Volunteers!D73,Raw_Volunteers!$E$2:$E$926,Raw_Volunteers!E73,Raw_Volunteers!$G$2:$G$926,Raw_Volunteers!G73)&gt;1,"Possible Duplicate","")</f>
        <v/>
      </c>
      <c r="C73" s="9" t="str">
        <f aca="false">Raw_Volunteers!B73</f>
        <v>D1635</v>
      </c>
      <c r="D73" s="9" t="str">
        <f aca="false">IF(C73="","No","Yes")</f>
        <v>Yes</v>
      </c>
      <c r="E73" s="9" t="str">
        <f aca="false">Raw_Volunteers!C73</f>
        <v>Charles Lee</v>
      </c>
      <c r="F73" s="9" t="str">
        <f aca="false">Raw_Volunteers!D73</f>
        <v>11/17/2025</v>
      </c>
      <c r="G73" s="9" t="str">
        <f aca="false">PROPER(TRIM(Raw_Volunteers!E73))</f>
        <v>Front Desk Greeter</v>
      </c>
      <c r="H73" s="9" t="str">
        <f aca="false">Raw_Volunteers!F73</f>
        <v>Mobile Unit - Route B</v>
      </c>
      <c r="I73" s="9" t="n">
        <f aca="false">IF(Raw_Volunteers!G73="",ROUND(AVERAGE(Raw_Volunteers!$G$2:$G$926),1),Raw_Volunteers!G73)</f>
        <v>6</v>
      </c>
    </row>
    <row r="74" customFormat="false" ht="15" hidden="false" customHeight="true" outlineLevel="0" collapsed="false">
      <c r="A74" s="9" t="str">
        <f aca="false">Raw_Volunteers!A74</f>
        <v>V2010</v>
      </c>
      <c r="B74" s="9" t="str">
        <f aca="false">IF(COUNTIFS(Raw_Volunteers!$A$2:$A$926,Raw_Volunteers!A74,Raw_Volunteers!$D$2:$D$926,Raw_Volunteers!D74,Raw_Volunteers!$E$2:$E$926,Raw_Volunteers!E74,Raw_Volunteers!$G$2:$G$926,Raw_Volunteers!G74)&gt;1,"Possible Duplicate","")</f>
        <v/>
      </c>
      <c r="C74" s="9" t="str">
        <f aca="false">Raw_Volunteers!B74</f>
        <v>D1635</v>
      </c>
      <c r="D74" s="9" t="str">
        <f aca="false">IF(C74="","No","Yes")</f>
        <v>Yes</v>
      </c>
      <c r="E74" s="9" t="str">
        <f aca="false">Raw_Volunteers!C74</f>
        <v>Charles Lee</v>
      </c>
      <c r="F74" s="9" t="str">
        <f aca="false">Raw_Volunteers!D74</f>
        <v>05/30/2024</v>
      </c>
      <c r="G74" s="9" t="str">
        <f aca="false">PROPER(TRIM(Raw_Volunteers!E74))</f>
        <v>Client Intake Assistant</v>
      </c>
      <c r="H74" s="9" t="str">
        <f aca="false">Raw_Volunteers!F74</f>
        <v>Downtown Pantry</v>
      </c>
      <c r="I74" s="9" t="n">
        <f aca="false">IF(Raw_Volunteers!G74="",ROUND(AVERAGE(Raw_Volunteers!$G$2:$G$926),1),Raw_Volunteers!G74)</f>
        <v>2</v>
      </c>
    </row>
    <row r="75" customFormat="false" ht="15" hidden="false" customHeight="true" outlineLevel="0" collapsed="false">
      <c r="A75" s="9" t="str">
        <f aca="false">Raw_Volunteers!A75</f>
        <v>V2010</v>
      </c>
      <c r="B75" s="9" t="str">
        <f aca="false">IF(COUNTIFS(Raw_Volunteers!$A$2:$A$926,Raw_Volunteers!A75,Raw_Volunteers!$D$2:$D$926,Raw_Volunteers!D75,Raw_Volunteers!$E$2:$E$926,Raw_Volunteers!E75,Raw_Volunteers!$G$2:$G$926,Raw_Volunteers!G75)&gt;1,"Possible Duplicate","")</f>
        <v/>
      </c>
      <c r="C75" s="9" t="str">
        <f aca="false">Raw_Volunteers!B75</f>
        <v>D1635</v>
      </c>
      <c r="D75" s="9" t="str">
        <f aca="false">IF(C75="","No","Yes")</f>
        <v>Yes</v>
      </c>
      <c r="E75" s="9" t="str">
        <f aca="false">Raw_Volunteers!C75</f>
        <v>Charles Lee</v>
      </c>
      <c r="F75" s="9" t="str">
        <f aca="false">Raw_Volunteers!D75</f>
        <v>03/04/2026</v>
      </c>
      <c r="G75" s="9" t="str">
        <f aca="false">PROPER(TRIM(Raw_Volunteers!E75))</f>
        <v>Event Setup</v>
      </c>
      <c r="H75" s="9" t="str">
        <f aca="false">Raw_Volunteers!F75</f>
        <v>Mobile Unit - Route A</v>
      </c>
      <c r="I75" s="9" t="n">
        <f aca="false">IF(Raw_Volunteers!G75="",ROUND(AVERAGE(Raw_Volunteers!$G$2:$G$926),1),Raw_Volunteers!G75)</f>
        <v>6</v>
      </c>
    </row>
    <row r="76" customFormat="false" ht="15" hidden="false" customHeight="true" outlineLevel="0" collapsed="false">
      <c r="A76" s="9" t="str">
        <f aca="false">Raw_Volunteers!A76</f>
        <v>V2010</v>
      </c>
      <c r="B76" s="9" t="str">
        <f aca="false">IF(COUNTIFS(Raw_Volunteers!$A$2:$A$926,Raw_Volunteers!A76,Raw_Volunteers!$D$2:$D$926,Raw_Volunteers!D76,Raw_Volunteers!$E$2:$E$926,Raw_Volunteers!E76,Raw_Volunteers!$G$2:$G$926,Raw_Volunteers!G76)&gt;1,"Possible Duplicate","")</f>
        <v/>
      </c>
      <c r="C76" s="9" t="str">
        <f aca="false">Raw_Volunteers!B76</f>
        <v>D1635</v>
      </c>
      <c r="D76" s="9" t="str">
        <f aca="false">IF(C76="","No","Yes")</f>
        <v>Yes</v>
      </c>
      <c r="E76" s="9" t="str">
        <f aca="false">Raw_Volunteers!C76</f>
        <v>Charles Lee</v>
      </c>
      <c r="F76" s="9" t="str">
        <f aca="false">Raw_Volunteers!D76</f>
        <v>05/05/2026</v>
      </c>
      <c r="G76" s="9" t="str">
        <f aca="false">PROPER(TRIM(Raw_Volunteers!E76))</f>
        <v>Event Setup</v>
      </c>
      <c r="H76" s="9" t="str">
        <f aca="false">Raw_Volunteers!F76</f>
        <v>Downtown Pantry</v>
      </c>
      <c r="I76" s="9" t="n">
        <f aca="false">IF(Raw_Volunteers!G76="",ROUND(AVERAGE(Raw_Volunteers!$G$2:$G$926),1),Raw_Volunteers!G76)</f>
        <v>3</v>
      </c>
    </row>
    <row r="77" customFormat="false" ht="15" hidden="false" customHeight="true" outlineLevel="0" collapsed="false">
      <c r="A77" s="9" t="str">
        <f aca="false">Raw_Volunteers!A77</f>
        <v>V2011</v>
      </c>
      <c r="B77" s="9" t="str">
        <f aca="false">IF(COUNTIFS(Raw_Volunteers!$A$2:$A$926,Raw_Volunteers!A77,Raw_Volunteers!$D$2:$D$926,Raw_Volunteers!D77,Raw_Volunteers!$E$2:$E$926,Raw_Volunteers!E77,Raw_Volunteers!$G$2:$G$926,Raw_Volunteers!G77)&gt;1,"Possible Duplicate","")</f>
        <v/>
      </c>
      <c r="C77" s="9" t="str">
        <f aca="false">Raw_Volunteers!B77</f>
        <v>D1719</v>
      </c>
      <c r="D77" s="9" t="str">
        <f aca="false">IF(C77="","No","Yes")</f>
        <v>Yes</v>
      </c>
      <c r="E77" s="9" t="str">
        <f aca="false">Raw_Volunteers!C77</f>
        <v>Matthew Thompson</v>
      </c>
      <c r="F77" s="9" t="str">
        <f aca="false">Raw_Volunteers!D77</f>
        <v>03/29/2026</v>
      </c>
      <c r="G77" s="9" t="str">
        <f aca="false">PROPER(TRIM(Raw_Volunteers!E77))</f>
        <v>Mobile Distribution Driver</v>
      </c>
      <c r="H77" s="9" t="str">
        <f aca="false">Raw_Volunteers!F77</f>
        <v>Mobile Unit - Route B</v>
      </c>
      <c r="I77" s="9" t="n">
        <f aca="false">IF(Raw_Volunteers!G77="",ROUND(AVERAGE(Raw_Volunteers!$G$2:$G$926),1),Raw_Volunteers!G77)</f>
        <v>3</v>
      </c>
    </row>
    <row r="78" customFormat="false" ht="15" hidden="false" customHeight="true" outlineLevel="0" collapsed="false">
      <c r="A78" s="9" t="str">
        <f aca="false">Raw_Volunteers!A78</f>
        <v>V2011</v>
      </c>
      <c r="B78" s="9" t="str">
        <f aca="false">IF(COUNTIFS(Raw_Volunteers!$A$2:$A$926,Raw_Volunteers!A78,Raw_Volunteers!$D$2:$D$926,Raw_Volunteers!D78,Raw_Volunteers!$E$2:$E$926,Raw_Volunteers!E78,Raw_Volunteers!$G$2:$G$926,Raw_Volunteers!G78)&gt;1,"Possible Duplicate","")</f>
        <v/>
      </c>
      <c r="C78" s="9" t="str">
        <f aca="false">Raw_Volunteers!B78</f>
        <v>D1719</v>
      </c>
      <c r="D78" s="9" t="str">
        <f aca="false">IF(C78="","No","Yes")</f>
        <v>Yes</v>
      </c>
      <c r="E78" s="9" t="str">
        <f aca="false">Raw_Volunteers!C78</f>
        <v>Matthew Thompson</v>
      </c>
      <c r="F78" s="9" t="str">
        <f aca="false">Raw_Volunteers!D78</f>
        <v>02/22/2024</v>
      </c>
      <c r="G78" s="9" t="str">
        <f aca="false">PROPER(TRIM(Raw_Volunteers!E78))</f>
        <v>Pantry Stocking</v>
      </c>
      <c r="H78" s="9" t="str">
        <f aca="false">Raw_Volunteers!F78</f>
        <v>Community Center Site</v>
      </c>
      <c r="I78" s="9" t="n">
        <f aca="false">IF(Raw_Volunteers!G78="",ROUND(AVERAGE(Raw_Volunteers!$G$2:$G$926),1),Raw_Volunteers!G78)</f>
        <v>2</v>
      </c>
    </row>
    <row r="79" customFormat="false" ht="15" hidden="false" customHeight="true" outlineLevel="0" collapsed="false">
      <c r="A79" s="9" t="str">
        <f aca="false">Raw_Volunteers!A79</f>
        <v>V2011</v>
      </c>
      <c r="B79" s="9" t="str">
        <f aca="false">IF(COUNTIFS(Raw_Volunteers!$A$2:$A$926,Raw_Volunteers!A79,Raw_Volunteers!$D$2:$D$926,Raw_Volunteers!D79,Raw_Volunteers!$E$2:$E$926,Raw_Volunteers!E79,Raw_Volunteers!$G$2:$G$926,Raw_Volunteers!G79)&gt;1,"Possible Duplicate","")</f>
        <v/>
      </c>
      <c r="C79" s="9" t="str">
        <f aca="false">Raw_Volunteers!B79</f>
        <v>D1719</v>
      </c>
      <c r="D79" s="9" t="str">
        <f aca="false">IF(C79="","No","Yes")</f>
        <v>Yes</v>
      </c>
      <c r="E79" s="9" t="str">
        <f aca="false">Raw_Volunteers!C79</f>
        <v>Matthew Thompson</v>
      </c>
      <c r="F79" s="9" t="str">
        <f aca="false">Raw_Volunteers!D79</f>
        <v>04/23/2026</v>
      </c>
      <c r="G79" s="9" t="str">
        <f aca="false">PROPER(TRIM(Raw_Volunteers!E79))</f>
        <v>Warehouse Loading</v>
      </c>
      <c r="H79" s="9" t="str">
        <f aca="false">Raw_Volunteers!F79</f>
        <v>Mobile Unit - Route A</v>
      </c>
      <c r="I79" s="9" t="n">
        <f aca="false">IF(Raw_Volunteers!G79="",ROUND(AVERAGE(Raw_Volunteers!$G$2:$G$926),1),Raw_Volunteers!G79)</f>
        <v>2</v>
      </c>
    </row>
    <row r="80" customFormat="false" ht="15" hidden="false" customHeight="true" outlineLevel="0" collapsed="false">
      <c r="A80" s="9" t="str">
        <f aca="false">Raw_Volunteers!A80</f>
        <v>V2012</v>
      </c>
      <c r="B80" s="9" t="str">
        <f aca="false">IF(COUNTIFS(Raw_Volunteers!$A$2:$A$926,Raw_Volunteers!A80,Raw_Volunteers!$D$2:$D$926,Raw_Volunteers!D80,Raw_Volunteers!$E$2:$E$926,Raw_Volunteers!E80,Raw_Volunteers!$G$2:$G$926,Raw_Volunteers!G80)&gt;1,"Possible Duplicate","")</f>
        <v/>
      </c>
      <c r="C80" s="9" t="str">
        <f aca="false">Raw_Volunteers!B80</f>
        <v>D1748</v>
      </c>
      <c r="D80" s="9" t="str">
        <f aca="false">IF(C80="","No","Yes")</f>
        <v>Yes</v>
      </c>
      <c r="E80" s="9" t="str">
        <f aca="false">Raw_Volunteers!C80</f>
        <v>Susan Garcia</v>
      </c>
      <c r="F80" s="9" t="str">
        <f aca="false">Raw_Volunteers!D80</f>
        <v>03/03/2024</v>
      </c>
      <c r="G80" s="9" t="str">
        <f aca="false">PROPER(TRIM(Raw_Volunteers!E80))</f>
        <v>Food Sorting</v>
      </c>
      <c r="H80" s="9" t="str">
        <f aca="false">Raw_Volunteers!F80</f>
        <v>Mobile Unit - Route A</v>
      </c>
      <c r="I80" s="9" t="n">
        <f aca="false">IF(Raw_Volunteers!G80="",ROUND(AVERAGE(Raw_Volunteers!$G$2:$G$926),1),Raw_Volunteers!G80)</f>
        <v>4</v>
      </c>
    </row>
    <row r="81" customFormat="false" ht="15" hidden="false" customHeight="true" outlineLevel="0" collapsed="false">
      <c r="A81" s="9" t="str">
        <f aca="false">Raw_Volunteers!A81</f>
        <v>V2013</v>
      </c>
      <c r="B81" s="9" t="str">
        <f aca="false">IF(COUNTIFS(Raw_Volunteers!$A$2:$A$926,Raw_Volunteers!A81,Raw_Volunteers!$D$2:$D$926,Raw_Volunteers!D81,Raw_Volunteers!$E$2:$E$926,Raw_Volunteers!E81,Raw_Volunteers!$G$2:$G$926,Raw_Volunteers!G81)&gt;1,"Possible Duplicate","")</f>
        <v/>
      </c>
      <c r="C81" s="9" t="str">
        <f aca="false">Raw_Volunteers!B81</f>
        <v>D1541</v>
      </c>
      <c r="D81" s="9" t="str">
        <f aca="false">IF(C81="","No","Yes")</f>
        <v>Yes</v>
      </c>
      <c r="E81" s="9" t="str">
        <f aca="false">Raw_Volunteers!C81</f>
        <v>Jessica Torres</v>
      </c>
      <c r="F81" s="9" t="str">
        <f aca="false">Raw_Volunteers!D81</f>
        <v>08/31/2025</v>
      </c>
      <c r="G81" s="9" t="str">
        <f aca="false">PROPER(TRIM(Raw_Volunteers!E81))</f>
        <v>Client Intake Assistant</v>
      </c>
      <c r="H81" s="9" t="str">
        <f aca="false">Raw_Volunteers!F81</f>
        <v>Mobile Unit - Route A</v>
      </c>
      <c r="I81" s="9" t="n">
        <f aca="false">IF(Raw_Volunteers!G81="",ROUND(AVERAGE(Raw_Volunteers!$G$2:$G$926),1),Raw_Volunteers!G81)</f>
        <v>4</v>
      </c>
    </row>
    <row r="82" customFormat="false" ht="15" hidden="false" customHeight="true" outlineLevel="0" collapsed="false">
      <c r="A82" s="9" t="str">
        <f aca="false">Raw_Volunteers!A82</f>
        <v>V2013</v>
      </c>
      <c r="B82" s="9" t="str">
        <f aca="false">IF(COUNTIFS(Raw_Volunteers!$A$2:$A$926,Raw_Volunteers!A82,Raw_Volunteers!$D$2:$D$926,Raw_Volunteers!D82,Raw_Volunteers!$E$2:$E$926,Raw_Volunteers!E82,Raw_Volunteers!$G$2:$G$926,Raw_Volunteers!G82)&gt;1,"Possible Duplicate","")</f>
        <v/>
      </c>
      <c r="C82" s="9" t="str">
        <f aca="false">Raw_Volunteers!B82</f>
        <v>D1541</v>
      </c>
      <c r="D82" s="9" t="str">
        <f aca="false">IF(C82="","No","Yes")</f>
        <v>Yes</v>
      </c>
      <c r="E82" s="9" t="str">
        <f aca="false">Raw_Volunteers!C82</f>
        <v>Jessica Torres</v>
      </c>
      <c r="F82" s="9" t="str">
        <f aca="false">Raw_Volunteers!D82</f>
        <v>11/27/2024</v>
      </c>
      <c r="G82" s="9" t="str">
        <f aca="false">PROPER(TRIM(Raw_Volunteers!E82))</f>
        <v>Front Desk Greeter</v>
      </c>
      <c r="H82" s="9" t="str">
        <f aca="false">Raw_Volunteers!F82</f>
        <v>Downtown Pantry</v>
      </c>
      <c r="I82" s="9" t="n">
        <f aca="false">IF(Raw_Volunteers!G82="",ROUND(AVERAGE(Raw_Volunteers!$G$2:$G$926),1),Raw_Volunteers!G82)</f>
        <v>2</v>
      </c>
    </row>
    <row r="83" customFormat="false" ht="15" hidden="false" customHeight="true" outlineLevel="0" collapsed="false">
      <c r="A83" s="9" t="str">
        <f aca="false">Raw_Volunteers!A83</f>
        <v>V2013</v>
      </c>
      <c r="B83" s="9" t="str">
        <f aca="false">IF(COUNTIFS(Raw_Volunteers!$A$2:$A$926,Raw_Volunteers!A83,Raw_Volunteers!$D$2:$D$926,Raw_Volunteers!D83,Raw_Volunteers!$E$2:$E$926,Raw_Volunteers!E83,Raw_Volunteers!$G$2:$G$926,Raw_Volunteers!G83)&gt;1,"Possible Duplicate","")</f>
        <v/>
      </c>
      <c r="C83" s="9" t="str">
        <f aca="false">Raw_Volunteers!B83</f>
        <v>D1541</v>
      </c>
      <c r="D83" s="9" t="str">
        <f aca="false">IF(C83="","No","Yes")</f>
        <v>Yes</v>
      </c>
      <c r="E83" s="9" t="str">
        <f aca="false">Raw_Volunteers!C83</f>
        <v>Jessica Torres</v>
      </c>
      <c r="F83" s="9" t="str">
        <f aca="false">Raw_Volunteers!D83</f>
        <v>01/25/2025</v>
      </c>
      <c r="G83" s="9" t="str">
        <f aca="false">PROPER(TRIM(Raw_Volunteers!E83))</f>
        <v>Food Sorting</v>
      </c>
      <c r="H83" s="9" t="str">
        <f aca="false">Raw_Volunteers!F83</f>
        <v>Mobile Unit - Route B</v>
      </c>
      <c r="I83" s="9" t="n">
        <f aca="false">IF(Raw_Volunteers!G83="",ROUND(AVERAGE(Raw_Volunteers!$G$2:$G$926),1),Raw_Volunteers!G83)</f>
        <v>4</v>
      </c>
    </row>
    <row r="84" customFormat="false" ht="15" hidden="false" customHeight="true" outlineLevel="0" collapsed="false">
      <c r="A84" s="9" t="str">
        <f aca="false">Raw_Volunteers!A84</f>
        <v>V2014</v>
      </c>
      <c r="B84" s="9" t="str">
        <f aca="false">IF(COUNTIFS(Raw_Volunteers!$A$2:$A$926,Raw_Volunteers!A84,Raw_Volunteers!$D$2:$D$926,Raw_Volunteers!D84,Raw_Volunteers!$E$2:$E$926,Raw_Volunteers!E84,Raw_Volunteers!$G$2:$G$926,Raw_Volunteers!G84)&gt;1,"Possible Duplicate","")</f>
        <v/>
      </c>
      <c r="C84" s="9" t="str">
        <f aca="false">Raw_Volunteers!B84</f>
        <v>D1351</v>
      </c>
      <c r="D84" s="9" t="str">
        <f aca="false">IF(C84="","No","Yes")</f>
        <v>Yes</v>
      </c>
      <c r="E84" s="9" t="str">
        <f aca="false">Raw_Volunteers!C84</f>
        <v>Donald Jones</v>
      </c>
      <c r="F84" s="9" t="str">
        <f aca="false">Raw_Volunteers!D84</f>
        <v>10/13/2024</v>
      </c>
      <c r="G84" s="9" t="str">
        <f aca="false">PROPER(TRIM(Raw_Volunteers!E84))</f>
        <v>Mobile Distribution Driver</v>
      </c>
      <c r="H84" s="9" t="str">
        <f aca="false">Raw_Volunteers!F84</f>
        <v>Downtown Pantry</v>
      </c>
      <c r="I84" s="9" t="n">
        <f aca="false">IF(Raw_Volunteers!G84="",ROUND(AVERAGE(Raw_Volunteers!$G$2:$G$926),1),Raw_Volunteers!G84)</f>
        <v>4</v>
      </c>
    </row>
    <row r="85" customFormat="false" ht="15" hidden="false" customHeight="true" outlineLevel="0" collapsed="false">
      <c r="A85" s="9" t="str">
        <f aca="false">Raw_Volunteers!A85</f>
        <v>V2014</v>
      </c>
      <c r="B85" s="9" t="str">
        <f aca="false">IF(COUNTIFS(Raw_Volunteers!$A$2:$A$926,Raw_Volunteers!A85,Raw_Volunteers!$D$2:$D$926,Raw_Volunteers!D85,Raw_Volunteers!$E$2:$E$926,Raw_Volunteers!E85,Raw_Volunteers!$G$2:$G$926,Raw_Volunteers!G85)&gt;1,"Possible Duplicate","")</f>
        <v/>
      </c>
      <c r="C85" s="9" t="str">
        <f aca="false">Raw_Volunteers!B85</f>
        <v>D1351</v>
      </c>
      <c r="D85" s="9" t="str">
        <f aca="false">IF(C85="","No","Yes")</f>
        <v>Yes</v>
      </c>
      <c r="E85" s="9" t="str">
        <f aca="false">Raw_Volunteers!C85</f>
        <v>Donald Jones</v>
      </c>
      <c r="F85" s="9" t="str">
        <f aca="false">Raw_Volunteers!D85</f>
        <v>03/05/2026</v>
      </c>
      <c r="G85" s="9" t="str">
        <f aca="false">PROPER(TRIM(Raw_Volunteers!E85))</f>
        <v>Front Desk Greeter</v>
      </c>
      <c r="H85" s="9" t="str">
        <f aca="false">Raw_Volunteers!F85</f>
        <v>Downtown Pantry</v>
      </c>
      <c r="I85" s="9" t="n">
        <f aca="false">IF(Raw_Volunteers!G85="",ROUND(AVERAGE(Raw_Volunteers!$G$2:$G$926),1),Raw_Volunteers!G85)</f>
        <v>2.9</v>
      </c>
    </row>
    <row r="86" customFormat="false" ht="15" hidden="false" customHeight="true" outlineLevel="0" collapsed="false">
      <c r="A86" s="9" t="str">
        <f aca="false">Raw_Volunteers!A86</f>
        <v>V2014</v>
      </c>
      <c r="B86" s="9" t="str">
        <f aca="false">IF(COUNTIFS(Raw_Volunteers!$A$2:$A$926,Raw_Volunteers!A86,Raw_Volunteers!$D$2:$D$926,Raw_Volunteers!D86,Raw_Volunteers!$E$2:$E$926,Raw_Volunteers!E86,Raw_Volunteers!$G$2:$G$926,Raw_Volunteers!G86)&gt;1,"Possible Duplicate","")</f>
        <v/>
      </c>
      <c r="C86" s="9" t="str">
        <f aca="false">Raw_Volunteers!B86</f>
        <v>D1351</v>
      </c>
      <c r="D86" s="9" t="str">
        <f aca="false">IF(C86="","No","Yes")</f>
        <v>Yes</v>
      </c>
      <c r="E86" s="9" t="str">
        <f aca="false">Raw_Volunteers!C86</f>
        <v>Donald Jones</v>
      </c>
      <c r="F86" s="9" t="str">
        <f aca="false">Raw_Volunteers!D86</f>
        <v>10/23/2025</v>
      </c>
      <c r="G86" s="9" t="str">
        <f aca="false">PROPER(TRIM(Raw_Volunteers!E86))</f>
        <v>Client Intake Assistant</v>
      </c>
      <c r="H86" s="9" t="str">
        <f aca="false">Raw_Volunteers!F86</f>
        <v>Community Center Site</v>
      </c>
      <c r="I86" s="9" t="n">
        <f aca="false">IF(Raw_Volunteers!G86="",ROUND(AVERAGE(Raw_Volunteers!$G$2:$G$926),1),Raw_Volunteers!G86)</f>
        <v>4</v>
      </c>
    </row>
    <row r="87" customFormat="false" ht="15" hidden="false" customHeight="true" outlineLevel="0" collapsed="false">
      <c r="A87" s="9" t="str">
        <f aca="false">Raw_Volunteers!A87</f>
        <v>V2014</v>
      </c>
      <c r="B87" s="9" t="str">
        <f aca="false">IF(COUNTIFS(Raw_Volunteers!$A$2:$A$926,Raw_Volunteers!A87,Raw_Volunteers!$D$2:$D$926,Raw_Volunteers!D87,Raw_Volunteers!$E$2:$E$926,Raw_Volunteers!E87,Raw_Volunteers!$G$2:$G$926,Raw_Volunteers!G87)&gt;1,"Possible Duplicate","")</f>
        <v/>
      </c>
      <c r="C87" s="9" t="str">
        <f aca="false">Raw_Volunteers!B87</f>
        <v>D1351</v>
      </c>
      <c r="D87" s="9" t="str">
        <f aca="false">IF(C87="","No","Yes")</f>
        <v>Yes</v>
      </c>
      <c r="E87" s="9" t="str">
        <f aca="false">Raw_Volunteers!C87</f>
        <v>Donald Jones</v>
      </c>
      <c r="F87" s="9" t="str">
        <f aca="false">Raw_Volunteers!D87</f>
        <v>12/19/2024</v>
      </c>
      <c r="G87" s="9" t="str">
        <f aca="false">PROPER(TRIM(Raw_Volunteers!E87))</f>
        <v>Warehouse Loading</v>
      </c>
      <c r="H87" s="9" t="str">
        <f aca="false">Raw_Volunteers!F87</f>
        <v>Community Center Site</v>
      </c>
      <c r="I87" s="9" t="n">
        <f aca="false">IF(Raw_Volunteers!G87="",ROUND(AVERAGE(Raw_Volunteers!$G$2:$G$926),1),Raw_Volunteers!G87)</f>
        <v>2.9</v>
      </c>
    </row>
    <row r="88" customFormat="false" ht="15" hidden="false" customHeight="true" outlineLevel="0" collapsed="false">
      <c r="A88" s="9" t="str">
        <f aca="false">Raw_Volunteers!A88</f>
        <v>V2014</v>
      </c>
      <c r="B88" s="9" t="str">
        <f aca="false">IF(COUNTIFS(Raw_Volunteers!$A$2:$A$926,Raw_Volunteers!A88,Raw_Volunteers!$D$2:$D$926,Raw_Volunteers!D88,Raw_Volunteers!$E$2:$E$926,Raw_Volunteers!E88,Raw_Volunteers!$G$2:$G$926,Raw_Volunteers!G88)&gt;1,"Possible Duplicate","")</f>
        <v/>
      </c>
      <c r="C88" s="9" t="str">
        <f aca="false">Raw_Volunteers!B88</f>
        <v>D1351</v>
      </c>
      <c r="D88" s="9" t="str">
        <f aca="false">IF(C88="","No","Yes")</f>
        <v>Yes</v>
      </c>
      <c r="E88" s="9" t="str">
        <f aca="false">Raw_Volunteers!C88</f>
        <v>Donald Jones</v>
      </c>
      <c r="F88" s="9" t="str">
        <f aca="false">Raw_Volunteers!D88</f>
        <v>10/28/2024</v>
      </c>
      <c r="G88" s="9" t="str">
        <f aca="false">PROPER(TRIM(Raw_Volunteers!E88))</f>
        <v>Pantry Stocking</v>
      </c>
      <c r="H88" s="9" t="str">
        <f aca="false">Raw_Volunteers!F88</f>
        <v>Downtown Pantry</v>
      </c>
      <c r="I88" s="9" t="n">
        <f aca="false">IF(Raw_Volunteers!G88="",ROUND(AVERAGE(Raw_Volunteers!$G$2:$G$926),1),Raw_Volunteers!G88)</f>
        <v>2</v>
      </c>
    </row>
    <row r="89" customFormat="false" ht="15" hidden="false" customHeight="true" outlineLevel="0" collapsed="false">
      <c r="A89" s="9" t="str">
        <f aca="false">Raw_Volunteers!A89</f>
        <v>V2014</v>
      </c>
      <c r="B89" s="9" t="str">
        <f aca="false">IF(COUNTIFS(Raw_Volunteers!$A$2:$A$926,Raw_Volunteers!A89,Raw_Volunteers!$D$2:$D$926,Raw_Volunteers!D89,Raw_Volunteers!$E$2:$E$926,Raw_Volunteers!E89,Raw_Volunteers!$G$2:$G$926,Raw_Volunteers!G89)&gt;1,"Possible Duplicate","")</f>
        <v/>
      </c>
      <c r="C89" s="9" t="str">
        <f aca="false">Raw_Volunteers!B89</f>
        <v>D1351</v>
      </c>
      <c r="D89" s="9" t="str">
        <f aca="false">IF(C89="","No","Yes")</f>
        <v>Yes</v>
      </c>
      <c r="E89" s="9" t="str">
        <f aca="false">Raw_Volunteers!C89</f>
        <v>Donald Jones</v>
      </c>
      <c r="F89" s="9" t="str">
        <f aca="false">Raw_Volunteers!D89</f>
        <v>08/12/2025</v>
      </c>
      <c r="G89" s="9" t="str">
        <f aca="false">PROPER(TRIM(Raw_Volunteers!E89))</f>
        <v>Event Setup</v>
      </c>
      <c r="H89" s="9" t="str">
        <f aca="false">Raw_Volunteers!F89</f>
        <v>Main Warehouse</v>
      </c>
      <c r="I89" s="9" t="n">
        <f aca="false">IF(Raw_Volunteers!G89="",ROUND(AVERAGE(Raw_Volunteers!$G$2:$G$926),1),Raw_Volunteers!G89)</f>
        <v>3</v>
      </c>
    </row>
    <row r="90" customFormat="false" ht="15" hidden="false" customHeight="true" outlineLevel="0" collapsed="false">
      <c r="A90" s="9" t="str">
        <f aca="false">Raw_Volunteers!A90</f>
        <v>V2014</v>
      </c>
      <c r="B90" s="9" t="str">
        <f aca="false">IF(COUNTIFS(Raw_Volunteers!$A$2:$A$926,Raw_Volunteers!A90,Raw_Volunteers!$D$2:$D$926,Raw_Volunteers!D90,Raw_Volunteers!$E$2:$E$926,Raw_Volunteers!E90,Raw_Volunteers!$G$2:$G$926,Raw_Volunteers!G90)&gt;1,"Possible Duplicate","")</f>
        <v/>
      </c>
      <c r="C90" s="9" t="str">
        <f aca="false">Raw_Volunteers!B90</f>
        <v>D1351</v>
      </c>
      <c r="D90" s="9" t="str">
        <f aca="false">IF(C90="","No","Yes")</f>
        <v>Yes</v>
      </c>
      <c r="E90" s="9" t="str">
        <f aca="false">Raw_Volunteers!C90</f>
        <v>Donald Jones</v>
      </c>
      <c r="F90" s="9" t="str">
        <f aca="false">Raw_Volunteers!D90</f>
        <v>07/31/2025</v>
      </c>
      <c r="G90" s="9" t="str">
        <f aca="false">PROPER(TRIM(Raw_Volunteers!E90))</f>
        <v>Warehouse Loading</v>
      </c>
      <c r="H90" s="9" t="str">
        <f aca="false">Raw_Volunteers!F90</f>
        <v>Main Warehouse</v>
      </c>
      <c r="I90" s="9" t="n">
        <f aca="false">IF(Raw_Volunteers!G90="",ROUND(AVERAGE(Raw_Volunteers!$G$2:$G$926),1),Raw_Volunteers!G90)</f>
        <v>5</v>
      </c>
    </row>
    <row r="91" customFormat="false" ht="15" hidden="false" customHeight="true" outlineLevel="0" collapsed="false">
      <c r="A91" s="9" t="str">
        <f aca="false">Raw_Volunteers!A91</f>
        <v>V2014</v>
      </c>
      <c r="B91" s="9" t="str">
        <f aca="false">IF(COUNTIFS(Raw_Volunteers!$A$2:$A$926,Raw_Volunteers!A91,Raw_Volunteers!$D$2:$D$926,Raw_Volunteers!D91,Raw_Volunteers!$E$2:$E$926,Raw_Volunteers!E91,Raw_Volunteers!$G$2:$G$926,Raw_Volunteers!G91)&gt;1,"Possible Duplicate","")</f>
        <v/>
      </c>
      <c r="C91" s="9" t="str">
        <f aca="false">Raw_Volunteers!B91</f>
        <v>D1351</v>
      </c>
      <c r="D91" s="9" t="str">
        <f aca="false">IF(C91="","No","Yes")</f>
        <v>Yes</v>
      </c>
      <c r="E91" s="9" t="str">
        <f aca="false">Raw_Volunteers!C91</f>
        <v>Donald Jones</v>
      </c>
      <c r="F91" s="9" t="str">
        <f aca="false">Raw_Volunteers!D91</f>
        <v>12/12/2025</v>
      </c>
      <c r="G91" s="9" t="str">
        <f aca="false">PROPER(TRIM(Raw_Volunteers!E91))</f>
        <v>Client Intake Assistant</v>
      </c>
      <c r="H91" s="9" t="str">
        <f aca="false">Raw_Volunteers!F91</f>
        <v>Community Center Site</v>
      </c>
      <c r="I91" s="9" t="n">
        <f aca="false">IF(Raw_Volunteers!G91="",ROUND(AVERAGE(Raw_Volunteers!$G$2:$G$926),1),Raw_Volunteers!G91)</f>
        <v>2</v>
      </c>
    </row>
    <row r="92" customFormat="false" ht="15" hidden="false" customHeight="true" outlineLevel="0" collapsed="false">
      <c r="A92" s="9" t="str">
        <f aca="false">Raw_Volunteers!A92</f>
        <v>V2014</v>
      </c>
      <c r="B92" s="9" t="str">
        <f aca="false">IF(COUNTIFS(Raw_Volunteers!$A$2:$A$926,Raw_Volunteers!A92,Raw_Volunteers!$D$2:$D$926,Raw_Volunteers!D92,Raw_Volunteers!$E$2:$E$926,Raw_Volunteers!E92,Raw_Volunteers!$G$2:$G$926,Raw_Volunteers!G92)&gt;1,"Possible Duplicate","")</f>
        <v/>
      </c>
      <c r="C92" s="9" t="str">
        <f aca="false">Raw_Volunteers!B92</f>
        <v>D1351</v>
      </c>
      <c r="D92" s="9" t="str">
        <f aca="false">IF(C92="","No","Yes")</f>
        <v>Yes</v>
      </c>
      <c r="E92" s="9" t="str">
        <f aca="false">Raw_Volunteers!C92</f>
        <v>Donald Jones</v>
      </c>
      <c r="F92" s="9" t="str">
        <f aca="false">Raw_Volunteers!D92</f>
        <v>08/17/2024</v>
      </c>
      <c r="G92" s="9" t="str">
        <f aca="false">PROPER(TRIM(Raw_Volunteers!E92))</f>
        <v>Mobile Distribution Driver</v>
      </c>
      <c r="H92" s="9" t="str">
        <f aca="false">Raw_Volunteers!F92</f>
        <v>Downtown Pantry</v>
      </c>
      <c r="I92" s="9" t="n">
        <f aca="false">IF(Raw_Volunteers!G92="",ROUND(AVERAGE(Raw_Volunteers!$G$2:$G$926),1),Raw_Volunteers!G92)</f>
        <v>2</v>
      </c>
    </row>
    <row r="93" customFormat="false" ht="15" hidden="false" customHeight="true" outlineLevel="0" collapsed="false">
      <c r="A93" s="9" t="str">
        <f aca="false">Raw_Volunteers!A93</f>
        <v>V2014</v>
      </c>
      <c r="B93" s="9" t="str">
        <f aca="false">IF(COUNTIFS(Raw_Volunteers!$A$2:$A$926,Raw_Volunteers!A93,Raw_Volunteers!$D$2:$D$926,Raw_Volunteers!D93,Raw_Volunteers!$E$2:$E$926,Raw_Volunteers!E93,Raw_Volunteers!$G$2:$G$926,Raw_Volunteers!G93)&gt;1,"Possible Duplicate","")</f>
        <v/>
      </c>
      <c r="C93" s="9" t="str">
        <f aca="false">Raw_Volunteers!B93</f>
        <v>D1351</v>
      </c>
      <c r="D93" s="9" t="str">
        <f aca="false">IF(C93="","No","Yes")</f>
        <v>Yes</v>
      </c>
      <c r="E93" s="9" t="str">
        <f aca="false">Raw_Volunteers!C93</f>
        <v>Donald Jones</v>
      </c>
      <c r="F93" s="9" t="str">
        <f aca="false">Raw_Volunteers!D93</f>
        <v>04/29/2024</v>
      </c>
      <c r="G93" s="9" t="str">
        <f aca="false">PROPER(TRIM(Raw_Volunteers!E93))</f>
        <v>Warehouse Loading</v>
      </c>
      <c r="H93" s="9" t="str">
        <f aca="false">Raw_Volunteers!F93</f>
        <v>Mobile Unit - Route B</v>
      </c>
      <c r="I93" s="9" t="n">
        <f aca="false">IF(Raw_Volunteers!G93="",ROUND(AVERAGE(Raw_Volunteers!$G$2:$G$926),1),Raw_Volunteers!G93)</f>
        <v>4</v>
      </c>
    </row>
    <row r="94" customFormat="false" ht="15" hidden="false" customHeight="true" outlineLevel="0" collapsed="false">
      <c r="A94" s="9" t="str">
        <f aca="false">Raw_Volunteers!A94</f>
        <v>V2014</v>
      </c>
      <c r="B94" s="9" t="str">
        <f aca="false">IF(COUNTIFS(Raw_Volunteers!$A$2:$A$926,Raw_Volunteers!A94,Raw_Volunteers!$D$2:$D$926,Raw_Volunteers!D94,Raw_Volunteers!$E$2:$E$926,Raw_Volunteers!E94,Raw_Volunteers!$G$2:$G$926,Raw_Volunteers!G94)&gt;1,"Possible Duplicate","")</f>
        <v/>
      </c>
      <c r="C94" s="9" t="str">
        <f aca="false">Raw_Volunteers!B94</f>
        <v>D1351</v>
      </c>
      <c r="D94" s="9" t="str">
        <f aca="false">IF(C94="","No","Yes")</f>
        <v>Yes</v>
      </c>
      <c r="E94" s="9" t="str">
        <f aca="false">Raw_Volunteers!C94</f>
        <v>Donald Jones</v>
      </c>
      <c r="F94" s="9" t="str">
        <f aca="false">Raw_Volunteers!D94</f>
        <v>05/16/2024</v>
      </c>
      <c r="G94" s="9" t="str">
        <f aca="false">PROPER(TRIM(Raw_Volunteers!E94))</f>
        <v>Front Desk Greeter</v>
      </c>
      <c r="H94" s="9" t="str">
        <f aca="false">Raw_Volunteers!F94</f>
        <v>Main Warehouse</v>
      </c>
      <c r="I94" s="9" t="n">
        <f aca="false">IF(Raw_Volunteers!G94="",ROUND(AVERAGE(Raw_Volunteers!$G$2:$G$926),1),Raw_Volunteers!G94)</f>
        <v>3</v>
      </c>
    </row>
    <row r="95" customFormat="false" ht="15" hidden="false" customHeight="true" outlineLevel="0" collapsed="false">
      <c r="A95" s="9" t="str">
        <f aca="false">Raw_Volunteers!A95</f>
        <v>V2014</v>
      </c>
      <c r="B95" s="9" t="str">
        <f aca="false">IF(COUNTIFS(Raw_Volunteers!$A$2:$A$926,Raw_Volunteers!A95,Raw_Volunteers!$D$2:$D$926,Raw_Volunteers!D95,Raw_Volunteers!$E$2:$E$926,Raw_Volunteers!E95,Raw_Volunteers!$G$2:$G$926,Raw_Volunteers!G95)&gt;1,"Possible Duplicate","")</f>
        <v/>
      </c>
      <c r="C95" s="9" t="str">
        <f aca="false">Raw_Volunteers!B95</f>
        <v>D1351</v>
      </c>
      <c r="D95" s="9" t="str">
        <f aca="false">IF(C95="","No","Yes")</f>
        <v>Yes</v>
      </c>
      <c r="E95" s="9" t="str">
        <f aca="false">Raw_Volunteers!C95</f>
        <v>Donald Jones</v>
      </c>
      <c r="F95" s="9" t="str">
        <f aca="false">Raw_Volunteers!D95</f>
        <v>09/19/2025</v>
      </c>
      <c r="G95" s="9" t="str">
        <f aca="false">PROPER(TRIM(Raw_Volunteers!E95))</f>
        <v>Holiday Box Packing</v>
      </c>
      <c r="H95" s="9" t="str">
        <f aca="false">Raw_Volunteers!F95</f>
        <v>Main Warehouse</v>
      </c>
      <c r="I95" s="9" t="n">
        <f aca="false">IF(Raw_Volunteers!G95="",ROUND(AVERAGE(Raw_Volunteers!$G$2:$G$926),1),Raw_Volunteers!G95)</f>
        <v>2</v>
      </c>
    </row>
    <row r="96" customFormat="false" ht="15" hidden="false" customHeight="true" outlineLevel="0" collapsed="false">
      <c r="A96" s="9" t="str">
        <f aca="false">Raw_Volunteers!A96</f>
        <v>V2015</v>
      </c>
      <c r="B96" s="9" t="str">
        <f aca="false">IF(COUNTIFS(Raw_Volunteers!$A$2:$A$926,Raw_Volunteers!A96,Raw_Volunteers!$D$2:$D$926,Raw_Volunteers!D96,Raw_Volunteers!$E$2:$E$926,Raw_Volunteers!E96,Raw_Volunteers!$G$2:$G$926,Raw_Volunteers!G96)&gt;1,"Possible Duplicate","")</f>
        <v/>
      </c>
      <c r="C96" s="9" t="str">
        <f aca="false">Raw_Volunteers!B96</f>
        <v>D1237</v>
      </c>
      <c r="D96" s="9" t="str">
        <f aca="false">IF(C96="","No","Yes")</f>
        <v>Yes</v>
      </c>
      <c r="E96" s="9" t="str">
        <f aca="false">Raw_Volunteers!C96</f>
        <v>Linda Wilson</v>
      </c>
      <c r="F96" s="9" t="str">
        <f aca="false">Raw_Volunteers!D96</f>
        <v>01/03/2024</v>
      </c>
      <c r="G96" s="9" t="str">
        <f aca="false">PROPER(TRIM(Raw_Volunteers!E96))</f>
        <v>Holiday Box Packing</v>
      </c>
      <c r="H96" s="9" t="str">
        <f aca="false">Raw_Volunteers!F96</f>
        <v>Community Center Site</v>
      </c>
      <c r="I96" s="9" t="n">
        <f aca="false">IF(Raw_Volunteers!G96="",ROUND(AVERAGE(Raw_Volunteers!$G$2:$G$926),1),Raw_Volunteers!G96)</f>
        <v>3</v>
      </c>
    </row>
    <row r="97" customFormat="false" ht="15" hidden="false" customHeight="true" outlineLevel="0" collapsed="false">
      <c r="A97" s="9" t="str">
        <f aca="false">Raw_Volunteers!A97</f>
        <v>V2015</v>
      </c>
      <c r="B97" s="9" t="str">
        <f aca="false">IF(COUNTIFS(Raw_Volunteers!$A$2:$A$926,Raw_Volunteers!A97,Raw_Volunteers!$D$2:$D$926,Raw_Volunteers!D97,Raw_Volunteers!$E$2:$E$926,Raw_Volunteers!E97,Raw_Volunteers!$G$2:$G$926,Raw_Volunteers!G97)&gt;1,"Possible Duplicate","")</f>
        <v/>
      </c>
      <c r="C97" s="9" t="str">
        <f aca="false">Raw_Volunteers!B97</f>
        <v>D1237</v>
      </c>
      <c r="D97" s="9" t="str">
        <f aca="false">IF(C97="","No","Yes")</f>
        <v>Yes</v>
      </c>
      <c r="E97" s="9" t="str">
        <f aca="false">Raw_Volunteers!C97</f>
        <v>Linda Wilson</v>
      </c>
      <c r="F97" s="9" t="str">
        <f aca="false">Raw_Volunteers!D97</f>
        <v>08/17/2024</v>
      </c>
      <c r="G97" s="9" t="str">
        <f aca="false">PROPER(TRIM(Raw_Volunteers!E97))</f>
        <v>Warehouse Loading</v>
      </c>
      <c r="H97" s="9" t="str">
        <f aca="false">Raw_Volunteers!F97</f>
        <v>Main Warehouse</v>
      </c>
      <c r="I97" s="9" t="n">
        <f aca="false">IF(Raw_Volunteers!G97="",ROUND(AVERAGE(Raw_Volunteers!$G$2:$G$926),1),Raw_Volunteers!G97)</f>
        <v>2</v>
      </c>
    </row>
    <row r="98" customFormat="false" ht="15" hidden="false" customHeight="true" outlineLevel="0" collapsed="false">
      <c r="A98" s="9" t="str">
        <f aca="false">Raw_Volunteers!A98</f>
        <v>V2016</v>
      </c>
      <c r="B98" s="9" t="str">
        <f aca="false">IF(COUNTIFS(Raw_Volunteers!$A$2:$A$926,Raw_Volunteers!A98,Raw_Volunteers!$D$2:$D$926,Raw_Volunteers!D98,Raw_Volunteers!$E$2:$E$926,Raw_Volunteers!E98,Raw_Volunteers!$G$2:$G$926,Raw_Volunteers!G98)&gt;1,"Possible Duplicate","")</f>
        <v/>
      </c>
      <c r="C98" s="9" t="str">
        <f aca="false">Raw_Volunteers!B98</f>
        <v>D1232</v>
      </c>
      <c r="D98" s="9" t="str">
        <f aca="false">IF(C98="","No","Yes")</f>
        <v>Yes</v>
      </c>
      <c r="E98" s="9" t="str">
        <f aca="false">Raw_Volunteers!C98</f>
        <v>Emily Clark</v>
      </c>
      <c r="F98" s="9" t="str">
        <f aca="false">Raw_Volunteers!D98</f>
        <v>10/06/2025</v>
      </c>
      <c r="G98" s="9" t="str">
        <f aca="false">PROPER(TRIM(Raw_Volunteers!E98))</f>
        <v>Warehouse Loading</v>
      </c>
      <c r="H98" s="9" t="str">
        <f aca="false">Raw_Volunteers!F98</f>
        <v>Mobile Unit - Route B</v>
      </c>
      <c r="I98" s="9" t="n">
        <f aca="false">IF(Raw_Volunteers!G98="",ROUND(AVERAGE(Raw_Volunteers!$G$2:$G$926),1),Raw_Volunteers!G98)</f>
        <v>3</v>
      </c>
    </row>
    <row r="99" customFormat="false" ht="15" hidden="false" customHeight="true" outlineLevel="0" collapsed="false">
      <c r="A99" s="9" t="str">
        <f aca="false">Raw_Volunteers!A99</f>
        <v>V2016</v>
      </c>
      <c r="B99" s="9" t="str">
        <f aca="false">IF(COUNTIFS(Raw_Volunteers!$A$2:$A$926,Raw_Volunteers!A99,Raw_Volunteers!$D$2:$D$926,Raw_Volunteers!D99,Raw_Volunteers!$E$2:$E$926,Raw_Volunteers!E99,Raw_Volunteers!$G$2:$G$926,Raw_Volunteers!G99)&gt;1,"Possible Duplicate","")</f>
        <v/>
      </c>
      <c r="C99" s="9" t="str">
        <f aca="false">Raw_Volunteers!B99</f>
        <v>D1232</v>
      </c>
      <c r="D99" s="9" t="str">
        <f aca="false">IF(C99="","No","Yes")</f>
        <v>Yes</v>
      </c>
      <c r="E99" s="9" t="str">
        <f aca="false">Raw_Volunteers!C99</f>
        <v>Emily Clark</v>
      </c>
      <c r="F99" s="9" t="str">
        <f aca="false">Raw_Volunteers!D99</f>
        <v>04/03/2025</v>
      </c>
      <c r="G99" s="9" t="str">
        <f aca="false">PROPER(TRIM(Raw_Volunteers!E99))</f>
        <v>Front Desk Greeter</v>
      </c>
      <c r="H99" s="9" t="str">
        <f aca="false">Raw_Volunteers!F99</f>
        <v>Main Warehouse</v>
      </c>
      <c r="I99" s="9" t="n">
        <f aca="false">IF(Raw_Volunteers!G99="",ROUND(AVERAGE(Raw_Volunteers!$G$2:$G$926),1),Raw_Volunteers!G99)</f>
        <v>2</v>
      </c>
    </row>
    <row r="100" customFormat="false" ht="15" hidden="false" customHeight="true" outlineLevel="0" collapsed="false">
      <c r="A100" s="9" t="str">
        <f aca="false">Raw_Volunteers!A100</f>
        <v>V2016</v>
      </c>
      <c r="B100" s="9" t="str">
        <f aca="false">IF(COUNTIFS(Raw_Volunteers!$A$2:$A$926,Raw_Volunteers!A100,Raw_Volunteers!$D$2:$D$926,Raw_Volunteers!D100,Raw_Volunteers!$E$2:$E$926,Raw_Volunteers!E100,Raw_Volunteers!$G$2:$G$926,Raw_Volunteers!G100)&gt;1,"Possible Duplicate","")</f>
        <v/>
      </c>
      <c r="C100" s="9" t="str">
        <f aca="false">Raw_Volunteers!B100</f>
        <v>D1232</v>
      </c>
      <c r="D100" s="9" t="str">
        <f aca="false">IF(C100="","No","Yes")</f>
        <v>Yes</v>
      </c>
      <c r="E100" s="9" t="str">
        <f aca="false">Raw_Volunteers!C100</f>
        <v>Emily Clark</v>
      </c>
      <c r="F100" s="9" t="str">
        <f aca="false">Raw_Volunteers!D100</f>
        <v>05/27/2026</v>
      </c>
      <c r="G100" s="9" t="str">
        <f aca="false">PROPER(TRIM(Raw_Volunteers!E100))</f>
        <v>Front Desk Greeter</v>
      </c>
      <c r="H100" s="9" t="str">
        <f aca="false">Raw_Volunteers!F100</f>
        <v>Main Warehouse</v>
      </c>
      <c r="I100" s="9" t="n">
        <f aca="false">IF(Raw_Volunteers!G100="",ROUND(AVERAGE(Raw_Volunteers!$G$2:$G$926),1),Raw_Volunteers!G100)</f>
        <v>2</v>
      </c>
    </row>
    <row r="101" customFormat="false" ht="15" hidden="false" customHeight="true" outlineLevel="0" collapsed="false">
      <c r="A101" s="9" t="str">
        <f aca="false">Raw_Volunteers!A101</f>
        <v>V2016</v>
      </c>
      <c r="B101" s="9" t="str">
        <f aca="false">IF(COUNTIFS(Raw_Volunteers!$A$2:$A$926,Raw_Volunteers!A101,Raw_Volunteers!$D$2:$D$926,Raw_Volunteers!D101,Raw_Volunteers!$E$2:$E$926,Raw_Volunteers!E101,Raw_Volunteers!$G$2:$G$926,Raw_Volunteers!G101)&gt;1,"Possible Duplicate","")</f>
        <v/>
      </c>
      <c r="C101" s="9" t="str">
        <f aca="false">Raw_Volunteers!B101</f>
        <v>D1232</v>
      </c>
      <c r="D101" s="9" t="str">
        <f aca="false">IF(C101="","No","Yes")</f>
        <v>Yes</v>
      </c>
      <c r="E101" s="9" t="str">
        <f aca="false">Raw_Volunteers!C101</f>
        <v>Emily Clark</v>
      </c>
      <c r="F101" s="9" t="str">
        <f aca="false">Raw_Volunteers!D101</f>
        <v>04/22/2026</v>
      </c>
      <c r="G101" s="9" t="str">
        <f aca="false">PROPER(TRIM(Raw_Volunteers!E101))</f>
        <v>Holiday Box Packing</v>
      </c>
      <c r="H101" s="9" t="str">
        <f aca="false">Raw_Volunteers!F101</f>
        <v>Mobile Unit - Route A</v>
      </c>
      <c r="I101" s="9" t="n">
        <f aca="false">IF(Raw_Volunteers!G101="",ROUND(AVERAGE(Raw_Volunteers!$G$2:$G$926),1),Raw_Volunteers!G101)</f>
        <v>3</v>
      </c>
    </row>
    <row r="102" customFormat="false" ht="15" hidden="false" customHeight="true" outlineLevel="0" collapsed="false">
      <c r="A102" s="9" t="str">
        <f aca="false">Raw_Volunteers!A102</f>
        <v>V2016</v>
      </c>
      <c r="B102" s="9" t="str">
        <f aca="false">IF(COUNTIFS(Raw_Volunteers!$A$2:$A$926,Raw_Volunteers!A102,Raw_Volunteers!$D$2:$D$926,Raw_Volunteers!D102,Raw_Volunteers!$E$2:$E$926,Raw_Volunteers!E102,Raw_Volunteers!$G$2:$G$926,Raw_Volunteers!G102)&gt;1,"Possible Duplicate","")</f>
        <v/>
      </c>
      <c r="C102" s="9" t="str">
        <f aca="false">Raw_Volunteers!B102</f>
        <v>D1232</v>
      </c>
      <c r="D102" s="9" t="str">
        <f aca="false">IF(C102="","No","Yes")</f>
        <v>Yes</v>
      </c>
      <c r="E102" s="9" t="str">
        <f aca="false">Raw_Volunteers!C102</f>
        <v>Emily Clark</v>
      </c>
      <c r="F102" s="9" t="str">
        <f aca="false">Raw_Volunteers!D102</f>
        <v>04/24/2026</v>
      </c>
      <c r="G102" s="9" t="str">
        <f aca="false">PROPER(TRIM(Raw_Volunteers!E102))</f>
        <v>Client Intake Assistant</v>
      </c>
      <c r="H102" s="9" t="str">
        <f aca="false">Raw_Volunteers!F102</f>
        <v>Main Warehouse</v>
      </c>
      <c r="I102" s="9" t="n">
        <f aca="false">IF(Raw_Volunteers!G102="",ROUND(AVERAGE(Raw_Volunteers!$G$2:$G$926),1),Raw_Volunteers!G102)</f>
        <v>2</v>
      </c>
    </row>
    <row r="103" customFormat="false" ht="15" hidden="false" customHeight="true" outlineLevel="0" collapsed="false">
      <c r="A103" s="9" t="str">
        <f aca="false">Raw_Volunteers!A103</f>
        <v>V2016</v>
      </c>
      <c r="B103" s="9" t="str">
        <f aca="false">IF(COUNTIFS(Raw_Volunteers!$A$2:$A$926,Raw_Volunteers!A103,Raw_Volunteers!$D$2:$D$926,Raw_Volunteers!D103,Raw_Volunteers!$E$2:$E$926,Raw_Volunteers!E103,Raw_Volunteers!$G$2:$G$926,Raw_Volunteers!G103)&gt;1,"Possible Duplicate","")</f>
        <v/>
      </c>
      <c r="C103" s="9" t="str">
        <f aca="false">Raw_Volunteers!B103</f>
        <v>D1232</v>
      </c>
      <c r="D103" s="9" t="str">
        <f aca="false">IF(C103="","No","Yes")</f>
        <v>Yes</v>
      </c>
      <c r="E103" s="9" t="str">
        <f aca="false">Raw_Volunteers!C103</f>
        <v>Emily Clark</v>
      </c>
      <c r="F103" s="9" t="str">
        <f aca="false">Raw_Volunteers!D103</f>
        <v>04/21/2025</v>
      </c>
      <c r="G103" s="9" t="str">
        <f aca="false">PROPER(TRIM(Raw_Volunteers!E103))</f>
        <v>Warehouse Loading</v>
      </c>
      <c r="H103" s="9" t="str">
        <f aca="false">Raw_Volunteers!F103</f>
        <v>Mobile Unit - Route B</v>
      </c>
      <c r="I103" s="9" t="n">
        <f aca="false">IF(Raw_Volunteers!G103="",ROUND(AVERAGE(Raw_Volunteers!$G$2:$G$926),1),Raw_Volunteers!G103)</f>
        <v>2</v>
      </c>
    </row>
    <row r="104" customFormat="false" ht="15" hidden="false" customHeight="true" outlineLevel="0" collapsed="false">
      <c r="A104" s="9" t="str">
        <f aca="false">Raw_Volunteers!A104</f>
        <v>V2016</v>
      </c>
      <c r="B104" s="9" t="str">
        <f aca="false">IF(COUNTIFS(Raw_Volunteers!$A$2:$A$926,Raw_Volunteers!A104,Raw_Volunteers!$D$2:$D$926,Raw_Volunteers!D104,Raw_Volunteers!$E$2:$E$926,Raw_Volunteers!E104,Raw_Volunteers!$G$2:$G$926,Raw_Volunteers!G104)&gt;1,"Possible Duplicate","")</f>
        <v/>
      </c>
      <c r="C104" s="9" t="str">
        <f aca="false">Raw_Volunteers!B104</f>
        <v>D1232</v>
      </c>
      <c r="D104" s="9" t="str">
        <f aca="false">IF(C104="","No","Yes")</f>
        <v>Yes</v>
      </c>
      <c r="E104" s="9" t="str">
        <f aca="false">Raw_Volunteers!C104</f>
        <v>Emily Clark</v>
      </c>
      <c r="F104" s="9" t="str">
        <f aca="false">Raw_Volunteers!D104</f>
        <v>01/15/2026</v>
      </c>
      <c r="G104" s="9" t="str">
        <f aca="false">PROPER(TRIM(Raw_Volunteers!E104))</f>
        <v>Front Desk Greeter</v>
      </c>
      <c r="H104" s="9" t="str">
        <f aca="false">Raw_Volunteers!F104</f>
        <v>Main Warehouse</v>
      </c>
      <c r="I104" s="9" t="n">
        <f aca="false">IF(Raw_Volunteers!G104="",ROUND(AVERAGE(Raw_Volunteers!$G$2:$G$926),1),Raw_Volunteers!G104)</f>
        <v>3</v>
      </c>
    </row>
    <row r="105" customFormat="false" ht="15" hidden="false" customHeight="true" outlineLevel="0" collapsed="false">
      <c r="A105" s="9" t="str">
        <f aca="false">Raw_Volunteers!A105</f>
        <v>V2016</v>
      </c>
      <c r="B105" s="9" t="str">
        <f aca="false">IF(COUNTIFS(Raw_Volunteers!$A$2:$A$926,Raw_Volunteers!A105,Raw_Volunteers!$D$2:$D$926,Raw_Volunteers!D105,Raw_Volunteers!$E$2:$E$926,Raw_Volunteers!E105,Raw_Volunteers!$G$2:$G$926,Raw_Volunteers!G105)&gt;1,"Possible Duplicate","")</f>
        <v/>
      </c>
      <c r="C105" s="9" t="str">
        <f aca="false">Raw_Volunteers!B105</f>
        <v>D1232</v>
      </c>
      <c r="D105" s="9" t="str">
        <f aca="false">IF(C105="","No","Yes")</f>
        <v>Yes</v>
      </c>
      <c r="E105" s="9" t="str">
        <f aca="false">Raw_Volunteers!C105</f>
        <v>Emily Clark</v>
      </c>
      <c r="F105" s="9" t="str">
        <f aca="false">Raw_Volunteers!D105</f>
        <v>06/18/2024</v>
      </c>
      <c r="G105" s="9" t="str">
        <f aca="false">PROPER(TRIM(Raw_Volunteers!E105))</f>
        <v>Client Intake Assistant</v>
      </c>
      <c r="H105" s="9" t="str">
        <f aca="false">Raw_Volunteers!F105</f>
        <v>Mobile Unit - Route A</v>
      </c>
      <c r="I105" s="9" t="n">
        <f aca="false">IF(Raw_Volunteers!G105="",ROUND(AVERAGE(Raw_Volunteers!$G$2:$G$926),1),Raw_Volunteers!G105)</f>
        <v>6</v>
      </c>
    </row>
    <row r="106" customFormat="false" ht="15" hidden="false" customHeight="true" outlineLevel="0" collapsed="false">
      <c r="A106" s="9" t="str">
        <f aca="false">Raw_Volunteers!A106</f>
        <v>V2016</v>
      </c>
      <c r="B106" s="9" t="str">
        <f aca="false">IF(COUNTIFS(Raw_Volunteers!$A$2:$A$926,Raw_Volunteers!A106,Raw_Volunteers!$D$2:$D$926,Raw_Volunteers!D106,Raw_Volunteers!$E$2:$E$926,Raw_Volunteers!E106,Raw_Volunteers!$G$2:$G$926,Raw_Volunteers!G106)&gt;1,"Possible Duplicate","")</f>
        <v/>
      </c>
      <c r="C106" s="9" t="str">
        <f aca="false">Raw_Volunteers!B106</f>
        <v>D1232</v>
      </c>
      <c r="D106" s="9" t="str">
        <f aca="false">IF(C106="","No","Yes")</f>
        <v>Yes</v>
      </c>
      <c r="E106" s="9" t="str">
        <f aca="false">Raw_Volunteers!C106</f>
        <v>Emily Clark</v>
      </c>
      <c r="F106" s="9" t="str">
        <f aca="false">Raw_Volunteers!D106</f>
        <v>03/14/2025</v>
      </c>
      <c r="G106" s="9" t="str">
        <f aca="false">PROPER(TRIM(Raw_Volunteers!E106))</f>
        <v>Client Intake Assistant</v>
      </c>
      <c r="H106" s="9" t="str">
        <f aca="false">Raw_Volunteers!F106</f>
        <v>Mobile Unit - Route B</v>
      </c>
      <c r="I106" s="9" t="n">
        <f aca="false">IF(Raw_Volunteers!G106="",ROUND(AVERAGE(Raw_Volunteers!$G$2:$G$926),1),Raw_Volunteers!G106)</f>
        <v>3</v>
      </c>
    </row>
    <row r="107" customFormat="false" ht="15" hidden="false" customHeight="true" outlineLevel="0" collapsed="false">
      <c r="A107" s="9" t="str">
        <f aca="false">Raw_Volunteers!A107</f>
        <v>V2016</v>
      </c>
      <c r="B107" s="9" t="str">
        <f aca="false">IF(COUNTIFS(Raw_Volunteers!$A$2:$A$926,Raw_Volunteers!A107,Raw_Volunteers!$D$2:$D$926,Raw_Volunteers!D107,Raw_Volunteers!$E$2:$E$926,Raw_Volunteers!E107,Raw_Volunteers!$G$2:$G$926,Raw_Volunteers!G107)&gt;1,"Possible Duplicate","")</f>
        <v/>
      </c>
      <c r="C107" s="9" t="str">
        <f aca="false">Raw_Volunteers!B107</f>
        <v>D1232</v>
      </c>
      <c r="D107" s="9" t="str">
        <f aca="false">IF(C107="","No","Yes")</f>
        <v>Yes</v>
      </c>
      <c r="E107" s="9" t="str">
        <f aca="false">Raw_Volunteers!C107</f>
        <v>Emily Clark</v>
      </c>
      <c r="F107" s="9" t="str">
        <f aca="false">Raw_Volunteers!D107</f>
        <v>09/17/2024</v>
      </c>
      <c r="G107" s="9" t="str">
        <f aca="false">PROPER(TRIM(Raw_Volunteers!E107))</f>
        <v>Front Desk Greeter</v>
      </c>
      <c r="H107" s="9" t="str">
        <f aca="false">Raw_Volunteers!F107</f>
        <v>Main Warehouse</v>
      </c>
      <c r="I107" s="9" t="n">
        <f aca="false">IF(Raw_Volunteers!G107="",ROUND(AVERAGE(Raw_Volunteers!$G$2:$G$926),1),Raw_Volunteers!G107)</f>
        <v>3</v>
      </c>
    </row>
    <row r="108" customFormat="false" ht="15" hidden="false" customHeight="true" outlineLevel="0" collapsed="false">
      <c r="A108" s="9" t="str">
        <f aca="false">Raw_Volunteers!A108</f>
        <v>V2017</v>
      </c>
      <c r="B108" s="9" t="str">
        <f aca="false">IF(COUNTIFS(Raw_Volunteers!$A$2:$A$926,Raw_Volunteers!A108,Raw_Volunteers!$D$2:$D$926,Raw_Volunteers!D108,Raw_Volunteers!$E$2:$E$926,Raw_Volunteers!E108,Raw_Volunteers!$G$2:$G$926,Raw_Volunteers!G108)&gt;1,"Possible Duplicate","")</f>
        <v/>
      </c>
      <c r="C108" s="9" t="str">
        <f aca="false">Raw_Volunteers!B108</f>
        <v>D1392</v>
      </c>
      <c r="D108" s="9" t="str">
        <f aca="false">IF(C108="","No","Yes")</f>
        <v>Yes</v>
      </c>
      <c r="E108" s="9" t="str">
        <f aca="false">Raw_Volunteers!C108</f>
        <v>Robert Wilson</v>
      </c>
      <c r="F108" s="9" t="str">
        <f aca="false">Raw_Volunteers!D108</f>
        <v>05/19/2024</v>
      </c>
      <c r="G108" s="9" t="str">
        <f aca="false">PROPER(TRIM(Raw_Volunteers!E108))</f>
        <v>Food Sorting</v>
      </c>
      <c r="H108" s="9" t="str">
        <f aca="false">Raw_Volunteers!F108</f>
        <v>Mobile Unit - Route A</v>
      </c>
      <c r="I108" s="9" t="n">
        <f aca="false">IF(Raw_Volunteers!G108="",ROUND(AVERAGE(Raw_Volunteers!$G$2:$G$926),1),Raw_Volunteers!G108)</f>
        <v>6</v>
      </c>
    </row>
    <row r="109" customFormat="false" ht="15" hidden="false" customHeight="true" outlineLevel="0" collapsed="false">
      <c r="A109" s="9" t="str">
        <f aca="false">Raw_Volunteers!A109</f>
        <v>V2017</v>
      </c>
      <c r="B109" s="9" t="str">
        <f aca="false">IF(COUNTIFS(Raw_Volunteers!$A$2:$A$926,Raw_Volunteers!A109,Raw_Volunteers!$D$2:$D$926,Raw_Volunteers!D109,Raw_Volunteers!$E$2:$E$926,Raw_Volunteers!E109,Raw_Volunteers!$G$2:$G$926,Raw_Volunteers!G109)&gt;1,"Possible Duplicate","")</f>
        <v/>
      </c>
      <c r="C109" s="9" t="str">
        <f aca="false">Raw_Volunteers!B109</f>
        <v>D1392</v>
      </c>
      <c r="D109" s="9" t="str">
        <f aca="false">IF(C109="","No","Yes")</f>
        <v>Yes</v>
      </c>
      <c r="E109" s="9" t="str">
        <f aca="false">Raw_Volunteers!C109</f>
        <v>Robert Wilson</v>
      </c>
      <c r="F109" s="9" t="str">
        <f aca="false">Raw_Volunteers!D109</f>
        <v>05/31/2026</v>
      </c>
      <c r="G109" s="9" t="str">
        <f aca="false">PROPER(TRIM(Raw_Volunteers!E109))</f>
        <v>Pantry Stocking</v>
      </c>
      <c r="H109" s="9" t="str">
        <f aca="false">Raw_Volunteers!F109</f>
        <v>Mobile Unit - Route B</v>
      </c>
      <c r="I109" s="9" t="n">
        <f aca="false">IF(Raw_Volunteers!G109="",ROUND(AVERAGE(Raw_Volunteers!$G$2:$G$926),1),Raw_Volunteers!G109)</f>
        <v>2</v>
      </c>
    </row>
    <row r="110" customFormat="false" ht="15" hidden="false" customHeight="true" outlineLevel="0" collapsed="false">
      <c r="A110" s="9" t="str">
        <f aca="false">Raw_Volunteers!A110</f>
        <v>V2017</v>
      </c>
      <c r="B110" s="9" t="str">
        <f aca="false">IF(COUNTIFS(Raw_Volunteers!$A$2:$A$926,Raw_Volunteers!A110,Raw_Volunteers!$D$2:$D$926,Raw_Volunteers!D110,Raw_Volunteers!$E$2:$E$926,Raw_Volunteers!E110,Raw_Volunteers!$G$2:$G$926,Raw_Volunteers!G110)&gt;1,"Possible Duplicate","")</f>
        <v/>
      </c>
      <c r="C110" s="9" t="str">
        <f aca="false">Raw_Volunteers!B110</f>
        <v>D1392</v>
      </c>
      <c r="D110" s="9" t="str">
        <f aca="false">IF(C110="","No","Yes")</f>
        <v>Yes</v>
      </c>
      <c r="E110" s="9" t="str">
        <f aca="false">Raw_Volunteers!C110</f>
        <v>Robert Wilson</v>
      </c>
      <c r="F110" s="9" t="str">
        <f aca="false">Raw_Volunteers!D110</f>
        <v>02/01/2024</v>
      </c>
      <c r="G110" s="9" t="str">
        <f aca="false">PROPER(TRIM(Raw_Volunteers!E110))</f>
        <v>Client Intake Assistant</v>
      </c>
      <c r="H110" s="9" t="str">
        <f aca="false">Raw_Volunteers!F110</f>
        <v>Downtown Pantry</v>
      </c>
      <c r="I110" s="9" t="n">
        <f aca="false">IF(Raw_Volunteers!G110="",ROUND(AVERAGE(Raw_Volunteers!$G$2:$G$926),1),Raw_Volunteers!G110)</f>
        <v>6</v>
      </c>
    </row>
    <row r="111" customFormat="false" ht="15" hidden="false" customHeight="true" outlineLevel="0" collapsed="false">
      <c r="A111" s="9" t="str">
        <f aca="false">Raw_Volunteers!A111</f>
        <v>V2017</v>
      </c>
      <c r="B111" s="9" t="str">
        <f aca="false">IF(COUNTIFS(Raw_Volunteers!$A$2:$A$926,Raw_Volunteers!A111,Raw_Volunteers!$D$2:$D$926,Raw_Volunteers!D111,Raw_Volunteers!$E$2:$E$926,Raw_Volunteers!E111,Raw_Volunteers!$G$2:$G$926,Raw_Volunteers!G111)&gt;1,"Possible Duplicate","")</f>
        <v/>
      </c>
      <c r="C111" s="9" t="str">
        <f aca="false">Raw_Volunteers!B111</f>
        <v>D1392</v>
      </c>
      <c r="D111" s="9" t="str">
        <f aca="false">IF(C111="","No","Yes")</f>
        <v>Yes</v>
      </c>
      <c r="E111" s="9" t="str">
        <f aca="false">Raw_Volunteers!C111</f>
        <v>Robert Wilson</v>
      </c>
      <c r="F111" s="9" t="str">
        <f aca="false">Raw_Volunteers!D111</f>
        <v>04/26/2026</v>
      </c>
      <c r="G111" s="9" t="str">
        <f aca="false">PROPER(TRIM(Raw_Volunteers!E111))</f>
        <v>Mobile Distribution Driver</v>
      </c>
      <c r="H111" s="9" t="str">
        <f aca="false">Raw_Volunteers!F111</f>
        <v>Downtown Pantry</v>
      </c>
      <c r="I111" s="9" t="n">
        <f aca="false">IF(Raw_Volunteers!G111="",ROUND(AVERAGE(Raw_Volunteers!$G$2:$G$926),1),Raw_Volunteers!G111)</f>
        <v>2</v>
      </c>
    </row>
    <row r="112" customFormat="false" ht="15" hidden="false" customHeight="true" outlineLevel="0" collapsed="false">
      <c r="A112" s="9" t="str">
        <f aca="false">Raw_Volunteers!A112</f>
        <v>V2017</v>
      </c>
      <c r="B112" s="9" t="str">
        <f aca="false">IF(COUNTIFS(Raw_Volunteers!$A$2:$A$926,Raw_Volunteers!A112,Raw_Volunteers!$D$2:$D$926,Raw_Volunteers!D112,Raw_Volunteers!$E$2:$E$926,Raw_Volunteers!E112,Raw_Volunteers!$G$2:$G$926,Raw_Volunteers!G112)&gt;1,"Possible Duplicate","")</f>
        <v/>
      </c>
      <c r="C112" s="9" t="str">
        <f aca="false">Raw_Volunteers!B112</f>
        <v>D1392</v>
      </c>
      <c r="D112" s="9" t="str">
        <f aca="false">IF(C112="","No","Yes")</f>
        <v>Yes</v>
      </c>
      <c r="E112" s="9" t="str">
        <f aca="false">Raw_Volunteers!C112</f>
        <v>Robert Wilson</v>
      </c>
      <c r="F112" s="9" t="str">
        <f aca="false">Raw_Volunteers!D112</f>
        <v>05/20/2025</v>
      </c>
      <c r="G112" s="9" t="str">
        <f aca="false">PROPER(TRIM(Raw_Volunteers!E112))</f>
        <v>Pantry Stocking</v>
      </c>
      <c r="H112" s="9" t="str">
        <f aca="false">Raw_Volunteers!F112</f>
        <v>Downtown Pantry</v>
      </c>
      <c r="I112" s="9" t="n">
        <f aca="false">IF(Raw_Volunteers!G112="",ROUND(AVERAGE(Raw_Volunteers!$G$2:$G$926),1),Raw_Volunteers!G112)</f>
        <v>4</v>
      </c>
    </row>
    <row r="113" customFormat="false" ht="15" hidden="false" customHeight="true" outlineLevel="0" collapsed="false">
      <c r="A113" s="9" t="str">
        <f aca="false">Raw_Volunteers!A113</f>
        <v>V2017</v>
      </c>
      <c r="B113" s="9" t="str">
        <f aca="false">IF(COUNTIFS(Raw_Volunteers!$A$2:$A$926,Raw_Volunteers!A113,Raw_Volunteers!$D$2:$D$926,Raw_Volunteers!D113,Raw_Volunteers!$E$2:$E$926,Raw_Volunteers!E113,Raw_Volunteers!$G$2:$G$926,Raw_Volunteers!G113)&gt;1,"Possible Duplicate","")</f>
        <v/>
      </c>
      <c r="C113" s="9" t="str">
        <f aca="false">Raw_Volunteers!B113</f>
        <v>D1392</v>
      </c>
      <c r="D113" s="9" t="str">
        <f aca="false">IF(C113="","No","Yes")</f>
        <v>Yes</v>
      </c>
      <c r="E113" s="9" t="str">
        <f aca="false">Raw_Volunteers!C113</f>
        <v>Robert Wilson</v>
      </c>
      <c r="F113" s="9" t="str">
        <f aca="false">Raw_Volunteers!D113</f>
        <v>03/22/2024</v>
      </c>
      <c r="G113" s="9" t="str">
        <f aca="false">PROPER(TRIM(Raw_Volunteers!E113))</f>
        <v>Warehouse Loading</v>
      </c>
      <c r="H113" s="9" t="str">
        <f aca="false">Raw_Volunteers!F113</f>
        <v>Mobile Unit - Route B</v>
      </c>
      <c r="I113" s="9" t="n">
        <f aca="false">IF(Raw_Volunteers!G113="",ROUND(AVERAGE(Raw_Volunteers!$G$2:$G$926),1),Raw_Volunteers!G113)</f>
        <v>3</v>
      </c>
    </row>
    <row r="114" customFormat="false" ht="15" hidden="false" customHeight="true" outlineLevel="0" collapsed="false">
      <c r="A114" s="9" t="str">
        <f aca="false">Raw_Volunteers!A114</f>
        <v>V2017</v>
      </c>
      <c r="B114" s="9" t="str">
        <f aca="false">IF(COUNTIFS(Raw_Volunteers!$A$2:$A$926,Raw_Volunteers!A114,Raw_Volunteers!$D$2:$D$926,Raw_Volunteers!D114,Raw_Volunteers!$E$2:$E$926,Raw_Volunteers!E114,Raw_Volunteers!$G$2:$G$926,Raw_Volunteers!G114)&gt;1,"Possible Duplicate","")</f>
        <v/>
      </c>
      <c r="C114" s="9" t="str">
        <f aca="false">Raw_Volunteers!B114</f>
        <v>D1392</v>
      </c>
      <c r="D114" s="9" t="str">
        <f aca="false">IF(C114="","No","Yes")</f>
        <v>Yes</v>
      </c>
      <c r="E114" s="9" t="str">
        <f aca="false">Raw_Volunteers!C114</f>
        <v>Robert Wilson</v>
      </c>
      <c r="F114" s="9" t="str">
        <f aca="false">Raw_Volunteers!D114</f>
        <v>02/20/2024</v>
      </c>
      <c r="G114" s="9" t="str">
        <f aca="false">PROPER(TRIM(Raw_Volunteers!E114))</f>
        <v>Event Setup</v>
      </c>
      <c r="H114" s="9" t="str">
        <f aca="false">Raw_Volunteers!F114</f>
        <v>Main Warehouse</v>
      </c>
      <c r="I114" s="9" t="n">
        <f aca="false">IF(Raw_Volunteers!G114="",ROUND(AVERAGE(Raw_Volunteers!$G$2:$G$926),1),Raw_Volunteers!G114)</f>
        <v>2</v>
      </c>
    </row>
    <row r="115" customFormat="false" ht="15" hidden="false" customHeight="true" outlineLevel="0" collapsed="false">
      <c r="A115" s="9" t="str">
        <f aca="false">Raw_Volunteers!A115</f>
        <v>V2017</v>
      </c>
      <c r="B115" s="9" t="str">
        <f aca="false">IF(COUNTIFS(Raw_Volunteers!$A$2:$A$926,Raw_Volunteers!A115,Raw_Volunteers!$D$2:$D$926,Raw_Volunteers!D115,Raw_Volunteers!$E$2:$E$926,Raw_Volunteers!E115,Raw_Volunteers!$G$2:$G$926,Raw_Volunteers!G115)&gt;1,"Possible Duplicate","")</f>
        <v/>
      </c>
      <c r="C115" s="9" t="str">
        <f aca="false">Raw_Volunteers!B115</f>
        <v>D1392</v>
      </c>
      <c r="D115" s="9" t="str">
        <f aca="false">IF(C115="","No","Yes")</f>
        <v>Yes</v>
      </c>
      <c r="E115" s="9" t="str">
        <f aca="false">Raw_Volunteers!C115</f>
        <v>Robert Wilson</v>
      </c>
      <c r="F115" s="9" t="str">
        <f aca="false">Raw_Volunteers!D115</f>
        <v>02/04/2025</v>
      </c>
      <c r="G115" s="9" t="str">
        <f aca="false">PROPER(TRIM(Raw_Volunteers!E115))</f>
        <v>Food Sorting</v>
      </c>
      <c r="H115" s="9" t="str">
        <f aca="false">Raw_Volunteers!F115</f>
        <v>Downtown Pantry</v>
      </c>
      <c r="I115" s="9" t="n">
        <f aca="false">IF(Raw_Volunteers!G115="",ROUND(AVERAGE(Raw_Volunteers!$G$2:$G$926),1),Raw_Volunteers!G115)</f>
        <v>5</v>
      </c>
    </row>
    <row r="116" customFormat="false" ht="15" hidden="false" customHeight="true" outlineLevel="0" collapsed="false">
      <c r="A116" s="9" t="str">
        <f aca="false">Raw_Volunteers!A116</f>
        <v>V2017</v>
      </c>
      <c r="B116" s="9" t="str">
        <f aca="false">IF(COUNTIFS(Raw_Volunteers!$A$2:$A$926,Raw_Volunteers!A116,Raw_Volunteers!$D$2:$D$926,Raw_Volunteers!D116,Raw_Volunteers!$E$2:$E$926,Raw_Volunteers!E116,Raw_Volunteers!$G$2:$G$926,Raw_Volunteers!G116)&gt;1,"Possible Duplicate","")</f>
        <v/>
      </c>
      <c r="C116" s="9" t="str">
        <f aca="false">Raw_Volunteers!B116</f>
        <v>D1392</v>
      </c>
      <c r="D116" s="9" t="str">
        <f aca="false">IF(C116="","No","Yes")</f>
        <v>Yes</v>
      </c>
      <c r="E116" s="9" t="str">
        <f aca="false">Raw_Volunteers!C116</f>
        <v>Robert Wilson</v>
      </c>
      <c r="F116" s="9" t="str">
        <f aca="false">Raw_Volunteers!D116</f>
        <v>05/02/2026</v>
      </c>
      <c r="G116" s="9" t="str">
        <f aca="false">PROPER(TRIM(Raw_Volunteers!E116))</f>
        <v>Client Intake Assistant</v>
      </c>
      <c r="H116" s="9" t="str">
        <f aca="false">Raw_Volunteers!F116</f>
        <v>Mobile Unit - Route A</v>
      </c>
      <c r="I116" s="9" t="n">
        <f aca="false">IF(Raw_Volunteers!G116="",ROUND(AVERAGE(Raw_Volunteers!$G$2:$G$926),1),Raw_Volunteers!G116)</f>
        <v>3</v>
      </c>
    </row>
    <row r="117" customFormat="false" ht="15" hidden="false" customHeight="true" outlineLevel="0" collapsed="false">
      <c r="A117" s="9" t="str">
        <f aca="false">Raw_Volunteers!A117</f>
        <v>V2017</v>
      </c>
      <c r="B117" s="9" t="str">
        <f aca="false">IF(COUNTIFS(Raw_Volunteers!$A$2:$A$926,Raw_Volunteers!A117,Raw_Volunteers!$D$2:$D$926,Raw_Volunteers!D117,Raw_Volunteers!$E$2:$E$926,Raw_Volunteers!E117,Raw_Volunteers!$G$2:$G$926,Raw_Volunteers!G117)&gt;1,"Possible Duplicate","")</f>
        <v/>
      </c>
      <c r="C117" s="9" t="str">
        <f aca="false">Raw_Volunteers!B117</f>
        <v>D1392</v>
      </c>
      <c r="D117" s="9" t="str">
        <f aca="false">IF(C117="","No","Yes")</f>
        <v>Yes</v>
      </c>
      <c r="E117" s="9" t="str">
        <f aca="false">Raw_Volunteers!C117</f>
        <v>Robert Wilson</v>
      </c>
      <c r="F117" s="9" t="str">
        <f aca="false">Raw_Volunteers!D117</f>
        <v>01/20/2026</v>
      </c>
      <c r="G117" s="9" t="str">
        <f aca="false">PROPER(TRIM(Raw_Volunteers!E117))</f>
        <v>Pantry Stocking</v>
      </c>
      <c r="H117" s="9" t="str">
        <f aca="false">Raw_Volunteers!F117</f>
        <v>Mobile Unit - Route B</v>
      </c>
      <c r="I117" s="9" t="n">
        <f aca="false">IF(Raw_Volunteers!G117="",ROUND(AVERAGE(Raw_Volunteers!$G$2:$G$926),1),Raw_Volunteers!G117)</f>
        <v>2</v>
      </c>
    </row>
    <row r="118" customFormat="false" ht="15" hidden="false" customHeight="true" outlineLevel="0" collapsed="false">
      <c r="A118" s="9" t="str">
        <f aca="false">Raw_Volunteers!A118</f>
        <v>V2018</v>
      </c>
      <c r="B118" s="9" t="str">
        <f aca="false">IF(COUNTIFS(Raw_Volunteers!$A$2:$A$926,Raw_Volunteers!A118,Raw_Volunteers!$D$2:$D$926,Raw_Volunteers!D118,Raw_Volunteers!$E$2:$E$926,Raw_Volunteers!E118,Raw_Volunteers!$G$2:$G$926,Raw_Volunteers!G118)&gt;1,"Possible Duplicate","")</f>
        <v/>
      </c>
      <c r="C118" s="9" t="str">
        <f aca="false">Raw_Volunteers!B118</f>
        <v>D1618-DUP</v>
      </c>
      <c r="D118" s="9" t="str">
        <f aca="false">IF(C118="","No","Yes")</f>
        <v>Yes</v>
      </c>
      <c r="E118" s="9" t="str">
        <f aca="false">Raw_Volunteers!C118</f>
        <v>Stephanie Hernandez</v>
      </c>
      <c r="F118" s="9" t="str">
        <f aca="false">Raw_Volunteers!D118</f>
        <v>04/25/2025</v>
      </c>
      <c r="G118" s="9" t="str">
        <f aca="false">PROPER(TRIM(Raw_Volunteers!E118))</f>
        <v>Holiday Box Packing</v>
      </c>
      <c r="H118" s="9" t="str">
        <f aca="false">Raw_Volunteers!F118</f>
        <v>Mobile Unit - Route B</v>
      </c>
      <c r="I118" s="9" t="n">
        <f aca="false">IF(Raw_Volunteers!G118="",ROUND(AVERAGE(Raw_Volunteers!$G$2:$G$926),1),Raw_Volunteers!G118)</f>
        <v>2</v>
      </c>
    </row>
    <row r="119" customFormat="false" ht="15" hidden="false" customHeight="true" outlineLevel="0" collapsed="false">
      <c r="A119" s="9" t="str">
        <f aca="false">Raw_Volunteers!A119</f>
        <v>V2019</v>
      </c>
      <c r="B119" s="9" t="str">
        <f aca="false">IF(COUNTIFS(Raw_Volunteers!$A$2:$A$926,Raw_Volunteers!A119,Raw_Volunteers!$D$2:$D$926,Raw_Volunteers!D119,Raw_Volunteers!$E$2:$E$926,Raw_Volunteers!E119,Raw_Volunteers!$G$2:$G$926,Raw_Volunteers!G119)&gt;1,"Possible Duplicate","")</f>
        <v/>
      </c>
      <c r="C119" s="9" t="str">
        <f aca="false">Raw_Volunteers!B119</f>
        <v>D1615</v>
      </c>
      <c r="D119" s="9" t="str">
        <f aca="false">IF(C119="","No","Yes")</f>
        <v>Yes</v>
      </c>
      <c r="E119" s="9" t="str">
        <f aca="false">Raw_Volunteers!C119</f>
        <v>Karen Jackson</v>
      </c>
      <c r="F119" s="9" t="str">
        <f aca="false">Raw_Volunteers!D119</f>
        <v>03/17/2025</v>
      </c>
      <c r="G119" s="9" t="str">
        <f aca="false">PROPER(TRIM(Raw_Volunteers!E119))</f>
        <v>Food Sorting</v>
      </c>
      <c r="H119" s="9" t="str">
        <f aca="false">Raw_Volunteers!F119</f>
        <v>Downtown Pantry</v>
      </c>
      <c r="I119" s="9" t="n">
        <f aca="false">IF(Raw_Volunteers!G119="",ROUND(AVERAGE(Raw_Volunteers!$G$2:$G$926),1),Raw_Volunteers!G119)</f>
        <v>3</v>
      </c>
    </row>
    <row r="120" customFormat="false" ht="15" hidden="false" customHeight="true" outlineLevel="0" collapsed="false">
      <c r="A120" s="9" t="str">
        <f aca="false">Raw_Volunteers!A120</f>
        <v>V2019</v>
      </c>
      <c r="B120" s="9" t="str">
        <f aca="false">IF(COUNTIFS(Raw_Volunteers!$A$2:$A$926,Raw_Volunteers!A120,Raw_Volunteers!$D$2:$D$926,Raw_Volunteers!D120,Raw_Volunteers!$E$2:$E$926,Raw_Volunteers!E120,Raw_Volunteers!$G$2:$G$926,Raw_Volunteers!G120)&gt;1,"Possible Duplicate","")</f>
        <v/>
      </c>
      <c r="C120" s="9" t="str">
        <f aca="false">Raw_Volunteers!B120</f>
        <v>D1615</v>
      </c>
      <c r="D120" s="9" t="str">
        <f aca="false">IF(C120="","No","Yes")</f>
        <v>Yes</v>
      </c>
      <c r="E120" s="9" t="str">
        <f aca="false">Raw_Volunteers!C120</f>
        <v>Karen Jackson</v>
      </c>
      <c r="F120" s="9" t="str">
        <f aca="false">Raw_Volunteers!D120</f>
        <v>10/04/2024</v>
      </c>
      <c r="G120" s="9" t="str">
        <f aca="false">PROPER(TRIM(Raw_Volunteers!E120))</f>
        <v>Food Sorting</v>
      </c>
      <c r="H120" s="9" t="str">
        <f aca="false">Raw_Volunteers!F120</f>
        <v>Mobile Unit - Route B</v>
      </c>
      <c r="I120" s="9" t="n">
        <f aca="false">IF(Raw_Volunteers!G120="",ROUND(AVERAGE(Raw_Volunteers!$G$2:$G$926),1),Raw_Volunteers!G120)</f>
        <v>2</v>
      </c>
    </row>
    <row r="121" customFormat="false" ht="15" hidden="false" customHeight="true" outlineLevel="0" collapsed="false">
      <c r="A121" s="9" t="str">
        <f aca="false">Raw_Volunteers!A121</f>
        <v>V2019</v>
      </c>
      <c r="B121" s="9" t="str">
        <f aca="false">IF(COUNTIFS(Raw_Volunteers!$A$2:$A$926,Raw_Volunteers!A121,Raw_Volunteers!$D$2:$D$926,Raw_Volunteers!D121,Raw_Volunteers!$E$2:$E$926,Raw_Volunteers!E121,Raw_Volunteers!$G$2:$G$926,Raw_Volunteers!G121)&gt;1,"Possible Duplicate","")</f>
        <v/>
      </c>
      <c r="C121" s="9" t="str">
        <f aca="false">Raw_Volunteers!B121</f>
        <v>D1615</v>
      </c>
      <c r="D121" s="9" t="str">
        <f aca="false">IF(C121="","No","Yes")</f>
        <v>Yes</v>
      </c>
      <c r="E121" s="9" t="str">
        <f aca="false">Raw_Volunteers!C121</f>
        <v>Karen Jackson</v>
      </c>
      <c r="F121" s="9" t="str">
        <f aca="false">Raw_Volunteers!D121</f>
        <v>09/28/2024</v>
      </c>
      <c r="G121" s="9" t="str">
        <f aca="false">PROPER(TRIM(Raw_Volunteers!E121))</f>
        <v>Mobile Distribution Driver</v>
      </c>
      <c r="H121" s="9" t="str">
        <f aca="false">Raw_Volunteers!F121</f>
        <v>Mobile Unit - Route A</v>
      </c>
      <c r="I121" s="9" t="n">
        <f aca="false">IF(Raw_Volunteers!G121="",ROUND(AVERAGE(Raw_Volunteers!$G$2:$G$926),1),Raw_Volunteers!G121)</f>
        <v>4</v>
      </c>
    </row>
    <row r="122" customFormat="false" ht="15" hidden="false" customHeight="true" outlineLevel="0" collapsed="false">
      <c r="A122" s="9" t="str">
        <f aca="false">Raw_Volunteers!A122</f>
        <v>V2020</v>
      </c>
      <c r="B122" s="9" t="str">
        <f aca="false">IF(COUNTIFS(Raw_Volunteers!$A$2:$A$926,Raw_Volunteers!A122,Raw_Volunteers!$D$2:$D$926,Raw_Volunteers!D122,Raw_Volunteers!$E$2:$E$926,Raw_Volunteers!E122,Raw_Volunteers!$G$2:$G$926,Raw_Volunteers!G122)&gt;1,"Possible Duplicate","")</f>
        <v/>
      </c>
      <c r="C122" s="9" t="str">
        <f aca="false">Raw_Volunteers!B122</f>
        <v>D1715</v>
      </c>
      <c r="D122" s="9" t="str">
        <f aca="false">IF(C122="","No","Yes")</f>
        <v>Yes</v>
      </c>
      <c r="E122" s="9" t="str">
        <f aca="false">Raw_Volunteers!C122</f>
        <v>William Sanchez</v>
      </c>
      <c r="F122" s="9" t="str">
        <f aca="false">Raw_Volunteers!D122</f>
        <v>06/28/2025</v>
      </c>
      <c r="G122" s="9" t="str">
        <f aca="false">PROPER(TRIM(Raw_Volunteers!E122))</f>
        <v>Holiday Box Packing</v>
      </c>
      <c r="H122" s="9" t="str">
        <f aca="false">Raw_Volunteers!F122</f>
        <v>Main Warehouse</v>
      </c>
      <c r="I122" s="9" t="n">
        <f aca="false">IF(Raw_Volunteers!G122="",ROUND(AVERAGE(Raw_Volunteers!$G$2:$G$926),1),Raw_Volunteers!G122)</f>
        <v>3</v>
      </c>
    </row>
    <row r="123" customFormat="false" ht="15" hidden="false" customHeight="true" outlineLevel="0" collapsed="false">
      <c r="A123" s="9" t="str">
        <f aca="false">Raw_Volunteers!A123</f>
        <v>V2020</v>
      </c>
      <c r="B123" s="9" t="str">
        <f aca="false">IF(COUNTIFS(Raw_Volunteers!$A$2:$A$926,Raw_Volunteers!A123,Raw_Volunteers!$D$2:$D$926,Raw_Volunteers!D123,Raw_Volunteers!$E$2:$E$926,Raw_Volunteers!E123,Raw_Volunteers!$G$2:$G$926,Raw_Volunteers!G123)&gt;1,"Possible Duplicate","")</f>
        <v/>
      </c>
      <c r="C123" s="9" t="str">
        <f aca="false">Raw_Volunteers!B123</f>
        <v>D1715</v>
      </c>
      <c r="D123" s="9" t="str">
        <f aca="false">IF(C123="","No","Yes")</f>
        <v>Yes</v>
      </c>
      <c r="E123" s="9" t="str">
        <f aca="false">Raw_Volunteers!C123</f>
        <v>William Sanchez</v>
      </c>
      <c r="F123" s="9" t="str">
        <f aca="false">Raw_Volunteers!D123</f>
        <v>09/26/2025</v>
      </c>
      <c r="G123" s="9" t="str">
        <f aca="false">PROPER(TRIM(Raw_Volunteers!E123))</f>
        <v>Holiday Box Packing</v>
      </c>
      <c r="H123" s="9" t="str">
        <f aca="false">Raw_Volunteers!F123</f>
        <v>Mobile Unit - Route B</v>
      </c>
      <c r="I123" s="9" t="n">
        <f aca="false">IF(Raw_Volunteers!G123="",ROUND(AVERAGE(Raw_Volunteers!$G$2:$G$926),1),Raw_Volunteers!G123)</f>
        <v>2</v>
      </c>
    </row>
    <row r="124" customFormat="false" ht="15" hidden="false" customHeight="true" outlineLevel="0" collapsed="false">
      <c r="A124" s="9" t="str">
        <f aca="false">Raw_Volunteers!A124</f>
        <v>V2020</v>
      </c>
      <c r="B124" s="9" t="str">
        <f aca="false">IF(COUNTIFS(Raw_Volunteers!$A$2:$A$926,Raw_Volunteers!A124,Raw_Volunteers!$D$2:$D$926,Raw_Volunteers!D124,Raw_Volunteers!$E$2:$E$926,Raw_Volunteers!E124,Raw_Volunteers!$G$2:$G$926,Raw_Volunteers!G124)&gt;1,"Possible Duplicate","")</f>
        <v/>
      </c>
      <c r="C124" s="9" t="str">
        <f aca="false">Raw_Volunteers!B124</f>
        <v>D1715</v>
      </c>
      <c r="D124" s="9" t="str">
        <f aca="false">IF(C124="","No","Yes")</f>
        <v>Yes</v>
      </c>
      <c r="E124" s="9" t="str">
        <f aca="false">Raw_Volunteers!C124</f>
        <v>William Sanchez</v>
      </c>
      <c r="F124" s="9" t="str">
        <f aca="false">Raw_Volunteers!D124</f>
        <v>01/22/2026</v>
      </c>
      <c r="G124" s="9" t="str">
        <f aca="false">PROPER(TRIM(Raw_Volunteers!E124))</f>
        <v>Mobile Distribution Driver</v>
      </c>
      <c r="H124" s="9" t="str">
        <f aca="false">Raw_Volunteers!F124</f>
        <v>Downtown Pantry</v>
      </c>
      <c r="I124" s="9" t="n">
        <f aca="false">IF(Raw_Volunteers!G124="",ROUND(AVERAGE(Raw_Volunteers!$G$2:$G$926),1),Raw_Volunteers!G124)</f>
        <v>2</v>
      </c>
    </row>
    <row r="125" customFormat="false" ht="15" hidden="false" customHeight="true" outlineLevel="0" collapsed="false">
      <c r="A125" s="9" t="str">
        <f aca="false">Raw_Volunteers!A125</f>
        <v>V2021</v>
      </c>
      <c r="B125" s="9" t="str">
        <f aca="false">IF(COUNTIFS(Raw_Volunteers!$A$2:$A$926,Raw_Volunteers!A125,Raw_Volunteers!$D$2:$D$926,Raw_Volunteers!D125,Raw_Volunteers!$E$2:$E$926,Raw_Volunteers!E125,Raw_Volunteers!$G$2:$G$926,Raw_Volunteers!G125)&gt;1,"Possible Duplicate","")</f>
        <v/>
      </c>
      <c r="C125" s="9" t="str">
        <f aca="false">Raw_Volunteers!B125</f>
        <v>D1307</v>
      </c>
      <c r="D125" s="9" t="str">
        <f aca="false">IF(C125="","No","Yes")</f>
        <v>Yes</v>
      </c>
      <c r="E125" s="9" t="str">
        <f aca="false">Raw_Volunteers!C125</f>
        <v>George Williams</v>
      </c>
      <c r="F125" s="9" t="str">
        <f aca="false">Raw_Volunteers!D125</f>
        <v>01/31/2024</v>
      </c>
      <c r="G125" s="9" t="str">
        <f aca="false">PROPER(TRIM(Raw_Volunteers!E125))</f>
        <v>Pantry Stocking</v>
      </c>
      <c r="H125" s="9" t="str">
        <f aca="false">Raw_Volunteers!F125</f>
        <v>Main Warehouse</v>
      </c>
      <c r="I125" s="9" t="n">
        <f aca="false">IF(Raw_Volunteers!G125="",ROUND(AVERAGE(Raw_Volunteers!$G$2:$G$926),1),Raw_Volunteers!G125)</f>
        <v>2</v>
      </c>
    </row>
    <row r="126" customFormat="false" ht="15" hidden="false" customHeight="true" outlineLevel="0" collapsed="false">
      <c r="A126" s="9" t="str">
        <f aca="false">Raw_Volunteers!A126</f>
        <v>V2022</v>
      </c>
      <c r="B126" s="9" t="str">
        <f aca="false">IF(COUNTIFS(Raw_Volunteers!$A$2:$A$926,Raw_Volunteers!A126,Raw_Volunteers!$D$2:$D$926,Raw_Volunteers!D126,Raw_Volunteers!$E$2:$E$926,Raw_Volunteers!E126,Raw_Volunteers!$G$2:$G$926,Raw_Volunteers!G126)&gt;1,"Possible Duplicate","")</f>
        <v/>
      </c>
      <c r="C126" s="9" t="str">
        <f aca="false">Raw_Volunteers!B126</f>
        <v>D1559</v>
      </c>
      <c r="D126" s="9" t="str">
        <f aca="false">IF(C126="","No","Yes")</f>
        <v>Yes</v>
      </c>
      <c r="E126" s="9" t="str">
        <f aca="false">Raw_Volunteers!C126</f>
        <v>Brian Torres</v>
      </c>
      <c r="F126" s="9" t="str">
        <f aca="false">Raw_Volunteers!D126</f>
        <v>03/10/2024</v>
      </c>
      <c r="G126" s="9" t="str">
        <f aca="false">PROPER(TRIM(Raw_Volunteers!E126))</f>
        <v>Client Intake Assistant</v>
      </c>
      <c r="H126" s="9" t="str">
        <f aca="false">Raw_Volunteers!F126</f>
        <v>Downtown Pantry</v>
      </c>
      <c r="I126" s="9" t="n">
        <f aca="false">IF(Raw_Volunteers!G126="",ROUND(AVERAGE(Raw_Volunteers!$G$2:$G$926),1),Raw_Volunteers!G126)</f>
        <v>2</v>
      </c>
    </row>
    <row r="127" customFormat="false" ht="15" hidden="false" customHeight="true" outlineLevel="0" collapsed="false">
      <c r="A127" s="9" t="str">
        <f aca="false">Raw_Volunteers!A127</f>
        <v>V2022</v>
      </c>
      <c r="B127" s="9" t="str">
        <f aca="false">IF(COUNTIFS(Raw_Volunteers!$A$2:$A$926,Raw_Volunteers!A127,Raw_Volunteers!$D$2:$D$926,Raw_Volunteers!D127,Raw_Volunteers!$E$2:$E$926,Raw_Volunteers!E127,Raw_Volunteers!$G$2:$G$926,Raw_Volunteers!G127)&gt;1,"Possible Duplicate","")</f>
        <v/>
      </c>
      <c r="C127" s="9" t="str">
        <f aca="false">Raw_Volunteers!B127</f>
        <v>D1559</v>
      </c>
      <c r="D127" s="9" t="str">
        <f aca="false">IF(C127="","No","Yes")</f>
        <v>Yes</v>
      </c>
      <c r="E127" s="9" t="str">
        <f aca="false">Raw_Volunteers!C127</f>
        <v>Brian Torres</v>
      </c>
      <c r="F127" s="9" t="str">
        <f aca="false">Raw_Volunteers!D127</f>
        <v>03/26/2026</v>
      </c>
      <c r="G127" s="9" t="str">
        <f aca="false">PROPER(TRIM(Raw_Volunteers!E127))</f>
        <v>Mobile Distribution Driver</v>
      </c>
      <c r="H127" s="9" t="str">
        <f aca="false">Raw_Volunteers!F127</f>
        <v>Mobile Unit - Route B</v>
      </c>
      <c r="I127" s="9" t="n">
        <f aca="false">IF(Raw_Volunteers!G127="",ROUND(AVERAGE(Raw_Volunteers!$G$2:$G$926),1),Raw_Volunteers!G127)</f>
        <v>3</v>
      </c>
    </row>
    <row r="128" customFormat="false" ht="15" hidden="false" customHeight="true" outlineLevel="0" collapsed="false">
      <c r="A128" s="9" t="str">
        <f aca="false">Raw_Volunteers!A128</f>
        <v>V2022</v>
      </c>
      <c r="B128" s="9" t="str">
        <f aca="false">IF(COUNTIFS(Raw_Volunteers!$A$2:$A$926,Raw_Volunteers!A128,Raw_Volunteers!$D$2:$D$926,Raw_Volunteers!D128,Raw_Volunteers!$E$2:$E$926,Raw_Volunteers!E128,Raw_Volunteers!$G$2:$G$926,Raw_Volunteers!G128)&gt;1,"Possible Duplicate","")</f>
        <v/>
      </c>
      <c r="C128" s="9" t="str">
        <f aca="false">Raw_Volunteers!B128</f>
        <v>D1559</v>
      </c>
      <c r="D128" s="9" t="str">
        <f aca="false">IF(C128="","No","Yes")</f>
        <v>Yes</v>
      </c>
      <c r="E128" s="9" t="str">
        <f aca="false">Raw_Volunteers!C128</f>
        <v>Brian Torres</v>
      </c>
      <c r="F128" s="9" t="str">
        <f aca="false">Raw_Volunteers!D128</f>
        <v>05/15/2026</v>
      </c>
      <c r="G128" s="9" t="str">
        <f aca="false">PROPER(TRIM(Raw_Volunteers!E128))</f>
        <v>Warehouse Loading</v>
      </c>
      <c r="H128" s="9" t="str">
        <f aca="false">Raw_Volunteers!F128</f>
        <v>Main Warehouse</v>
      </c>
      <c r="I128" s="9" t="n">
        <f aca="false">IF(Raw_Volunteers!G128="",ROUND(AVERAGE(Raw_Volunteers!$G$2:$G$926),1),Raw_Volunteers!G128)</f>
        <v>2</v>
      </c>
    </row>
    <row r="129" customFormat="false" ht="15" hidden="false" customHeight="true" outlineLevel="0" collapsed="false">
      <c r="A129" s="9" t="str">
        <f aca="false">Raw_Volunteers!A129</f>
        <v>V2022</v>
      </c>
      <c r="B129" s="9" t="str">
        <f aca="false">IF(COUNTIFS(Raw_Volunteers!$A$2:$A$926,Raw_Volunteers!A129,Raw_Volunteers!$D$2:$D$926,Raw_Volunteers!D129,Raw_Volunteers!$E$2:$E$926,Raw_Volunteers!E129,Raw_Volunteers!$G$2:$G$926,Raw_Volunteers!G129)&gt;1,"Possible Duplicate","")</f>
        <v/>
      </c>
      <c r="C129" s="9" t="str">
        <f aca="false">Raw_Volunteers!B129</f>
        <v>D1559</v>
      </c>
      <c r="D129" s="9" t="str">
        <f aca="false">IF(C129="","No","Yes")</f>
        <v>Yes</v>
      </c>
      <c r="E129" s="9" t="str">
        <f aca="false">Raw_Volunteers!C129</f>
        <v>Brian Torres</v>
      </c>
      <c r="F129" s="9" t="str">
        <f aca="false">Raw_Volunteers!D129</f>
        <v>02/26/2025</v>
      </c>
      <c r="G129" s="9" t="str">
        <f aca="false">PROPER(TRIM(Raw_Volunteers!E129))</f>
        <v>Pantry Stocking</v>
      </c>
      <c r="H129" s="9" t="str">
        <f aca="false">Raw_Volunteers!F129</f>
        <v>Mobile Unit - Route B</v>
      </c>
      <c r="I129" s="9" t="n">
        <f aca="false">IF(Raw_Volunteers!G129="",ROUND(AVERAGE(Raw_Volunteers!$G$2:$G$926),1),Raw_Volunteers!G129)</f>
        <v>2</v>
      </c>
    </row>
    <row r="130" customFormat="false" ht="15" hidden="false" customHeight="true" outlineLevel="0" collapsed="false">
      <c r="A130" s="9" t="str">
        <f aca="false">Raw_Volunteers!A130</f>
        <v>V2022</v>
      </c>
      <c r="B130" s="9" t="str">
        <f aca="false">IF(COUNTIFS(Raw_Volunteers!$A$2:$A$926,Raw_Volunteers!A130,Raw_Volunteers!$D$2:$D$926,Raw_Volunteers!D130,Raw_Volunteers!$E$2:$E$926,Raw_Volunteers!E130,Raw_Volunteers!$G$2:$G$926,Raw_Volunteers!G130)&gt;1,"Possible Duplicate","")</f>
        <v/>
      </c>
      <c r="C130" s="9" t="str">
        <f aca="false">Raw_Volunteers!B130</f>
        <v>D1559</v>
      </c>
      <c r="D130" s="9" t="str">
        <f aca="false">IF(C130="","No","Yes")</f>
        <v>Yes</v>
      </c>
      <c r="E130" s="9" t="str">
        <f aca="false">Raw_Volunteers!C130</f>
        <v>Brian Torres</v>
      </c>
      <c r="F130" s="9" t="str">
        <f aca="false">Raw_Volunteers!D130</f>
        <v>04/22/2024</v>
      </c>
      <c r="G130" s="9" t="str">
        <f aca="false">PROPER(TRIM(Raw_Volunteers!E130))</f>
        <v>Pantry Stocking</v>
      </c>
      <c r="H130" s="9" t="str">
        <f aca="false">Raw_Volunteers!F130</f>
        <v>Community Center Site</v>
      </c>
      <c r="I130" s="9" t="n">
        <f aca="false">IF(Raw_Volunteers!G130="",ROUND(AVERAGE(Raw_Volunteers!$G$2:$G$926),1),Raw_Volunteers!G130)</f>
        <v>3</v>
      </c>
    </row>
    <row r="131" customFormat="false" ht="15" hidden="false" customHeight="true" outlineLevel="0" collapsed="false">
      <c r="A131" s="9" t="str">
        <f aca="false">Raw_Volunteers!A131</f>
        <v>V2022</v>
      </c>
      <c r="B131" s="9" t="str">
        <f aca="false">IF(COUNTIFS(Raw_Volunteers!$A$2:$A$926,Raw_Volunteers!A131,Raw_Volunteers!$D$2:$D$926,Raw_Volunteers!D131,Raw_Volunteers!$E$2:$E$926,Raw_Volunteers!E131,Raw_Volunteers!$G$2:$G$926,Raw_Volunteers!G131)&gt;1,"Possible Duplicate","")</f>
        <v/>
      </c>
      <c r="C131" s="9" t="str">
        <f aca="false">Raw_Volunteers!B131</f>
        <v>D1559</v>
      </c>
      <c r="D131" s="9" t="str">
        <f aca="false">IF(C131="","No","Yes")</f>
        <v>Yes</v>
      </c>
      <c r="E131" s="9" t="str">
        <f aca="false">Raw_Volunteers!C131</f>
        <v>Brian Torres</v>
      </c>
      <c r="F131" s="9" t="str">
        <f aca="false">Raw_Volunteers!D131</f>
        <v>07/21/2024</v>
      </c>
      <c r="G131" s="9" t="str">
        <f aca="false">PROPER(TRIM(Raw_Volunteers!E131))</f>
        <v>Food Sorting</v>
      </c>
      <c r="H131" s="9" t="str">
        <f aca="false">Raw_Volunteers!F131</f>
        <v>Main Warehouse</v>
      </c>
      <c r="I131" s="9" t="n">
        <f aca="false">IF(Raw_Volunteers!G131="",ROUND(AVERAGE(Raw_Volunteers!$G$2:$G$926),1),Raw_Volunteers!G131)</f>
        <v>3</v>
      </c>
    </row>
    <row r="132" customFormat="false" ht="15" hidden="false" customHeight="true" outlineLevel="0" collapsed="false">
      <c r="A132" s="9" t="str">
        <f aca="false">Raw_Volunteers!A132</f>
        <v>V2022</v>
      </c>
      <c r="B132" s="9" t="str">
        <f aca="false">IF(COUNTIFS(Raw_Volunteers!$A$2:$A$926,Raw_Volunteers!A132,Raw_Volunteers!$D$2:$D$926,Raw_Volunteers!D132,Raw_Volunteers!$E$2:$E$926,Raw_Volunteers!E132,Raw_Volunteers!$G$2:$G$926,Raw_Volunteers!G132)&gt;1,"Possible Duplicate","")</f>
        <v/>
      </c>
      <c r="C132" s="9" t="str">
        <f aca="false">Raw_Volunteers!B132</f>
        <v>D1559</v>
      </c>
      <c r="D132" s="9" t="str">
        <f aca="false">IF(C132="","No","Yes")</f>
        <v>Yes</v>
      </c>
      <c r="E132" s="9" t="str">
        <f aca="false">Raw_Volunteers!C132</f>
        <v>Brian Torres</v>
      </c>
      <c r="F132" s="9" t="str">
        <f aca="false">Raw_Volunteers!D132</f>
        <v>06/08/2024</v>
      </c>
      <c r="G132" s="9" t="str">
        <f aca="false">PROPER(TRIM(Raw_Volunteers!E132))</f>
        <v>Pantry Stocking</v>
      </c>
      <c r="H132" s="9" t="str">
        <f aca="false">Raw_Volunteers!F132</f>
        <v>Downtown Pantry</v>
      </c>
      <c r="I132" s="9" t="n">
        <f aca="false">IF(Raw_Volunteers!G132="",ROUND(AVERAGE(Raw_Volunteers!$G$2:$G$926),1),Raw_Volunteers!G132)</f>
        <v>2</v>
      </c>
    </row>
    <row r="133" customFormat="false" ht="15" hidden="false" customHeight="true" outlineLevel="0" collapsed="false">
      <c r="A133" s="9" t="str">
        <f aca="false">Raw_Volunteers!A133</f>
        <v>V2022</v>
      </c>
      <c r="B133" s="9" t="str">
        <f aca="false">IF(COUNTIFS(Raw_Volunteers!$A$2:$A$926,Raw_Volunteers!A133,Raw_Volunteers!$D$2:$D$926,Raw_Volunteers!D133,Raw_Volunteers!$E$2:$E$926,Raw_Volunteers!E133,Raw_Volunteers!$G$2:$G$926,Raw_Volunteers!G133)&gt;1,"Possible Duplicate","")</f>
        <v/>
      </c>
      <c r="C133" s="9" t="str">
        <f aca="false">Raw_Volunteers!B133</f>
        <v>D1559</v>
      </c>
      <c r="D133" s="9" t="str">
        <f aca="false">IF(C133="","No","Yes")</f>
        <v>Yes</v>
      </c>
      <c r="E133" s="9" t="str">
        <f aca="false">Raw_Volunteers!C133</f>
        <v>Brian Torres</v>
      </c>
      <c r="F133" s="9" t="str">
        <f aca="false">Raw_Volunteers!D133</f>
        <v>08/19/2025</v>
      </c>
      <c r="G133" s="9" t="str">
        <f aca="false">PROPER(TRIM(Raw_Volunteers!E133))</f>
        <v>Event Setup</v>
      </c>
      <c r="H133" s="9" t="str">
        <f aca="false">Raw_Volunteers!F133</f>
        <v>Main Warehouse</v>
      </c>
      <c r="I133" s="9" t="n">
        <f aca="false">IF(Raw_Volunteers!G133="",ROUND(AVERAGE(Raw_Volunteers!$G$2:$G$926),1),Raw_Volunteers!G133)</f>
        <v>2</v>
      </c>
    </row>
    <row r="134" customFormat="false" ht="15" hidden="false" customHeight="true" outlineLevel="0" collapsed="false">
      <c r="A134" s="9" t="str">
        <f aca="false">Raw_Volunteers!A134</f>
        <v>V2022</v>
      </c>
      <c r="B134" s="9" t="str">
        <f aca="false">IF(COUNTIFS(Raw_Volunteers!$A$2:$A$926,Raw_Volunteers!A134,Raw_Volunteers!$D$2:$D$926,Raw_Volunteers!D134,Raw_Volunteers!$E$2:$E$926,Raw_Volunteers!E134,Raw_Volunteers!$G$2:$G$926,Raw_Volunteers!G134)&gt;1,"Possible Duplicate","")</f>
        <v/>
      </c>
      <c r="C134" s="9" t="str">
        <f aca="false">Raw_Volunteers!B134</f>
        <v>D1559</v>
      </c>
      <c r="D134" s="9" t="str">
        <f aca="false">IF(C134="","No","Yes")</f>
        <v>Yes</v>
      </c>
      <c r="E134" s="9" t="str">
        <f aca="false">Raw_Volunteers!C134</f>
        <v>Brian Torres</v>
      </c>
      <c r="F134" s="9" t="str">
        <f aca="false">Raw_Volunteers!D134</f>
        <v>03/31/2025</v>
      </c>
      <c r="G134" s="9" t="str">
        <f aca="false">PROPER(TRIM(Raw_Volunteers!E134))</f>
        <v>Mobile Distribution Driver</v>
      </c>
      <c r="H134" s="9" t="str">
        <f aca="false">Raw_Volunteers!F134</f>
        <v>Downtown Pantry</v>
      </c>
      <c r="I134" s="9" t="n">
        <f aca="false">IF(Raw_Volunteers!G134="",ROUND(AVERAGE(Raw_Volunteers!$G$2:$G$926),1),Raw_Volunteers!G134)</f>
        <v>3</v>
      </c>
    </row>
    <row r="135" customFormat="false" ht="15" hidden="false" customHeight="true" outlineLevel="0" collapsed="false">
      <c r="A135" s="9" t="str">
        <f aca="false">Raw_Volunteers!A135</f>
        <v>V2022</v>
      </c>
      <c r="B135" s="9" t="str">
        <f aca="false">IF(COUNTIFS(Raw_Volunteers!$A$2:$A$926,Raw_Volunteers!A135,Raw_Volunteers!$D$2:$D$926,Raw_Volunteers!D135,Raw_Volunteers!$E$2:$E$926,Raw_Volunteers!E135,Raw_Volunteers!$G$2:$G$926,Raw_Volunteers!G135)&gt;1,"Possible Duplicate","")</f>
        <v/>
      </c>
      <c r="C135" s="9" t="str">
        <f aca="false">Raw_Volunteers!B135</f>
        <v>D1559</v>
      </c>
      <c r="D135" s="9" t="str">
        <f aca="false">IF(C135="","No","Yes")</f>
        <v>Yes</v>
      </c>
      <c r="E135" s="9" t="str">
        <f aca="false">Raw_Volunteers!C135</f>
        <v>Brian Torres</v>
      </c>
      <c r="F135" s="9" t="str">
        <f aca="false">Raw_Volunteers!D135</f>
        <v>11/10/2024</v>
      </c>
      <c r="G135" s="9" t="str">
        <f aca="false">PROPER(TRIM(Raw_Volunteers!E135))</f>
        <v>Food Sorting</v>
      </c>
      <c r="H135" s="9" t="str">
        <f aca="false">Raw_Volunteers!F135</f>
        <v>Downtown Pantry</v>
      </c>
      <c r="I135" s="9" t="n">
        <f aca="false">IF(Raw_Volunteers!G135="",ROUND(AVERAGE(Raw_Volunteers!$G$2:$G$926),1),Raw_Volunteers!G135)</f>
        <v>3</v>
      </c>
    </row>
    <row r="136" customFormat="false" ht="15" hidden="false" customHeight="true" outlineLevel="0" collapsed="false">
      <c r="A136" s="9" t="str">
        <f aca="false">Raw_Volunteers!A136</f>
        <v>V2023</v>
      </c>
      <c r="B136" s="9" t="str">
        <f aca="false">IF(COUNTIFS(Raw_Volunteers!$A$2:$A$926,Raw_Volunteers!A136,Raw_Volunteers!$D$2:$D$926,Raw_Volunteers!D136,Raw_Volunteers!$E$2:$E$926,Raw_Volunteers!E136,Raw_Volunteers!$G$2:$G$926,Raw_Volunteers!G136)&gt;1,"Possible Duplicate","")</f>
        <v/>
      </c>
      <c r="C136" s="9" t="str">
        <f aca="false">Raw_Volunteers!B136</f>
        <v>D1419</v>
      </c>
      <c r="D136" s="9" t="str">
        <f aca="false">IF(C136="","No","Yes")</f>
        <v>Yes</v>
      </c>
      <c r="E136" s="9" t="str">
        <f aca="false">Raw_Volunteers!C136</f>
        <v>Ashley White</v>
      </c>
      <c r="F136" s="9" t="str">
        <f aca="false">Raw_Volunteers!D136</f>
        <v>09/13/2024</v>
      </c>
      <c r="G136" s="9" t="str">
        <f aca="false">PROPER(TRIM(Raw_Volunteers!E136))</f>
        <v>Front Desk Greeter</v>
      </c>
      <c r="H136" s="9" t="str">
        <f aca="false">Raw_Volunteers!F136</f>
        <v>Mobile Unit - Route B</v>
      </c>
      <c r="I136" s="9" t="n">
        <f aca="false">IF(Raw_Volunteers!G136="",ROUND(AVERAGE(Raw_Volunteers!$G$2:$G$926),1),Raw_Volunteers!G136)</f>
        <v>2</v>
      </c>
    </row>
    <row r="137" customFormat="false" ht="15" hidden="false" customHeight="true" outlineLevel="0" collapsed="false">
      <c r="A137" s="9" t="str">
        <f aca="false">Raw_Volunteers!A137</f>
        <v>V2023</v>
      </c>
      <c r="B137" s="9" t="str">
        <f aca="false">IF(COUNTIFS(Raw_Volunteers!$A$2:$A$926,Raw_Volunteers!A137,Raw_Volunteers!$D$2:$D$926,Raw_Volunteers!D137,Raw_Volunteers!$E$2:$E$926,Raw_Volunteers!E137,Raw_Volunteers!$G$2:$G$926,Raw_Volunteers!G137)&gt;1,"Possible Duplicate","")</f>
        <v/>
      </c>
      <c r="C137" s="9" t="str">
        <f aca="false">Raw_Volunteers!B137</f>
        <v>D1419</v>
      </c>
      <c r="D137" s="9" t="str">
        <f aca="false">IF(C137="","No","Yes")</f>
        <v>Yes</v>
      </c>
      <c r="E137" s="9" t="str">
        <f aca="false">Raw_Volunteers!C137</f>
        <v>Ashley White</v>
      </c>
      <c r="F137" s="9" t="str">
        <f aca="false">Raw_Volunteers!D137</f>
        <v>02/08/2025</v>
      </c>
      <c r="G137" s="9" t="str">
        <f aca="false">PROPER(TRIM(Raw_Volunteers!E137))</f>
        <v>Food Sorting</v>
      </c>
      <c r="H137" s="9" t="str">
        <f aca="false">Raw_Volunteers!F137</f>
        <v>Mobile Unit - Route B</v>
      </c>
      <c r="I137" s="9" t="n">
        <f aca="false">IF(Raw_Volunteers!G137="",ROUND(AVERAGE(Raw_Volunteers!$G$2:$G$926),1),Raw_Volunteers!G137)</f>
        <v>2</v>
      </c>
    </row>
    <row r="138" customFormat="false" ht="15" hidden="false" customHeight="true" outlineLevel="0" collapsed="false">
      <c r="A138" s="9" t="str">
        <f aca="false">Raw_Volunteers!A138</f>
        <v>V2023</v>
      </c>
      <c r="B138" s="9" t="str">
        <f aca="false">IF(COUNTIFS(Raw_Volunteers!$A$2:$A$926,Raw_Volunteers!A138,Raw_Volunteers!$D$2:$D$926,Raw_Volunteers!D138,Raw_Volunteers!$E$2:$E$926,Raw_Volunteers!E138,Raw_Volunteers!$G$2:$G$926,Raw_Volunteers!G138)&gt;1,"Possible Duplicate","")</f>
        <v/>
      </c>
      <c r="C138" s="9" t="str">
        <f aca="false">Raw_Volunteers!B138</f>
        <v>D1419</v>
      </c>
      <c r="D138" s="9" t="str">
        <f aca="false">IF(C138="","No","Yes")</f>
        <v>Yes</v>
      </c>
      <c r="E138" s="9" t="str">
        <f aca="false">Raw_Volunteers!C138</f>
        <v>Ashley White</v>
      </c>
      <c r="F138" s="9" t="str">
        <f aca="false">Raw_Volunteers!D138</f>
        <v>02/09/2026</v>
      </c>
      <c r="G138" s="9" t="str">
        <f aca="false">PROPER(TRIM(Raw_Volunteers!E138))</f>
        <v>Event Setup</v>
      </c>
      <c r="H138" s="9" t="str">
        <f aca="false">Raw_Volunteers!F138</f>
        <v>Mobile Unit - Route A</v>
      </c>
      <c r="I138" s="9" t="n">
        <f aca="false">IF(Raw_Volunteers!G138="",ROUND(AVERAGE(Raw_Volunteers!$G$2:$G$926),1),Raw_Volunteers!G138)</f>
        <v>2</v>
      </c>
    </row>
    <row r="139" customFormat="false" ht="15" hidden="false" customHeight="true" outlineLevel="0" collapsed="false">
      <c r="A139" s="9" t="str">
        <f aca="false">Raw_Volunteers!A139</f>
        <v>V2023</v>
      </c>
      <c r="B139" s="9" t="str">
        <f aca="false">IF(COUNTIFS(Raw_Volunteers!$A$2:$A$926,Raw_Volunteers!A139,Raw_Volunteers!$D$2:$D$926,Raw_Volunteers!D139,Raw_Volunteers!$E$2:$E$926,Raw_Volunteers!E139,Raw_Volunteers!$G$2:$G$926,Raw_Volunteers!G139)&gt;1,"Possible Duplicate","")</f>
        <v/>
      </c>
      <c r="C139" s="9" t="str">
        <f aca="false">Raw_Volunteers!B139</f>
        <v>D1419</v>
      </c>
      <c r="D139" s="9" t="str">
        <f aca="false">IF(C139="","No","Yes")</f>
        <v>Yes</v>
      </c>
      <c r="E139" s="9" t="str">
        <f aca="false">Raw_Volunteers!C139</f>
        <v>Ashley White</v>
      </c>
      <c r="F139" s="9" t="str">
        <f aca="false">Raw_Volunteers!D139</f>
        <v>08/12/2025</v>
      </c>
      <c r="G139" s="9" t="str">
        <f aca="false">PROPER(TRIM(Raw_Volunteers!E139))</f>
        <v>Warehouse Loading</v>
      </c>
      <c r="H139" s="9" t="str">
        <f aca="false">Raw_Volunteers!F139</f>
        <v>Community Center Site</v>
      </c>
      <c r="I139" s="9" t="n">
        <f aca="false">IF(Raw_Volunteers!G139="",ROUND(AVERAGE(Raw_Volunteers!$G$2:$G$926),1),Raw_Volunteers!G139)</f>
        <v>3</v>
      </c>
    </row>
    <row r="140" customFormat="false" ht="15" hidden="false" customHeight="true" outlineLevel="0" collapsed="false">
      <c r="A140" s="9" t="str">
        <f aca="false">Raw_Volunteers!A140</f>
        <v>V2023</v>
      </c>
      <c r="B140" s="9" t="str">
        <f aca="false">IF(COUNTIFS(Raw_Volunteers!$A$2:$A$926,Raw_Volunteers!A140,Raw_Volunteers!$D$2:$D$926,Raw_Volunteers!D140,Raw_Volunteers!$E$2:$E$926,Raw_Volunteers!E140,Raw_Volunteers!$G$2:$G$926,Raw_Volunteers!G140)&gt;1,"Possible Duplicate","")</f>
        <v/>
      </c>
      <c r="C140" s="9" t="str">
        <f aca="false">Raw_Volunteers!B140</f>
        <v>D1419</v>
      </c>
      <c r="D140" s="9" t="str">
        <f aca="false">IF(C140="","No","Yes")</f>
        <v>Yes</v>
      </c>
      <c r="E140" s="9" t="str">
        <f aca="false">Raw_Volunteers!C140</f>
        <v>Ashley White</v>
      </c>
      <c r="F140" s="9" t="str">
        <f aca="false">Raw_Volunteers!D140</f>
        <v>07/09/2024</v>
      </c>
      <c r="G140" s="9" t="str">
        <f aca="false">PROPER(TRIM(Raw_Volunteers!E140))</f>
        <v>Holiday Box Packing</v>
      </c>
      <c r="H140" s="9" t="str">
        <f aca="false">Raw_Volunteers!F140</f>
        <v>Community Center Site</v>
      </c>
      <c r="I140" s="9" t="n">
        <f aca="false">IF(Raw_Volunteers!G140="",ROUND(AVERAGE(Raw_Volunteers!$G$2:$G$926),1),Raw_Volunteers!G140)</f>
        <v>2</v>
      </c>
    </row>
    <row r="141" customFormat="false" ht="15" hidden="false" customHeight="true" outlineLevel="0" collapsed="false">
      <c r="A141" s="9" t="str">
        <f aca="false">Raw_Volunteers!A141</f>
        <v>V2023</v>
      </c>
      <c r="B141" s="9" t="str">
        <f aca="false">IF(COUNTIFS(Raw_Volunteers!$A$2:$A$926,Raw_Volunteers!A141,Raw_Volunteers!$D$2:$D$926,Raw_Volunteers!D141,Raw_Volunteers!$E$2:$E$926,Raw_Volunteers!E141,Raw_Volunteers!$G$2:$G$926,Raw_Volunteers!G141)&gt;1,"Possible Duplicate","")</f>
        <v/>
      </c>
      <c r="C141" s="9" t="str">
        <f aca="false">Raw_Volunteers!B141</f>
        <v>D1419</v>
      </c>
      <c r="D141" s="9" t="str">
        <f aca="false">IF(C141="","No","Yes")</f>
        <v>Yes</v>
      </c>
      <c r="E141" s="9" t="str">
        <f aca="false">Raw_Volunteers!C141</f>
        <v>Ashley White</v>
      </c>
      <c r="F141" s="9" t="str">
        <f aca="false">Raw_Volunteers!D141</f>
        <v>12/04/2024</v>
      </c>
      <c r="G141" s="9" t="str">
        <f aca="false">PROPER(TRIM(Raw_Volunteers!E141))</f>
        <v>Holiday Box Packing</v>
      </c>
      <c r="H141" s="9" t="str">
        <f aca="false">Raw_Volunteers!F141</f>
        <v>Main Warehouse</v>
      </c>
      <c r="I141" s="9" t="n">
        <f aca="false">IF(Raw_Volunteers!G141="",ROUND(AVERAGE(Raw_Volunteers!$G$2:$G$926),1),Raw_Volunteers!G141)</f>
        <v>2</v>
      </c>
    </row>
    <row r="142" customFormat="false" ht="15" hidden="false" customHeight="true" outlineLevel="0" collapsed="false">
      <c r="A142" s="9" t="str">
        <f aca="false">Raw_Volunteers!A142</f>
        <v>V2023</v>
      </c>
      <c r="B142" s="9" t="str">
        <f aca="false">IF(COUNTIFS(Raw_Volunteers!$A$2:$A$926,Raw_Volunteers!A142,Raw_Volunteers!$D$2:$D$926,Raw_Volunteers!D142,Raw_Volunteers!$E$2:$E$926,Raw_Volunteers!E142,Raw_Volunteers!$G$2:$G$926,Raw_Volunteers!G142)&gt;1,"Possible Duplicate","")</f>
        <v/>
      </c>
      <c r="C142" s="9" t="str">
        <f aca="false">Raw_Volunteers!B142</f>
        <v>D1419</v>
      </c>
      <c r="D142" s="9" t="str">
        <f aca="false">IF(C142="","No","Yes")</f>
        <v>Yes</v>
      </c>
      <c r="E142" s="9" t="str">
        <f aca="false">Raw_Volunteers!C142</f>
        <v>Ashley White</v>
      </c>
      <c r="F142" s="9" t="str">
        <f aca="false">Raw_Volunteers!D142</f>
        <v>11/13/2024</v>
      </c>
      <c r="G142" s="9" t="str">
        <f aca="false">PROPER(TRIM(Raw_Volunteers!E142))</f>
        <v>Holiday Box Packing</v>
      </c>
      <c r="H142" s="9" t="str">
        <f aca="false">Raw_Volunteers!F142</f>
        <v>Mobile Unit - Route A</v>
      </c>
      <c r="I142" s="9" t="n">
        <f aca="false">IF(Raw_Volunteers!G142="",ROUND(AVERAGE(Raw_Volunteers!$G$2:$G$926),1),Raw_Volunteers!G142)</f>
        <v>2</v>
      </c>
    </row>
    <row r="143" customFormat="false" ht="15" hidden="false" customHeight="true" outlineLevel="0" collapsed="false">
      <c r="A143" s="9" t="str">
        <f aca="false">Raw_Volunteers!A143</f>
        <v>V2023</v>
      </c>
      <c r="B143" s="9" t="str">
        <f aca="false">IF(COUNTIFS(Raw_Volunteers!$A$2:$A$926,Raw_Volunteers!A143,Raw_Volunteers!$D$2:$D$926,Raw_Volunteers!D143,Raw_Volunteers!$E$2:$E$926,Raw_Volunteers!E143,Raw_Volunteers!$G$2:$G$926,Raw_Volunteers!G143)&gt;1,"Possible Duplicate","")</f>
        <v/>
      </c>
      <c r="C143" s="9" t="str">
        <f aca="false">Raw_Volunteers!B143</f>
        <v>D1419</v>
      </c>
      <c r="D143" s="9" t="str">
        <f aca="false">IF(C143="","No","Yes")</f>
        <v>Yes</v>
      </c>
      <c r="E143" s="9" t="str">
        <f aca="false">Raw_Volunteers!C143</f>
        <v>Ashley White</v>
      </c>
      <c r="F143" s="9" t="str">
        <f aca="false">Raw_Volunteers!D143</f>
        <v>03/24/2025</v>
      </c>
      <c r="G143" s="9" t="str">
        <f aca="false">PROPER(TRIM(Raw_Volunteers!E143))</f>
        <v>Warehouse Loading</v>
      </c>
      <c r="H143" s="9" t="str">
        <f aca="false">Raw_Volunteers!F143</f>
        <v>Downtown Pantry</v>
      </c>
      <c r="I143" s="9" t="n">
        <f aca="false">IF(Raw_Volunteers!G143="",ROUND(AVERAGE(Raw_Volunteers!$G$2:$G$926),1),Raw_Volunteers!G143)</f>
        <v>3</v>
      </c>
    </row>
    <row r="144" customFormat="false" ht="15" hidden="false" customHeight="true" outlineLevel="0" collapsed="false">
      <c r="A144" s="9" t="str">
        <f aca="false">Raw_Volunteers!A144</f>
        <v>V2023</v>
      </c>
      <c r="B144" s="9" t="str">
        <f aca="false">IF(COUNTIFS(Raw_Volunteers!$A$2:$A$926,Raw_Volunteers!A144,Raw_Volunteers!$D$2:$D$926,Raw_Volunteers!D144,Raw_Volunteers!$E$2:$E$926,Raw_Volunteers!E144,Raw_Volunteers!$G$2:$G$926,Raw_Volunteers!G144)&gt;1,"Possible Duplicate","")</f>
        <v/>
      </c>
      <c r="C144" s="9" t="str">
        <f aca="false">Raw_Volunteers!B144</f>
        <v>D1419</v>
      </c>
      <c r="D144" s="9" t="str">
        <f aca="false">IF(C144="","No","Yes")</f>
        <v>Yes</v>
      </c>
      <c r="E144" s="9" t="str">
        <f aca="false">Raw_Volunteers!C144</f>
        <v>Ashley White</v>
      </c>
      <c r="F144" s="9" t="str">
        <f aca="false">Raw_Volunteers!D144</f>
        <v>05/30/2026</v>
      </c>
      <c r="G144" s="9" t="str">
        <f aca="false">PROPER(TRIM(Raw_Volunteers!E144))</f>
        <v>Pantry Stocking</v>
      </c>
      <c r="H144" s="9" t="str">
        <f aca="false">Raw_Volunteers!F144</f>
        <v>Downtown Pantry</v>
      </c>
      <c r="I144" s="9" t="n">
        <f aca="false">IF(Raw_Volunteers!G144="",ROUND(AVERAGE(Raw_Volunteers!$G$2:$G$926),1),Raw_Volunteers!G144)</f>
        <v>3</v>
      </c>
    </row>
    <row r="145" customFormat="false" ht="15" hidden="false" customHeight="true" outlineLevel="0" collapsed="false">
      <c r="A145" s="9" t="str">
        <f aca="false">Raw_Volunteers!A145</f>
        <v>V2023</v>
      </c>
      <c r="B145" s="9" t="str">
        <f aca="false">IF(COUNTIFS(Raw_Volunteers!$A$2:$A$926,Raw_Volunteers!A145,Raw_Volunteers!$D$2:$D$926,Raw_Volunteers!D145,Raw_Volunteers!$E$2:$E$926,Raw_Volunteers!E145,Raw_Volunteers!$G$2:$G$926,Raw_Volunteers!G145)&gt;1,"Possible Duplicate","")</f>
        <v/>
      </c>
      <c r="C145" s="9" t="str">
        <f aca="false">Raw_Volunteers!B145</f>
        <v>D1419</v>
      </c>
      <c r="D145" s="9" t="str">
        <f aca="false">IF(C145="","No","Yes")</f>
        <v>Yes</v>
      </c>
      <c r="E145" s="9" t="str">
        <f aca="false">Raw_Volunteers!C145</f>
        <v>Ashley White</v>
      </c>
      <c r="F145" s="9" t="str">
        <f aca="false">Raw_Volunteers!D145</f>
        <v>10/17/2025</v>
      </c>
      <c r="G145" s="9" t="str">
        <f aca="false">PROPER(TRIM(Raw_Volunteers!E145))</f>
        <v>Event Setup</v>
      </c>
      <c r="H145" s="9" t="str">
        <f aca="false">Raw_Volunteers!F145</f>
        <v>Mobile Unit - Route A</v>
      </c>
      <c r="I145" s="9" t="n">
        <f aca="false">IF(Raw_Volunteers!G145="",ROUND(AVERAGE(Raw_Volunteers!$G$2:$G$926),1),Raw_Volunteers!G145)</f>
        <v>2</v>
      </c>
    </row>
    <row r="146" customFormat="false" ht="15" hidden="false" customHeight="true" outlineLevel="0" collapsed="false">
      <c r="A146" s="9" t="str">
        <f aca="false">Raw_Volunteers!A146</f>
        <v>V2024</v>
      </c>
      <c r="B146" s="9" t="str">
        <f aca="false">IF(COUNTIFS(Raw_Volunteers!$A$2:$A$926,Raw_Volunteers!A146,Raw_Volunteers!$D$2:$D$926,Raw_Volunteers!D146,Raw_Volunteers!$E$2:$E$926,Raw_Volunteers!E146,Raw_Volunteers!$G$2:$G$926,Raw_Volunteers!G146)&gt;1,"Possible Duplicate","")</f>
        <v/>
      </c>
      <c r="C146" s="9" t="str">
        <f aca="false">Raw_Volunteers!B146</f>
        <v>D1504</v>
      </c>
      <c r="D146" s="9" t="str">
        <f aca="false">IF(C146="","No","Yes")</f>
        <v>Yes</v>
      </c>
      <c r="E146" s="9" t="str">
        <f aca="false">Raw_Volunteers!C146</f>
        <v>Emily Williams</v>
      </c>
      <c r="F146" s="9" t="str">
        <f aca="false">Raw_Volunteers!D146</f>
        <v>04/25/2026</v>
      </c>
      <c r="G146" s="9" t="str">
        <f aca="false">PROPER(TRIM(Raw_Volunteers!E146))</f>
        <v>Mobile Distribution Driver</v>
      </c>
      <c r="H146" s="9" t="str">
        <f aca="false">Raw_Volunteers!F146</f>
        <v>Main Warehouse</v>
      </c>
      <c r="I146" s="9" t="n">
        <f aca="false">IF(Raw_Volunteers!G146="",ROUND(AVERAGE(Raw_Volunteers!$G$2:$G$926),1),Raw_Volunteers!G146)</f>
        <v>6</v>
      </c>
    </row>
    <row r="147" customFormat="false" ht="15" hidden="false" customHeight="true" outlineLevel="0" collapsed="false">
      <c r="A147" s="9" t="str">
        <f aca="false">Raw_Volunteers!A147</f>
        <v>V2024</v>
      </c>
      <c r="B147" s="9" t="str">
        <f aca="false">IF(COUNTIFS(Raw_Volunteers!$A$2:$A$926,Raw_Volunteers!A147,Raw_Volunteers!$D$2:$D$926,Raw_Volunteers!D147,Raw_Volunteers!$E$2:$E$926,Raw_Volunteers!E147,Raw_Volunteers!$G$2:$G$926,Raw_Volunteers!G147)&gt;1,"Possible Duplicate","")</f>
        <v/>
      </c>
      <c r="C147" s="9" t="str">
        <f aca="false">Raw_Volunteers!B147</f>
        <v>D1504</v>
      </c>
      <c r="D147" s="9" t="str">
        <f aca="false">IF(C147="","No","Yes")</f>
        <v>Yes</v>
      </c>
      <c r="E147" s="9" t="str">
        <f aca="false">Raw_Volunteers!C147</f>
        <v>Emily Williams</v>
      </c>
      <c r="F147" s="9" t="str">
        <f aca="false">Raw_Volunteers!D147</f>
        <v>02/01/2024</v>
      </c>
      <c r="G147" s="9" t="str">
        <f aca="false">PROPER(TRIM(Raw_Volunteers!E147))</f>
        <v>Front Desk Greeter</v>
      </c>
      <c r="H147" s="9" t="str">
        <f aca="false">Raw_Volunteers!F147</f>
        <v>Main Warehouse</v>
      </c>
      <c r="I147" s="9" t="n">
        <f aca="false">IF(Raw_Volunteers!G147="",ROUND(AVERAGE(Raw_Volunteers!$G$2:$G$926),1),Raw_Volunteers!G147)</f>
        <v>2</v>
      </c>
    </row>
    <row r="148" customFormat="false" ht="15" hidden="false" customHeight="true" outlineLevel="0" collapsed="false">
      <c r="A148" s="9" t="str">
        <f aca="false">Raw_Volunteers!A148</f>
        <v>V2024</v>
      </c>
      <c r="B148" s="9" t="str">
        <f aca="false">IF(COUNTIFS(Raw_Volunteers!$A$2:$A$926,Raw_Volunteers!A148,Raw_Volunteers!$D$2:$D$926,Raw_Volunteers!D148,Raw_Volunteers!$E$2:$E$926,Raw_Volunteers!E148,Raw_Volunteers!$G$2:$G$926,Raw_Volunteers!G148)&gt;1,"Possible Duplicate","")</f>
        <v/>
      </c>
      <c r="C148" s="9" t="str">
        <f aca="false">Raw_Volunteers!B148</f>
        <v>D1504</v>
      </c>
      <c r="D148" s="9" t="str">
        <f aca="false">IF(C148="","No","Yes")</f>
        <v>Yes</v>
      </c>
      <c r="E148" s="9" t="str">
        <f aca="false">Raw_Volunteers!C148</f>
        <v>Emily Williams</v>
      </c>
      <c r="F148" s="9" t="str">
        <f aca="false">Raw_Volunteers!D148</f>
        <v>07/09/2025</v>
      </c>
      <c r="G148" s="9" t="str">
        <f aca="false">PROPER(TRIM(Raw_Volunteers!E148))</f>
        <v>Pantry Stocking</v>
      </c>
      <c r="H148" s="9" t="str">
        <f aca="false">Raw_Volunteers!F148</f>
        <v>Mobile Unit - Route A</v>
      </c>
      <c r="I148" s="9" t="n">
        <f aca="false">IF(Raw_Volunteers!G148="",ROUND(AVERAGE(Raw_Volunteers!$G$2:$G$926),1),Raw_Volunteers!G148)</f>
        <v>2</v>
      </c>
    </row>
    <row r="149" customFormat="false" ht="15" hidden="false" customHeight="true" outlineLevel="0" collapsed="false">
      <c r="A149" s="9" t="str">
        <f aca="false">Raw_Volunteers!A149</f>
        <v>V2024</v>
      </c>
      <c r="B149" s="9" t="str">
        <f aca="false">IF(COUNTIFS(Raw_Volunteers!$A$2:$A$926,Raw_Volunteers!A149,Raw_Volunteers!$D$2:$D$926,Raw_Volunteers!D149,Raw_Volunteers!$E$2:$E$926,Raw_Volunteers!E149,Raw_Volunteers!$G$2:$G$926,Raw_Volunteers!G149)&gt;1,"Possible Duplicate","")</f>
        <v/>
      </c>
      <c r="C149" s="9" t="str">
        <f aca="false">Raw_Volunteers!B149</f>
        <v>D1504</v>
      </c>
      <c r="D149" s="9" t="str">
        <f aca="false">IF(C149="","No","Yes")</f>
        <v>Yes</v>
      </c>
      <c r="E149" s="9" t="str">
        <f aca="false">Raw_Volunteers!C149</f>
        <v>Emily Williams</v>
      </c>
      <c r="F149" s="9" t="str">
        <f aca="false">Raw_Volunteers!D149</f>
        <v>05/18/2024</v>
      </c>
      <c r="G149" s="9" t="str">
        <f aca="false">PROPER(TRIM(Raw_Volunteers!E149))</f>
        <v>Mobile Distribution Driver</v>
      </c>
      <c r="H149" s="9" t="str">
        <f aca="false">Raw_Volunteers!F149</f>
        <v>Mobile Unit - Route A</v>
      </c>
      <c r="I149" s="9" t="n">
        <f aca="false">IF(Raw_Volunteers!G149="",ROUND(AVERAGE(Raw_Volunteers!$G$2:$G$926),1),Raw_Volunteers!G149)</f>
        <v>2</v>
      </c>
    </row>
    <row r="150" customFormat="false" ht="15" hidden="false" customHeight="true" outlineLevel="0" collapsed="false">
      <c r="A150" s="9" t="str">
        <f aca="false">Raw_Volunteers!A150</f>
        <v>V2024</v>
      </c>
      <c r="B150" s="9" t="str">
        <f aca="false">IF(COUNTIFS(Raw_Volunteers!$A$2:$A$926,Raw_Volunteers!A150,Raw_Volunteers!$D$2:$D$926,Raw_Volunteers!D150,Raw_Volunteers!$E$2:$E$926,Raw_Volunteers!E150,Raw_Volunteers!$G$2:$G$926,Raw_Volunteers!G150)&gt;1,"Possible Duplicate","")</f>
        <v/>
      </c>
      <c r="C150" s="9" t="str">
        <f aca="false">Raw_Volunteers!B150</f>
        <v>D1504</v>
      </c>
      <c r="D150" s="9" t="str">
        <f aca="false">IF(C150="","No","Yes")</f>
        <v>Yes</v>
      </c>
      <c r="E150" s="9" t="str">
        <f aca="false">Raw_Volunteers!C150</f>
        <v>Emily Williams</v>
      </c>
      <c r="F150" s="9" t="str">
        <f aca="false">Raw_Volunteers!D150</f>
        <v>09/23/2024</v>
      </c>
      <c r="G150" s="9" t="str">
        <f aca="false">PROPER(TRIM(Raw_Volunteers!E150))</f>
        <v>Event Setup</v>
      </c>
      <c r="H150" s="9" t="str">
        <f aca="false">Raw_Volunteers!F150</f>
        <v>Downtown Pantry</v>
      </c>
      <c r="I150" s="9" t="n">
        <f aca="false">IF(Raw_Volunteers!G150="",ROUND(AVERAGE(Raw_Volunteers!$G$2:$G$926),1),Raw_Volunteers!G150)</f>
        <v>2</v>
      </c>
    </row>
    <row r="151" customFormat="false" ht="15" hidden="false" customHeight="true" outlineLevel="0" collapsed="false">
      <c r="A151" s="9" t="str">
        <f aca="false">Raw_Volunteers!A151</f>
        <v>V2025</v>
      </c>
      <c r="B151" s="9" t="str">
        <f aca="false">IF(COUNTIFS(Raw_Volunteers!$A$2:$A$926,Raw_Volunteers!A151,Raw_Volunteers!$D$2:$D$926,Raw_Volunteers!D151,Raw_Volunteers!$E$2:$E$926,Raw_Volunteers!E151,Raw_Volunteers!$G$2:$G$926,Raw_Volunteers!G151)&gt;1,"Possible Duplicate","")</f>
        <v/>
      </c>
      <c r="C151" s="9" t="str">
        <f aca="false">Raw_Volunteers!B151</f>
        <v>D1342</v>
      </c>
      <c r="D151" s="9" t="str">
        <f aca="false">IF(C151="","No","Yes")</f>
        <v>Yes</v>
      </c>
      <c r="E151" s="9" t="str">
        <f aca="false">Raw_Volunteers!C151</f>
        <v>George Anderson</v>
      </c>
      <c r="F151" s="9" t="str">
        <f aca="false">Raw_Volunteers!D151</f>
        <v>08/09/2024</v>
      </c>
      <c r="G151" s="9" t="str">
        <f aca="false">PROPER(TRIM(Raw_Volunteers!E151))</f>
        <v>Event Setup</v>
      </c>
      <c r="H151" s="9" t="str">
        <f aca="false">Raw_Volunteers!F151</f>
        <v>Mobile Unit - Route A</v>
      </c>
      <c r="I151" s="9" t="n">
        <f aca="false">IF(Raw_Volunteers!G151="",ROUND(AVERAGE(Raw_Volunteers!$G$2:$G$926),1),Raw_Volunteers!G151)</f>
        <v>2</v>
      </c>
    </row>
    <row r="152" customFormat="false" ht="15" hidden="false" customHeight="true" outlineLevel="0" collapsed="false">
      <c r="A152" s="9" t="str">
        <f aca="false">Raw_Volunteers!A152</f>
        <v>V2025</v>
      </c>
      <c r="B152" s="9" t="str">
        <f aca="false">IF(COUNTIFS(Raw_Volunteers!$A$2:$A$926,Raw_Volunteers!A152,Raw_Volunteers!$D$2:$D$926,Raw_Volunteers!D152,Raw_Volunteers!$E$2:$E$926,Raw_Volunteers!E152,Raw_Volunteers!$G$2:$G$926,Raw_Volunteers!G152)&gt;1,"Possible Duplicate","")</f>
        <v/>
      </c>
      <c r="C152" s="9" t="str">
        <f aca="false">Raw_Volunteers!B152</f>
        <v>D1342</v>
      </c>
      <c r="D152" s="9" t="str">
        <f aca="false">IF(C152="","No","Yes")</f>
        <v>Yes</v>
      </c>
      <c r="E152" s="9" t="str">
        <f aca="false">Raw_Volunteers!C152</f>
        <v>George Anderson</v>
      </c>
      <c r="F152" s="9" t="str">
        <f aca="false">Raw_Volunteers!D152</f>
        <v>02/14/2024</v>
      </c>
      <c r="G152" s="9" t="str">
        <f aca="false">PROPER(TRIM(Raw_Volunteers!E152))</f>
        <v>Food Sorting</v>
      </c>
      <c r="H152" s="9" t="str">
        <f aca="false">Raw_Volunteers!F152</f>
        <v>Main Warehouse</v>
      </c>
      <c r="I152" s="9" t="n">
        <f aca="false">IF(Raw_Volunteers!G152="",ROUND(AVERAGE(Raw_Volunteers!$G$2:$G$926),1),Raw_Volunteers!G152)</f>
        <v>3</v>
      </c>
    </row>
    <row r="153" customFormat="false" ht="15" hidden="false" customHeight="true" outlineLevel="0" collapsed="false">
      <c r="A153" s="9" t="str">
        <f aca="false">Raw_Volunteers!A153</f>
        <v>V2025</v>
      </c>
      <c r="B153" s="9" t="str">
        <f aca="false">IF(COUNTIFS(Raw_Volunteers!$A$2:$A$926,Raw_Volunteers!A153,Raw_Volunteers!$D$2:$D$926,Raw_Volunteers!D153,Raw_Volunteers!$E$2:$E$926,Raw_Volunteers!E153,Raw_Volunteers!$G$2:$G$926,Raw_Volunteers!G153)&gt;1,"Possible Duplicate","")</f>
        <v/>
      </c>
      <c r="C153" s="9" t="str">
        <f aca="false">Raw_Volunteers!B153</f>
        <v>D1342</v>
      </c>
      <c r="D153" s="9" t="str">
        <f aca="false">IF(C153="","No","Yes")</f>
        <v>Yes</v>
      </c>
      <c r="E153" s="9" t="str">
        <f aca="false">Raw_Volunteers!C153</f>
        <v>George Anderson</v>
      </c>
      <c r="F153" s="9" t="str">
        <f aca="false">Raw_Volunteers!D153</f>
        <v>06/27/2025</v>
      </c>
      <c r="G153" s="9" t="str">
        <f aca="false">PROPER(TRIM(Raw_Volunteers!E153))</f>
        <v>Pantry Stocking</v>
      </c>
      <c r="H153" s="9" t="str">
        <f aca="false">Raw_Volunteers!F153</f>
        <v>Mobile Unit - Route A</v>
      </c>
      <c r="I153" s="9" t="n">
        <f aca="false">IF(Raw_Volunteers!G153="",ROUND(AVERAGE(Raw_Volunteers!$G$2:$G$926),1),Raw_Volunteers!G153)</f>
        <v>2</v>
      </c>
    </row>
    <row r="154" customFormat="false" ht="15" hidden="false" customHeight="true" outlineLevel="0" collapsed="false">
      <c r="A154" s="9" t="str">
        <f aca="false">Raw_Volunteers!A154</f>
        <v>V2025</v>
      </c>
      <c r="B154" s="9" t="str">
        <f aca="false">IF(COUNTIFS(Raw_Volunteers!$A$2:$A$926,Raw_Volunteers!A154,Raw_Volunteers!$D$2:$D$926,Raw_Volunteers!D154,Raw_Volunteers!$E$2:$E$926,Raw_Volunteers!E154,Raw_Volunteers!$G$2:$G$926,Raw_Volunteers!G154)&gt;1,"Possible Duplicate","")</f>
        <v/>
      </c>
      <c r="C154" s="9" t="str">
        <f aca="false">Raw_Volunteers!B154</f>
        <v>D1342</v>
      </c>
      <c r="D154" s="9" t="str">
        <f aca="false">IF(C154="","No","Yes")</f>
        <v>Yes</v>
      </c>
      <c r="E154" s="9" t="str">
        <f aca="false">Raw_Volunteers!C154</f>
        <v>George Anderson</v>
      </c>
      <c r="F154" s="9" t="str">
        <f aca="false">Raw_Volunteers!D154</f>
        <v>07/23/2025</v>
      </c>
      <c r="G154" s="9" t="str">
        <f aca="false">PROPER(TRIM(Raw_Volunteers!E154))</f>
        <v>Front Desk Greeter</v>
      </c>
      <c r="H154" s="9" t="str">
        <f aca="false">Raw_Volunteers!F154</f>
        <v>Mobile Unit - Route A</v>
      </c>
      <c r="I154" s="9" t="n">
        <f aca="false">IF(Raw_Volunteers!G154="",ROUND(AVERAGE(Raw_Volunteers!$G$2:$G$926),1),Raw_Volunteers!G154)</f>
        <v>2</v>
      </c>
    </row>
    <row r="155" customFormat="false" ht="15" hidden="false" customHeight="true" outlineLevel="0" collapsed="false">
      <c r="A155" s="9" t="str">
        <f aca="false">Raw_Volunteers!A155</f>
        <v>V2025</v>
      </c>
      <c r="B155" s="9" t="str">
        <f aca="false">IF(COUNTIFS(Raw_Volunteers!$A$2:$A$926,Raw_Volunteers!A155,Raw_Volunteers!$D$2:$D$926,Raw_Volunteers!D155,Raw_Volunteers!$E$2:$E$926,Raw_Volunteers!E155,Raw_Volunteers!$G$2:$G$926,Raw_Volunteers!G155)&gt;1,"Possible Duplicate","")</f>
        <v/>
      </c>
      <c r="C155" s="9" t="str">
        <f aca="false">Raw_Volunteers!B155</f>
        <v>D1342</v>
      </c>
      <c r="D155" s="9" t="str">
        <f aca="false">IF(C155="","No","Yes")</f>
        <v>Yes</v>
      </c>
      <c r="E155" s="9" t="str">
        <f aca="false">Raw_Volunteers!C155</f>
        <v>George Anderson</v>
      </c>
      <c r="F155" s="9" t="str">
        <f aca="false">Raw_Volunteers!D155</f>
        <v>10/01/2025</v>
      </c>
      <c r="G155" s="9" t="str">
        <f aca="false">PROPER(TRIM(Raw_Volunteers!E155))</f>
        <v>Mobile Distribution Driver</v>
      </c>
      <c r="H155" s="9" t="str">
        <f aca="false">Raw_Volunteers!F155</f>
        <v>Main Warehouse</v>
      </c>
      <c r="I155" s="9" t="n">
        <f aca="false">IF(Raw_Volunteers!G155="",ROUND(AVERAGE(Raw_Volunteers!$G$2:$G$926),1),Raw_Volunteers!G155)</f>
        <v>3</v>
      </c>
    </row>
    <row r="156" customFormat="false" ht="15" hidden="false" customHeight="true" outlineLevel="0" collapsed="false">
      <c r="A156" s="9" t="str">
        <f aca="false">Raw_Volunteers!A156</f>
        <v>V2025</v>
      </c>
      <c r="B156" s="9" t="str">
        <f aca="false">IF(COUNTIFS(Raw_Volunteers!$A$2:$A$926,Raw_Volunteers!A156,Raw_Volunteers!$D$2:$D$926,Raw_Volunteers!D156,Raw_Volunteers!$E$2:$E$926,Raw_Volunteers!E156,Raw_Volunteers!$G$2:$G$926,Raw_Volunteers!G156)&gt;1,"Possible Duplicate","")</f>
        <v/>
      </c>
      <c r="C156" s="9" t="str">
        <f aca="false">Raw_Volunteers!B156</f>
        <v>D1342</v>
      </c>
      <c r="D156" s="9" t="str">
        <f aca="false">IF(C156="","No","Yes")</f>
        <v>Yes</v>
      </c>
      <c r="E156" s="9" t="str">
        <f aca="false">Raw_Volunteers!C156</f>
        <v>George Anderson</v>
      </c>
      <c r="F156" s="9" t="str">
        <f aca="false">Raw_Volunteers!D156</f>
        <v>02/19/2024</v>
      </c>
      <c r="G156" s="9" t="str">
        <f aca="false">PROPER(TRIM(Raw_Volunteers!E156))</f>
        <v>Warehouse Loading</v>
      </c>
      <c r="H156" s="9" t="str">
        <f aca="false">Raw_Volunteers!F156</f>
        <v>Main Warehouse</v>
      </c>
      <c r="I156" s="9" t="n">
        <f aca="false">IF(Raw_Volunteers!G156="",ROUND(AVERAGE(Raw_Volunteers!$G$2:$G$926),1),Raw_Volunteers!G156)</f>
        <v>2</v>
      </c>
    </row>
    <row r="157" customFormat="false" ht="15" hidden="false" customHeight="true" outlineLevel="0" collapsed="false">
      <c r="A157" s="9" t="str">
        <f aca="false">Raw_Volunteers!A157</f>
        <v>V2026</v>
      </c>
      <c r="B157" s="9" t="str">
        <f aca="false">IF(COUNTIFS(Raw_Volunteers!$A$2:$A$926,Raw_Volunteers!A157,Raw_Volunteers!$D$2:$D$926,Raw_Volunteers!D157,Raw_Volunteers!$E$2:$E$926,Raw_Volunteers!E157,Raw_Volunteers!$G$2:$G$926,Raw_Volunteers!G157)&gt;1,"Possible Duplicate","")</f>
        <v/>
      </c>
      <c r="C157" s="9" t="str">
        <f aca="false">Raw_Volunteers!B157</f>
        <v>D1430</v>
      </c>
      <c r="D157" s="9" t="str">
        <f aca="false">IF(C157="","No","Yes")</f>
        <v>Yes</v>
      </c>
      <c r="E157" s="9" t="str">
        <f aca="false">Raw_Volunteers!C157</f>
        <v>Edward Rodriguez</v>
      </c>
      <c r="F157" s="9" t="str">
        <f aca="false">Raw_Volunteers!D157</f>
        <v>10/19/2024</v>
      </c>
      <c r="G157" s="9" t="str">
        <f aca="false">PROPER(TRIM(Raw_Volunteers!E157))</f>
        <v>Client Intake Assistant</v>
      </c>
      <c r="H157" s="9" t="str">
        <f aca="false">Raw_Volunteers!F157</f>
        <v>Main Warehouse</v>
      </c>
      <c r="I157" s="9" t="n">
        <f aca="false">IF(Raw_Volunteers!G157="",ROUND(AVERAGE(Raw_Volunteers!$G$2:$G$926),1),Raw_Volunteers!G157)</f>
        <v>4</v>
      </c>
    </row>
    <row r="158" customFormat="false" ht="15" hidden="false" customHeight="true" outlineLevel="0" collapsed="false">
      <c r="A158" s="9" t="str">
        <f aca="false">Raw_Volunteers!A158</f>
        <v>V2026</v>
      </c>
      <c r="B158" s="9" t="str">
        <f aca="false">IF(COUNTIFS(Raw_Volunteers!$A$2:$A$926,Raw_Volunteers!A158,Raw_Volunteers!$D$2:$D$926,Raw_Volunteers!D158,Raw_Volunteers!$E$2:$E$926,Raw_Volunteers!E158,Raw_Volunteers!$G$2:$G$926,Raw_Volunteers!G158)&gt;1,"Possible Duplicate","")</f>
        <v/>
      </c>
      <c r="C158" s="9" t="str">
        <f aca="false">Raw_Volunteers!B158</f>
        <v>D1430</v>
      </c>
      <c r="D158" s="9" t="str">
        <f aca="false">IF(C158="","No","Yes")</f>
        <v>Yes</v>
      </c>
      <c r="E158" s="9" t="str">
        <f aca="false">Raw_Volunteers!C158</f>
        <v>Edward Rodriguez</v>
      </c>
      <c r="F158" s="9" t="str">
        <f aca="false">Raw_Volunteers!D158</f>
        <v>03/21/2026</v>
      </c>
      <c r="G158" s="9" t="str">
        <f aca="false">PROPER(TRIM(Raw_Volunteers!E158))</f>
        <v>Client Intake Assistant</v>
      </c>
      <c r="H158" s="9" t="str">
        <f aca="false">Raw_Volunteers!F158</f>
        <v>Community Center Site</v>
      </c>
      <c r="I158" s="9" t="n">
        <f aca="false">IF(Raw_Volunteers!G158="",ROUND(AVERAGE(Raw_Volunteers!$G$2:$G$926),1),Raw_Volunteers!G158)</f>
        <v>2</v>
      </c>
    </row>
    <row r="159" customFormat="false" ht="15" hidden="false" customHeight="true" outlineLevel="0" collapsed="false">
      <c r="A159" s="9" t="str">
        <f aca="false">Raw_Volunteers!A159</f>
        <v>V2026</v>
      </c>
      <c r="B159" s="9" t="str">
        <f aca="false">IF(COUNTIFS(Raw_Volunteers!$A$2:$A$926,Raw_Volunteers!A159,Raw_Volunteers!$D$2:$D$926,Raw_Volunteers!D159,Raw_Volunteers!$E$2:$E$926,Raw_Volunteers!E159,Raw_Volunteers!$G$2:$G$926,Raw_Volunteers!G159)&gt;1,"Possible Duplicate","")</f>
        <v/>
      </c>
      <c r="C159" s="9" t="str">
        <f aca="false">Raw_Volunteers!B159</f>
        <v>D1430</v>
      </c>
      <c r="D159" s="9" t="str">
        <f aca="false">IF(C159="","No","Yes")</f>
        <v>Yes</v>
      </c>
      <c r="E159" s="9" t="str">
        <f aca="false">Raw_Volunteers!C159</f>
        <v>Edward Rodriguez</v>
      </c>
      <c r="F159" s="9" t="str">
        <f aca="false">Raw_Volunteers!D159</f>
        <v>11/28/2024</v>
      </c>
      <c r="G159" s="9" t="str">
        <f aca="false">PROPER(TRIM(Raw_Volunteers!E159))</f>
        <v>Event Setup</v>
      </c>
      <c r="H159" s="9" t="str">
        <f aca="false">Raw_Volunteers!F159</f>
        <v>Downtown Pantry</v>
      </c>
      <c r="I159" s="9" t="n">
        <f aca="false">IF(Raw_Volunteers!G159="",ROUND(AVERAGE(Raw_Volunteers!$G$2:$G$926),1),Raw_Volunteers!G159)</f>
        <v>4</v>
      </c>
    </row>
    <row r="160" customFormat="false" ht="15" hidden="false" customHeight="true" outlineLevel="0" collapsed="false">
      <c r="A160" s="9" t="str">
        <f aca="false">Raw_Volunteers!A160</f>
        <v>V2026</v>
      </c>
      <c r="B160" s="9" t="str">
        <f aca="false">IF(COUNTIFS(Raw_Volunteers!$A$2:$A$926,Raw_Volunteers!A160,Raw_Volunteers!$D$2:$D$926,Raw_Volunteers!D160,Raw_Volunteers!$E$2:$E$926,Raw_Volunteers!E160,Raw_Volunteers!$G$2:$G$926,Raw_Volunteers!G160)&gt;1,"Possible Duplicate","")</f>
        <v/>
      </c>
      <c r="C160" s="9" t="str">
        <f aca="false">Raw_Volunteers!B160</f>
        <v>D1430</v>
      </c>
      <c r="D160" s="9" t="str">
        <f aca="false">IF(C160="","No","Yes")</f>
        <v>Yes</v>
      </c>
      <c r="E160" s="9" t="str">
        <f aca="false">Raw_Volunteers!C160</f>
        <v>Edward Rodriguez</v>
      </c>
      <c r="F160" s="9" t="str">
        <f aca="false">Raw_Volunteers!D160</f>
        <v>04/05/2025</v>
      </c>
      <c r="G160" s="9" t="str">
        <f aca="false">PROPER(TRIM(Raw_Volunteers!E160))</f>
        <v>Warehouse Loading</v>
      </c>
      <c r="H160" s="9" t="str">
        <f aca="false">Raw_Volunteers!F160</f>
        <v>Mobile Unit - Route A</v>
      </c>
      <c r="I160" s="9" t="n">
        <f aca="false">IF(Raw_Volunteers!G160="",ROUND(AVERAGE(Raw_Volunteers!$G$2:$G$926),1),Raw_Volunteers!G160)</f>
        <v>2</v>
      </c>
    </row>
    <row r="161" customFormat="false" ht="15" hidden="false" customHeight="true" outlineLevel="0" collapsed="false">
      <c r="A161" s="9" t="str">
        <f aca="false">Raw_Volunteers!A161</f>
        <v>V2026</v>
      </c>
      <c r="B161" s="9" t="str">
        <f aca="false">IF(COUNTIFS(Raw_Volunteers!$A$2:$A$926,Raw_Volunteers!A161,Raw_Volunteers!$D$2:$D$926,Raw_Volunteers!D161,Raw_Volunteers!$E$2:$E$926,Raw_Volunteers!E161,Raw_Volunteers!$G$2:$G$926,Raw_Volunteers!G161)&gt;1,"Possible Duplicate","")</f>
        <v/>
      </c>
      <c r="C161" s="9" t="str">
        <f aca="false">Raw_Volunteers!B161</f>
        <v>D1430</v>
      </c>
      <c r="D161" s="9" t="str">
        <f aca="false">IF(C161="","No","Yes")</f>
        <v>Yes</v>
      </c>
      <c r="E161" s="9" t="str">
        <f aca="false">Raw_Volunteers!C161</f>
        <v>Edward Rodriguez</v>
      </c>
      <c r="F161" s="9" t="str">
        <f aca="false">Raw_Volunteers!D161</f>
        <v>03/21/2024</v>
      </c>
      <c r="G161" s="9" t="str">
        <f aca="false">PROPER(TRIM(Raw_Volunteers!E161))</f>
        <v>Front Desk Greeter</v>
      </c>
      <c r="H161" s="9" t="str">
        <f aca="false">Raw_Volunteers!F161</f>
        <v>Community Center Site</v>
      </c>
      <c r="I161" s="9" t="n">
        <f aca="false">IF(Raw_Volunteers!G161="",ROUND(AVERAGE(Raw_Volunteers!$G$2:$G$926),1),Raw_Volunteers!G161)</f>
        <v>3</v>
      </c>
    </row>
    <row r="162" customFormat="false" ht="15" hidden="false" customHeight="true" outlineLevel="0" collapsed="false">
      <c r="A162" s="9" t="str">
        <f aca="false">Raw_Volunteers!A162</f>
        <v>V2026</v>
      </c>
      <c r="B162" s="9" t="str">
        <f aca="false">IF(COUNTIFS(Raw_Volunteers!$A$2:$A$926,Raw_Volunteers!A162,Raw_Volunteers!$D$2:$D$926,Raw_Volunteers!D162,Raw_Volunteers!$E$2:$E$926,Raw_Volunteers!E162,Raw_Volunteers!$G$2:$G$926,Raw_Volunteers!G162)&gt;1,"Possible Duplicate","")</f>
        <v/>
      </c>
      <c r="C162" s="9" t="str">
        <f aca="false">Raw_Volunteers!B162</f>
        <v>D1430</v>
      </c>
      <c r="D162" s="9" t="str">
        <f aca="false">IF(C162="","No","Yes")</f>
        <v>Yes</v>
      </c>
      <c r="E162" s="9" t="str">
        <f aca="false">Raw_Volunteers!C162</f>
        <v>Edward Rodriguez</v>
      </c>
      <c r="F162" s="9" t="str">
        <f aca="false">Raw_Volunteers!D162</f>
        <v>02/24/2026</v>
      </c>
      <c r="G162" s="9" t="str">
        <f aca="false">PROPER(TRIM(Raw_Volunteers!E162))</f>
        <v>Front Desk Greeter</v>
      </c>
      <c r="H162" s="9" t="str">
        <f aca="false">Raw_Volunteers!F162</f>
        <v>Main Warehouse</v>
      </c>
      <c r="I162" s="9" t="n">
        <f aca="false">IF(Raw_Volunteers!G162="",ROUND(AVERAGE(Raw_Volunteers!$G$2:$G$926),1),Raw_Volunteers!G162)</f>
        <v>2</v>
      </c>
    </row>
    <row r="163" customFormat="false" ht="15" hidden="false" customHeight="true" outlineLevel="0" collapsed="false">
      <c r="A163" s="9" t="str">
        <f aca="false">Raw_Volunteers!A163</f>
        <v>V2026</v>
      </c>
      <c r="B163" s="9" t="str">
        <f aca="false">IF(COUNTIFS(Raw_Volunteers!$A$2:$A$926,Raw_Volunteers!A163,Raw_Volunteers!$D$2:$D$926,Raw_Volunteers!D163,Raw_Volunteers!$E$2:$E$926,Raw_Volunteers!E163,Raw_Volunteers!$G$2:$G$926,Raw_Volunteers!G163)&gt;1,"Possible Duplicate","")</f>
        <v/>
      </c>
      <c r="C163" s="9" t="str">
        <f aca="false">Raw_Volunteers!B163</f>
        <v>D1430</v>
      </c>
      <c r="D163" s="9" t="str">
        <f aca="false">IF(C163="","No","Yes")</f>
        <v>Yes</v>
      </c>
      <c r="E163" s="9" t="str">
        <f aca="false">Raw_Volunteers!C163</f>
        <v>Edward Rodriguez</v>
      </c>
      <c r="F163" s="9" t="str">
        <f aca="false">Raw_Volunteers!D163</f>
        <v>12/23/2025</v>
      </c>
      <c r="G163" s="9" t="str">
        <f aca="false">PROPER(TRIM(Raw_Volunteers!E163))</f>
        <v>Pantry Stocking</v>
      </c>
      <c r="H163" s="9" t="str">
        <f aca="false">Raw_Volunteers!F163</f>
        <v>Mobile Unit - Route B</v>
      </c>
      <c r="I163" s="9" t="n">
        <f aca="false">IF(Raw_Volunteers!G163="",ROUND(AVERAGE(Raw_Volunteers!$G$2:$G$926),1),Raw_Volunteers!G163)</f>
        <v>2</v>
      </c>
    </row>
    <row r="164" customFormat="false" ht="15" hidden="false" customHeight="true" outlineLevel="0" collapsed="false">
      <c r="A164" s="9" t="str">
        <f aca="false">Raw_Volunteers!A164</f>
        <v>V2026</v>
      </c>
      <c r="B164" s="9" t="str">
        <f aca="false">IF(COUNTIFS(Raw_Volunteers!$A$2:$A$926,Raw_Volunteers!A164,Raw_Volunteers!$D$2:$D$926,Raw_Volunteers!D164,Raw_Volunteers!$E$2:$E$926,Raw_Volunteers!E164,Raw_Volunteers!$G$2:$G$926,Raw_Volunteers!G164)&gt;1,"Possible Duplicate","")</f>
        <v/>
      </c>
      <c r="C164" s="9" t="str">
        <f aca="false">Raw_Volunteers!B164</f>
        <v>D1430</v>
      </c>
      <c r="D164" s="9" t="str">
        <f aca="false">IF(C164="","No","Yes")</f>
        <v>Yes</v>
      </c>
      <c r="E164" s="9" t="str">
        <f aca="false">Raw_Volunteers!C164</f>
        <v>Edward Rodriguez</v>
      </c>
      <c r="F164" s="9" t="str">
        <f aca="false">Raw_Volunteers!D164</f>
        <v>02/10/2026</v>
      </c>
      <c r="G164" s="9" t="str">
        <f aca="false">PROPER(TRIM(Raw_Volunteers!E164))</f>
        <v>Pantry Stocking</v>
      </c>
      <c r="H164" s="9" t="str">
        <f aca="false">Raw_Volunteers!F164</f>
        <v>Downtown Pantry</v>
      </c>
      <c r="I164" s="9" t="n">
        <f aca="false">IF(Raw_Volunteers!G164="",ROUND(AVERAGE(Raw_Volunteers!$G$2:$G$926),1),Raw_Volunteers!G164)</f>
        <v>3</v>
      </c>
    </row>
    <row r="165" customFormat="false" ht="15" hidden="false" customHeight="true" outlineLevel="0" collapsed="false">
      <c r="A165" s="9" t="str">
        <f aca="false">Raw_Volunteers!A165</f>
        <v>V2026</v>
      </c>
      <c r="B165" s="9" t="str">
        <f aca="false">IF(COUNTIFS(Raw_Volunteers!$A$2:$A$926,Raw_Volunteers!A165,Raw_Volunteers!$D$2:$D$926,Raw_Volunteers!D165,Raw_Volunteers!$E$2:$E$926,Raw_Volunteers!E165,Raw_Volunteers!$G$2:$G$926,Raw_Volunteers!G165)&gt;1,"Possible Duplicate","")</f>
        <v/>
      </c>
      <c r="C165" s="9" t="str">
        <f aca="false">Raw_Volunteers!B165</f>
        <v>D1430</v>
      </c>
      <c r="D165" s="9" t="str">
        <f aca="false">IF(C165="","No","Yes")</f>
        <v>Yes</v>
      </c>
      <c r="E165" s="9" t="str">
        <f aca="false">Raw_Volunteers!C165</f>
        <v>Edward Rodriguez</v>
      </c>
      <c r="F165" s="9" t="str">
        <f aca="false">Raw_Volunteers!D165</f>
        <v>05/01/2026</v>
      </c>
      <c r="G165" s="9" t="str">
        <f aca="false">PROPER(TRIM(Raw_Volunteers!E165))</f>
        <v>Event Setup</v>
      </c>
      <c r="H165" s="9" t="str">
        <f aca="false">Raw_Volunteers!F165</f>
        <v>Community Center Site</v>
      </c>
      <c r="I165" s="9" t="n">
        <f aca="false">IF(Raw_Volunteers!G165="",ROUND(AVERAGE(Raw_Volunteers!$G$2:$G$926),1),Raw_Volunteers!G165)</f>
        <v>2</v>
      </c>
    </row>
    <row r="166" customFormat="false" ht="15" hidden="false" customHeight="true" outlineLevel="0" collapsed="false">
      <c r="A166" s="9" t="str">
        <f aca="false">Raw_Volunteers!A166</f>
        <v>V2026</v>
      </c>
      <c r="B166" s="9" t="str">
        <f aca="false">IF(COUNTIFS(Raw_Volunteers!$A$2:$A$926,Raw_Volunteers!A166,Raw_Volunteers!$D$2:$D$926,Raw_Volunteers!D166,Raw_Volunteers!$E$2:$E$926,Raw_Volunteers!E166,Raw_Volunteers!$G$2:$G$926,Raw_Volunteers!G166)&gt;1,"Possible Duplicate","")</f>
        <v/>
      </c>
      <c r="C166" s="9" t="str">
        <f aca="false">Raw_Volunteers!B166</f>
        <v>D1430</v>
      </c>
      <c r="D166" s="9" t="str">
        <f aca="false">IF(C166="","No","Yes")</f>
        <v>Yes</v>
      </c>
      <c r="E166" s="9" t="str">
        <f aca="false">Raw_Volunteers!C166</f>
        <v>Edward Rodriguez</v>
      </c>
      <c r="F166" s="9" t="str">
        <f aca="false">Raw_Volunteers!D166</f>
        <v>02/06/2024</v>
      </c>
      <c r="G166" s="9" t="str">
        <f aca="false">PROPER(TRIM(Raw_Volunteers!E166))</f>
        <v>Front Desk Greeter</v>
      </c>
      <c r="H166" s="9" t="str">
        <f aca="false">Raw_Volunteers!F166</f>
        <v>Mobile Unit - Route B</v>
      </c>
      <c r="I166" s="9" t="n">
        <f aca="false">IF(Raw_Volunteers!G166="",ROUND(AVERAGE(Raw_Volunteers!$G$2:$G$926),1),Raw_Volunteers!G166)</f>
        <v>4</v>
      </c>
    </row>
    <row r="167" customFormat="false" ht="15" hidden="false" customHeight="true" outlineLevel="0" collapsed="false">
      <c r="A167" s="9" t="str">
        <f aca="false">Raw_Volunteers!A167</f>
        <v>V2026</v>
      </c>
      <c r="B167" s="9" t="str">
        <f aca="false">IF(COUNTIFS(Raw_Volunteers!$A$2:$A$926,Raw_Volunteers!A167,Raw_Volunteers!$D$2:$D$926,Raw_Volunteers!D167,Raw_Volunteers!$E$2:$E$926,Raw_Volunteers!E167,Raw_Volunteers!$G$2:$G$926,Raw_Volunteers!G167)&gt;1,"Possible Duplicate","")</f>
        <v/>
      </c>
      <c r="C167" s="9" t="str">
        <f aca="false">Raw_Volunteers!B167</f>
        <v>D1430</v>
      </c>
      <c r="D167" s="9" t="str">
        <f aca="false">IF(C167="","No","Yes")</f>
        <v>Yes</v>
      </c>
      <c r="E167" s="9" t="str">
        <f aca="false">Raw_Volunteers!C167</f>
        <v>Edward Rodriguez</v>
      </c>
      <c r="F167" s="9" t="str">
        <f aca="false">Raw_Volunteers!D167</f>
        <v>05/16/2026</v>
      </c>
      <c r="G167" s="9" t="str">
        <f aca="false">PROPER(TRIM(Raw_Volunteers!E167))</f>
        <v>Client Intake Assistant</v>
      </c>
      <c r="H167" s="9" t="str">
        <f aca="false">Raw_Volunteers!F167</f>
        <v>Community Center Site</v>
      </c>
      <c r="I167" s="9" t="n">
        <f aca="false">IF(Raw_Volunteers!G167="",ROUND(AVERAGE(Raw_Volunteers!$G$2:$G$926),1),Raw_Volunteers!G167)</f>
        <v>2</v>
      </c>
    </row>
    <row r="168" customFormat="false" ht="15" hidden="false" customHeight="true" outlineLevel="0" collapsed="false">
      <c r="A168" s="9" t="str">
        <f aca="false">Raw_Volunteers!A168</f>
        <v>V2026</v>
      </c>
      <c r="B168" s="9" t="str">
        <f aca="false">IF(COUNTIFS(Raw_Volunteers!$A$2:$A$926,Raw_Volunteers!A168,Raw_Volunteers!$D$2:$D$926,Raw_Volunteers!D168,Raw_Volunteers!$E$2:$E$926,Raw_Volunteers!E168,Raw_Volunteers!$G$2:$G$926,Raw_Volunteers!G168)&gt;1,"Possible Duplicate","")</f>
        <v/>
      </c>
      <c r="C168" s="9" t="str">
        <f aca="false">Raw_Volunteers!B168</f>
        <v>D1430</v>
      </c>
      <c r="D168" s="9" t="str">
        <f aca="false">IF(C168="","No","Yes")</f>
        <v>Yes</v>
      </c>
      <c r="E168" s="9" t="str">
        <f aca="false">Raw_Volunteers!C168</f>
        <v>Edward Rodriguez</v>
      </c>
      <c r="F168" s="9" t="str">
        <f aca="false">Raw_Volunteers!D168</f>
        <v>05/11/2024</v>
      </c>
      <c r="G168" s="9" t="str">
        <f aca="false">PROPER(TRIM(Raw_Volunteers!E168))</f>
        <v>Warehouse Loading</v>
      </c>
      <c r="H168" s="9" t="str">
        <f aca="false">Raw_Volunteers!F168</f>
        <v>Downtown Pantry</v>
      </c>
      <c r="I168" s="9" t="n">
        <f aca="false">IF(Raw_Volunteers!G168="",ROUND(AVERAGE(Raw_Volunteers!$G$2:$G$926),1),Raw_Volunteers!G168)</f>
        <v>2</v>
      </c>
    </row>
    <row r="169" customFormat="false" ht="15" hidden="false" customHeight="true" outlineLevel="0" collapsed="false">
      <c r="A169" s="9" t="str">
        <f aca="false">Raw_Volunteers!A169</f>
        <v>V2027</v>
      </c>
      <c r="B169" s="9" t="str">
        <f aca="false">IF(COUNTIFS(Raw_Volunteers!$A$2:$A$926,Raw_Volunteers!A169,Raw_Volunteers!$D$2:$D$926,Raw_Volunteers!D169,Raw_Volunteers!$E$2:$E$926,Raw_Volunteers!E169,Raw_Volunteers!$G$2:$G$926,Raw_Volunteers!G169)&gt;1,"Possible Duplicate","")</f>
        <v/>
      </c>
      <c r="C169" s="9" t="str">
        <f aca="false">Raw_Volunteers!B169</f>
        <v>D1232-DUP</v>
      </c>
      <c r="D169" s="9" t="str">
        <f aca="false">IF(C169="","No","Yes")</f>
        <v>Yes</v>
      </c>
      <c r="E169" s="9" t="str">
        <f aca="false">Raw_Volunteers!C169</f>
        <v>Kimberly Walker</v>
      </c>
      <c r="F169" s="9" t="str">
        <f aca="false">Raw_Volunteers!D169</f>
        <v>01/26/2024</v>
      </c>
      <c r="G169" s="9" t="str">
        <f aca="false">PROPER(TRIM(Raw_Volunteers!E169))</f>
        <v>Client Intake Assistant</v>
      </c>
      <c r="H169" s="9" t="str">
        <f aca="false">Raw_Volunteers!F169</f>
        <v>Downtown Pantry</v>
      </c>
      <c r="I169" s="9" t="n">
        <f aca="false">IF(Raw_Volunteers!G169="",ROUND(AVERAGE(Raw_Volunteers!$G$2:$G$926),1),Raw_Volunteers!G169)</f>
        <v>4</v>
      </c>
    </row>
    <row r="170" customFormat="false" ht="15" hidden="false" customHeight="true" outlineLevel="0" collapsed="false">
      <c r="A170" s="9" t="str">
        <f aca="false">Raw_Volunteers!A170</f>
        <v>V2028</v>
      </c>
      <c r="B170" s="9" t="str">
        <f aca="false">IF(COUNTIFS(Raw_Volunteers!$A$2:$A$926,Raw_Volunteers!A170,Raw_Volunteers!$D$2:$D$926,Raw_Volunteers!D170,Raw_Volunteers!$E$2:$E$926,Raw_Volunteers!E170,Raw_Volunteers!$G$2:$G$926,Raw_Volunteers!G170)&gt;1,"Possible Duplicate","")</f>
        <v/>
      </c>
      <c r="C170" s="9" t="str">
        <f aca="false">Raw_Volunteers!B170</f>
        <v>D1257</v>
      </c>
      <c r="D170" s="9" t="str">
        <f aca="false">IF(C170="","No","Yes")</f>
        <v>Yes</v>
      </c>
      <c r="E170" s="9" t="str">
        <f aca="false">Raw_Volunteers!C170</f>
        <v>Linda Harris</v>
      </c>
      <c r="F170" s="9" t="str">
        <f aca="false">Raw_Volunteers!D170</f>
        <v>03/15/2024</v>
      </c>
      <c r="G170" s="9" t="str">
        <f aca="false">PROPER(TRIM(Raw_Volunteers!E170))</f>
        <v>Holiday Box Packing</v>
      </c>
      <c r="H170" s="9" t="str">
        <f aca="false">Raw_Volunteers!F170</f>
        <v>Mobile Unit - Route A</v>
      </c>
      <c r="I170" s="9" t="n">
        <f aca="false">IF(Raw_Volunteers!G170="",ROUND(AVERAGE(Raw_Volunteers!$G$2:$G$926),1),Raw_Volunteers!G170)</f>
        <v>5</v>
      </c>
    </row>
    <row r="171" customFormat="false" ht="15" hidden="false" customHeight="true" outlineLevel="0" collapsed="false">
      <c r="A171" s="9" t="str">
        <f aca="false">Raw_Volunteers!A171</f>
        <v>V2029</v>
      </c>
      <c r="B171" s="9" t="str">
        <f aca="false">IF(COUNTIFS(Raw_Volunteers!$A$2:$A$926,Raw_Volunteers!A171,Raw_Volunteers!$D$2:$D$926,Raw_Volunteers!D171,Raw_Volunteers!$E$2:$E$926,Raw_Volunteers!E171,Raw_Volunteers!$G$2:$G$926,Raw_Volunteers!G171)&gt;1,"Possible Duplicate","")</f>
        <v/>
      </c>
      <c r="C171" s="9" t="str">
        <f aca="false">Raw_Volunteers!B171</f>
        <v>D1519</v>
      </c>
      <c r="D171" s="9" t="str">
        <f aca="false">IF(C171="","No","Yes")</f>
        <v>Yes</v>
      </c>
      <c r="E171" s="9" t="str">
        <f aca="false">Raw_Volunteers!C171</f>
        <v>Margaret Thompson</v>
      </c>
      <c r="F171" s="9" t="str">
        <f aca="false">Raw_Volunteers!D171</f>
        <v>08/30/2025</v>
      </c>
      <c r="G171" s="9" t="str">
        <f aca="false">PROPER(TRIM(Raw_Volunteers!E171))</f>
        <v>Event Setup</v>
      </c>
      <c r="H171" s="9" t="str">
        <f aca="false">Raw_Volunteers!F171</f>
        <v>Community Center Site</v>
      </c>
      <c r="I171" s="9" t="n">
        <f aca="false">IF(Raw_Volunteers!G171="",ROUND(AVERAGE(Raw_Volunteers!$G$2:$G$926),1),Raw_Volunteers!G171)</f>
        <v>2</v>
      </c>
    </row>
    <row r="172" customFormat="false" ht="15" hidden="false" customHeight="true" outlineLevel="0" collapsed="false">
      <c r="A172" s="9" t="str">
        <f aca="false">Raw_Volunteers!A172</f>
        <v>V2029</v>
      </c>
      <c r="B172" s="9" t="str">
        <f aca="false">IF(COUNTIFS(Raw_Volunteers!$A$2:$A$926,Raw_Volunteers!A172,Raw_Volunteers!$D$2:$D$926,Raw_Volunteers!D172,Raw_Volunteers!$E$2:$E$926,Raw_Volunteers!E172,Raw_Volunteers!$G$2:$G$926,Raw_Volunteers!G172)&gt;1,"Possible Duplicate","")</f>
        <v/>
      </c>
      <c r="C172" s="9" t="str">
        <f aca="false">Raw_Volunteers!B172</f>
        <v>D1519</v>
      </c>
      <c r="D172" s="9" t="str">
        <f aca="false">IF(C172="","No","Yes")</f>
        <v>Yes</v>
      </c>
      <c r="E172" s="9" t="str">
        <f aca="false">Raw_Volunteers!C172</f>
        <v>Margaret Thompson</v>
      </c>
      <c r="F172" s="9" t="str">
        <f aca="false">Raw_Volunteers!D172</f>
        <v>10/30/2025</v>
      </c>
      <c r="G172" s="9" t="str">
        <f aca="false">PROPER(TRIM(Raw_Volunteers!E172))</f>
        <v>Client Intake Assistant</v>
      </c>
      <c r="H172" s="9" t="str">
        <f aca="false">Raw_Volunteers!F172</f>
        <v>Main Warehouse</v>
      </c>
      <c r="I172" s="9" t="n">
        <f aca="false">IF(Raw_Volunteers!G172="",ROUND(AVERAGE(Raw_Volunteers!$G$2:$G$926),1),Raw_Volunteers!G172)</f>
        <v>4</v>
      </c>
    </row>
    <row r="173" customFormat="false" ht="15" hidden="false" customHeight="true" outlineLevel="0" collapsed="false">
      <c r="A173" s="9" t="str">
        <f aca="false">Raw_Volunteers!A173</f>
        <v>V2029</v>
      </c>
      <c r="B173" s="9" t="str">
        <f aca="false">IF(COUNTIFS(Raw_Volunteers!$A$2:$A$926,Raw_Volunteers!A173,Raw_Volunteers!$D$2:$D$926,Raw_Volunteers!D173,Raw_Volunteers!$E$2:$E$926,Raw_Volunteers!E173,Raw_Volunteers!$G$2:$G$926,Raw_Volunteers!G173)&gt;1,"Possible Duplicate","")</f>
        <v/>
      </c>
      <c r="C173" s="9" t="str">
        <f aca="false">Raw_Volunteers!B173</f>
        <v>D1519</v>
      </c>
      <c r="D173" s="9" t="str">
        <f aca="false">IF(C173="","No","Yes")</f>
        <v>Yes</v>
      </c>
      <c r="E173" s="9" t="str">
        <f aca="false">Raw_Volunteers!C173</f>
        <v>Margaret Thompson</v>
      </c>
      <c r="F173" s="9" t="str">
        <f aca="false">Raw_Volunteers!D173</f>
        <v>02/09/2026</v>
      </c>
      <c r="G173" s="9" t="str">
        <f aca="false">PROPER(TRIM(Raw_Volunteers!E173))</f>
        <v>Warehouse Loading</v>
      </c>
      <c r="H173" s="9" t="str">
        <f aca="false">Raw_Volunteers!F173</f>
        <v>Community Center Site</v>
      </c>
      <c r="I173" s="9" t="n">
        <f aca="false">IF(Raw_Volunteers!G173="",ROUND(AVERAGE(Raw_Volunteers!$G$2:$G$926),1),Raw_Volunteers!G173)</f>
        <v>2</v>
      </c>
    </row>
    <row r="174" customFormat="false" ht="15" hidden="false" customHeight="true" outlineLevel="0" collapsed="false">
      <c r="A174" s="9" t="str">
        <f aca="false">Raw_Volunteers!A174</f>
        <v>V2030</v>
      </c>
      <c r="B174" s="9" t="str">
        <f aca="false">IF(COUNTIFS(Raw_Volunteers!$A$2:$A$926,Raw_Volunteers!A174,Raw_Volunteers!$D$2:$D$926,Raw_Volunteers!D174,Raw_Volunteers!$E$2:$E$926,Raw_Volunteers!E174,Raw_Volunteers!$G$2:$G$926,Raw_Volunteers!G174)&gt;1,"Possible Duplicate","")</f>
        <v/>
      </c>
      <c r="C174" s="9" t="str">
        <f aca="false">Raw_Volunteers!B174</f>
        <v>D1733</v>
      </c>
      <c r="D174" s="9" t="str">
        <f aca="false">IF(C174="","No","Yes")</f>
        <v>Yes</v>
      </c>
      <c r="E174" s="9" t="str">
        <f aca="false">Raw_Volunteers!C174</f>
        <v>Melissa Davis</v>
      </c>
      <c r="F174" s="9" t="str">
        <f aca="false">Raw_Volunteers!D174</f>
        <v>12/25/2025</v>
      </c>
      <c r="G174" s="9" t="str">
        <f aca="false">PROPER(TRIM(Raw_Volunteers!E174))</f>
        <v>Event Setup</v>
      </c>
      <c r="H174" s="9" t="str">
        <f aca="false">Raw_Volunteers!F174</f>
        <v>Mobile Unit - Route A</v>
      </c>
      <c r="I174" s="9" t="n">
        <f aca="false">IF(Raw_Volunteers!G174="",ROUND(AVERAGE(Raw_Volunteers!$G$2:$G$926),1),Raw_Volunteers!G174)</f>
        <v>3</v>
      </c>
    </row>
    <row r="175" customFormat="false" ht="15" hidden="false" customHeight="true" outlineLevel="0" collapsed="false">
      <c r="A175" s="9" t="str">
        <f aca="false">Raw_Volunteers!A175</f>
        <v>V2030</v>
      </c>
      <c r="B175" s="9" t="str">
        <f aca="false">IF(COUNTIFS(Raw_Volunteers!$A$2:$A$926,Raw_Volunteers!A175,Raw_Volunteers!$D$2:$D$926,Raw_Volunteers!D175,Raw_Volunteers!$E$2:$E$926,Raw_Volunteers!E175,Raw_Volunteers!$G$2:$G$926,Raw_Volunteers!G175)&gt;1,"Possible Duplicate","")</f>
        <v/>
      </c>
      <c r="C175" s="9" t="str">
        <f aca="false">Raw_Volunteers!B175</f>
        <v>D1733</v>
      </c>
      <c r="D175" s="9" t="str">
        <f aca="false">IF(C175="","No","Yes")</f>
        <v>Yes</v>
      </c>
      <c r="E175" s="9" t="str">
        <f aca="false">Raw_Volunteers!C175</f>
        <v>Melissa Davis</v>
      </c>
      <c r="F175" s="9" t="str">
        <f aca="false">Raw_Volunteers!D175</f>
        <v>08/06/2025</v>
      </c>
      <c r="G175" s="9" t="str">
        <f aca="false">PROPER(TRIM(Raw_Volunteers!E175))</f>
        <v>Event Setup</v>
      </c>
      <c r="H175" s="9" t="str">
        <f aca="false">Raw_Volunteers!F175</f>
        <v>Main Warehouse</v>
      </c>
      <c r="I175" s="9" t="n">
        <f aca="false">IF(Raw_Volunteers!G175="",ROUND(AVERAGE(Raw_Volunteers!$G$2:$G$926),1),Raw_Volunteers!G175)</f>
        <v>2</v>
      </c>
    </row>
    <row r="176" customFormat="false" ht="15" hidden="false" customHeight="true" outlineLevel="0" collapsed="false">
      <c r="A176" s="9" t="str">
        <f aca="false">Raw_Volunteers!A176</f>
        <v>V2030</v>
      </c>
      <c r="B176" s="9" t="str">
        <f aca="false">IF(COUNTIFS(Raw_Volunteers!$A$2:$A$926,Raw_Volunteers!A176,Raw_Volunteers!$D$2:$D$926,Raw_Volunteers!D176,Raw_Volunteers!$E$2:$E$926,Raw_Volunteers!E176,Raw_Volunteers!$G$2:$G$926,Raw_Volunteers!G176)&gt;1,"Possible Duplicate","")</f>
        <v/>
      </c>
      <c r="C176" s="9" t="str">
        <f aca="false">Raw_Volunteers!B176</f>
        <v>D1733</v>
      </c>
      <c r="D176" s="9" t="str">
        <f aca="false">IF(C176="","No","Yes")</f>
        <v>Yes</v>
      </c>
      <c r="E176" s="9" t="str">
        <f aca="false">Raw_Volunteers!C176</f>
        <v>Melissa Davis</v>
      </c>
      <c r="F176" s="9" t="str">
        <f aca="false">Raw_Volunteers!D176</f>
        <v>01/07/2024</v>
      </c>
      <c r="G176" s="9" t="str">
        <f aca="false">PROPER(TRIM(Raw_Volunteers!E176))</f>
        <v>Client Intake Assistant</v>
      </c>
      <c r="H176" s="9" t="str">
        <f aca="false">Raw_Volunteers!F176</f>
        <v>Mobile Unit - Route A</v>
      </c>
      <c r="I176" s="9" t="n">
        <f aca="false">IF(Raw_Volunteers!G176="",ROUND(AVERAGE(Raw_Volunteers!$G$2:$G$926),1),Raw_Volunteers!G176)</f>
        <v>2</v>
      </c>
    </row>
    <row r="177" customFormat="false" ht="15" hidden="false" customHeight="true" outlineLevel="0" collapsed="false">
      <c r="A177" s="9" t="str">
        <f aca="false">Raw_Volunteers!A177</f>
        <v>V2030</v>
      </c>
      <c r="B177" s="9" t="str">
        <f aca="false">IF(COUNTIFS(Raw_Volunteers!$A$2:$A$926,Raw_Volunteers!A177,Raw_Volunteers!$D$2:$D$926,Raw_Volunteers!D177,Raw_Volunteers!$E$2:$E$926,Raw_Volunteers!E177,Raw_Volunteers!$G$2:$G$926,Raw_Volunteers!G177)&gt;1,"Possible Duplicate","")</f>
        <v/>
      </c>
      <c r="C177" s="9" t="str">
        <f aca="false">Raw_Volunteers!B177</f>
        <v>D1733</v>
      </c>
      <c r="D177" s="9" t="str">
        <f aca="false">IF(C177="","No","Yes")</f>
        <v>Yes</v>
      </c>
      <c r="E177" s="9" t="str">
        <f aca="false">Raw_Volunteers!C177</f>
        <v>Melissa Davis</v>
      </c>
      <c r="F177" s="9" t="str">
        <f aca="false">Raw_Volunteers!D177</f>
        <v>10/06/2025</v>
      </c>
      <c r="G177" s="9" t="str">
        <f aca="false">PROPER(TRIM(Raw_Volunteers!E177))</f>
        <v>Holiday Box Packing</v>
      </c>
      <c r="H177" s="9" t="str">
        <f aca="false">Raw_Volunteers!F177</f>
        <v>Main Warehouse</v>
      </c>
      <c r="I177" s="9" t="n">
        <f aca="false">IF(Raw_Volunteers!G177="",ROUND(AVERAGE(Raw_Volunteers!$G$2:$G$926),1),Raw_Volunteers!G177)</f>
        <v>2</v>
      </c>
    </row>
    <row r="178" customFormat="false" ht="15" hidden="false" customHeight="true" outlineLevel="0" collapsed="false">
      <c r="A178" s="9" t="str">
        <f aca="false">Raw_Volunteers!A178</f>
        <v>V2030</v>
      </c>
      <c r="B178" s="9" t="str">
        <f aca="false">IF(COUNTIFS(Raw_Volunteers!$A$2:$A$926,Raw_Volunteers!A178,Raw_Volunteers!$D$2:$D$926,Raw_Volunteers!D178,Raw_Volunteers!$E$2:$E$926,Raw_Volunteers!E178,Raw_Volunteers!$G$2:$G$926,Raw_Volunteers!G178)&gt;1,"Possible Duplicate","")</f>
        <v/>
      </c>
      <c r="C178" s="9" t="str">
        <f aca="false">Raw_Volunteers!B178</f>
        <v>D1733</v>
      </c>
      <c r="D178" s="9" t="str">
        <f aca="false">IF(C178="","No","Yes")</f>
        <v>Yes</v>
      </c>
      <c r="E178" s="9" t="str">
        <f aca="false">Raw_Volunteers!C178</f>
        <v>Melissa Davis</v>
      </c>
      <c r="F178" s="9" t="str">
        <f aca="false">Raw_Volunteers!D178</f>
        <v>12/24/2025</v>
      </c>
      <c r="G178" s="9" t="str">
        <f aca="false">PROPER(TRIM(Raw_Volunteers!E178))</f>
        <v>Front Desk Greeter</v>
      </c>
      <c r="H178" s="9" t="str">
        <f aca="false">Raw_Volunteers!F178</f>
        <v>Community Center Site</v>
      </c>
      <c r="I178" s="9" t="n">
        <f aca="false">IF(Raw_Volunteers!G178="",ROUND(AVERAGE(Raw_Volunteers!$G$2:$G$926),1),Raw_Volunteers!G178)</f>
        <v>3</v>
      </c>
    </row>
    <row r="179" customFormat="false" ht="15" hidden="false" customHeight="true" outlineLevel="0" collapsed="false">
      <c r="A179" s="9" t="str">
        <f aca="false">Raw_Volunteers!A179</f>
        <v>V2031</v>
      </c>
      <c r="B179" s="9" t="str">
        <f aca="false">IF(COUNTIFS(Raw_Volunteers!$A$2:$A$926,Raw_Volunteers!A179,Raw_Volunteers!$D$2:$D$926,Raw_Volunteers!D179,Raw_Volunteers!$E$2:$E$926,Raw_Volunteers!E179,Raw_Volunteers!$G$2:$G$926,Raw_Volunteers!G179)&gt;1,"Possible Duplicate","")</f>
        <v/>
      </c>
      <c r="C179" s="9" t="str">
        <f aca="false">Raw_Volunteers!B179</f>
        <v>D1625</v>
      </c>
      <c r="D179" s="9" t="str">
        <f aca="false">IF(C179="","No","Yes")</f>
        <v>Yes</v>
      </c>
      <c r="E179" s="9" t="str">
        <f aca="false">Raw_Volunteers!C179</f>
        <v>Robert Hernandez</v>
      </c>
      <c r="F179" s="9" t="str">
        <f aca="false">Raw_Volunteers!D179</f>
        <v>06/17/2024</v>
      </c>
      <c r="G179" s="9" t="str">
        <f aca="false">PROPER(TRIM(Raw_Volunteers!E179))</f>
        <v>Mobile Distribution Driver</v>
      </c>
      <c r="H179" s="9" t="str">
        <f aca="false">Raw_Volunteers!F179</f>
        <v>Mobile Unit - Route B</v>
      </c>
      <c r="I179" s="9" t="n">
        <f aca="false">IF(Raw_Volunteers!G179="",ROUND(AVERAGE(Raw_Volunteers!$G$2:$G$926),1),Raw_Volunteers!G179)</f>
        <v>3</v>
      </c>
    </row>
    <row r="180" customFormat="false" ht="15" hidden="false" customHeight="true" outlineLevel="0" collapsed="false">
      <c r="A180" s="9" t="str">
        <f aca="false">Raw_Volunteers!A180</f>
        <v>V2031</v>
      </c>
      <c r="B180" s="9" t="str">
        <f aca="false">IF(COUNTIFS(Raw_Volunteers!$A$2:$A$926,Raw_Volunteers!A180,Raw_Volunteers!$D$2:$D$926,Raw_Volunteers!D180,Raw_Volunteers!$E$2:$E$926,Raw_Volunteers!E180,Raw_Volunteers!$G$2:$G$926,Raw_Volunteers!G180)&gt;1,"Possible Duplicate","")</f>
        <v/>
      </c>
      <c r="C180" s="9" t="str">
        <f aca="false">Raw_Volunteers!B180</f>
        <v>D1625</v>
      </c>
      <c r="D180" s="9" t="str">
        <f aca="false">IF(C180="","No","Yes")</f>
        <v>Yes</v>
      </c>
      <c r="E180" s="9" t="str">
        <f aca="false">Raw_Volunteers!C180</f>
        <v>Robert Hernandez</v>
      </c>
      <c r="F180" s="9" t="str">
        <f aca="false">Raw_Volunteers!D180</f>
        <v>03/11/2024</v>
      </c>
      <c r="G180" s="9" t="str">
        <f aca="false">PROPER(TRIM(Raw_Volunteers!E180))</f>
        <v>Food Sorting</v>
      </c>
      <c r="H180" s="9" t="str">
        <f aca="false">Raw_Volunteers!F180</f>
        <v>Main Warehouse</v>
      </c>
      <c r="I180" s="9" t="n">
        <f aca="false">IF(Raw_Volunteers!G180="",ROUND(AVERAGE(Raw_Volunteers!$G$2:$G$926),1),Raw_Volunteers!G180)</f>
        <v>3</v>
      </c>
    </row>
    <row r="181" customFormat="false" ht="15" hidden="false" customHeight="true" outlineLevel="0" collapsed="false">
      <c r="A181" s="9" t="str">
        <f aca="false">Raw_Volunteers!A181</f>
        <v>V2031</v>
      </c>
      <c r="B181" s="9" t="str">
        <f aca="false">IF(COUNTIFS(Raw_Volunteers!$A$2:$A$926,Raw_Volunteers!A181,Raw_Volunteers!$D$2:$D$926,Raw_Volunteers!D181,Raw_Volunteers!$E$2:$E$926,Raw_Volunteers!E181,Raw_Volunteers!$G$2:$G$926,Raw_Volunteers!G181)&gt;1,"Possible Duplicate","")</f>
        <v/>
      </c>
      <c r="C181" s="9" t="str">
        <f aca="false">Raw_Volunteers!B181</f>
        <v>D1625</v>
      </c>
      <c r="D181" s="9" t="str">
        <f aca="false">IF(C181="","No","Yes")</f>
        <v>Yes</v>
      </c>
      <c r="E181" s="9" t="str">
        <f aca="false">Raw_Volunteers!C181</f>
        <v>Robert Hernandez</v>
      </c>
      <c r="F181" s="9" t="str">
        <f aca="false">Raw_Volunteers!D181</f>
        <v>10/21/2025</v>
      </c>
      <c r="G181" s="9" t="str">
        <f aca="false">PROPER(TRIM(Raw_Volunteers!E181))</f>
        <v>Holiday Box Packing</v>
      </c>
      <c r="H181" s="9" t="str">
        <f aca="false">Raw_Volunteers!F181</f>
        <v>Main Warehouse</v>
      </c>
      <c r="I181" s="9" t="n">
        <f aca="false">IF(Raw_Volunteers!G181="",ROUND(AVERAGE(Raw_Volunteers!$G$2:$G$926),1),Raw_Volunteers!G181)</f>
        <v>3</v>
      </c>
    </row>
    <row r="182" customFormat="false" ht="15" hidden="false" customHeight="true" outlineLevel="0" collapsed="false">
      <c r="A182" s="9" t="str">
        <f aca="false">Raw_Volunteers!A182</f>
        <v>V2032</v>
      </c>
      <c r="B182" s="9" t="str">
        <f aca="false">IF(COUNTIFS(Raw_Volunteers!$A$2:$A$926,Raw_Volunteers!A182,Raw_Volunteers!$D$2:$D$926,Raw_Volunteers!D182,Raw_Volunteers!$E$2:$E$926,Raw_Volunteers!E182,Raw_Volunteers!$G$2:$G$926,Raw_Volunteers!G182)&gt;1,"Possible Duplicate","")</f>
        <v/>
      </c>
      <c r="C182" s="9" t="str">
        <f aca="false">Raw_Volunteers!B182</f>
        <v>D1048</v>
      </c>
      <c r="D182" s="9" t="str">
        <f aca="false">IF(C182="","No","Yes")</f>
        <v>Yes</v>
      </c>
      <c r="E182" s="9" t="str">
        <f aca="false">Raw_Volunteers!C182</f>
        <v>Nancy King</v>
      </c>
      <c r="F182" s="9" t="str">
        <f aca="false">Raw_Volunteers!D182</f>
        <v>03/22/2025</v>
      </c>
      <c r="G182" s="9" t="str">
        <f aca="false">PROPER(TRIM(Raw_Volunteers!E182))</f>
        <v>Mobile Distribution Driver</v>
      </c>
      <c r="H182" s="9" t="str">
        <f aca="false">Raw_Volunteers!F182</f>
        <v>Main Warehouse</v>
      </c>
      <c r="I182" s="9" t="n">
        <f aca="false">IF(Raw_Volunteers!G182="",ROUND(AVERAGE(Raw_Volunteers!$G$2:$G$926),1),Raw_Volunteers!G182)</f>
        <v>2</v>
      </c>
    </row>
    <row r="183" customFormat="false" ht="15" hidden="false" customHeight="true" outlineLevel="0" collapsed="false">
      <c r="A183" s="9" t="str">
        <f aca="false">Raw_Volunteers!A183</f>
        <v>V2032</v>
      </c>
      <c r="B183" s="9" t="str">
        <f aca="false">IF(COUNTIFS(Raw_Volunteers!$A$2:$A$926,Raw_Volunteers!A183,Raw_Volunteers!$D$2:$D$926,Raw_Volunteers!D183,Raw_Volunteers!$E$2:$E$926,Raw_Volunteers!E183,Raw_Volunteers!$G$2:$G$926,Raw_Volunteers!G183)&gt;1,"Possible Duplicate","")</f>
        <v/>
      </c>
      <c r="C183" s="9" t="str">
        <f aca="false">Raw_Volunteers!B183</f>
        <v>D1048</v>
      </c>
      <c r="D183" s="9" t="str">
        <f aca="false">IF(C183="","No","Yes")</f>
        <v>Yes</v>
      </c>
      <c r="E183" s="9" t="str">
        <f aca="false">Raw_Volunteers!C183</f>
        <v>Nancy King</v>
      </c>
      <c r="F183" s="9" t="str">
        <f aca="false">Raw_Volunteers!D183</f>
        <v>10/23/2025</v>
      </c>
      <c r="G183" s="9" t="str">
        <f aca="false">PROPER(TRIM(Raw_Volunteers!E183))</f>
        <v>Front Desk Greeter</v>
      </c>
      <c r="H183" s="9" t="str">
        <f aca="false">Raw_Volunteers!F183</f>
        <v>Community Center Site</v>
      </c>
      <c r="I183" s="9" t="n">
        <f aca="false">IF(Raw_Volunteers!G183="",ROUND(AVERAGE(Raw_Volunteers!$G$2:$G$926),1),Raw_Volunteers!G183)</f>
        <v>2</v>
      </c>
    </row>
    <row r="184" customFormat="false" ht="15" hidden="false" customHeight="true" outlineLevel="0" collapsed="false">
      <c r="A184" s="9" t="str">
        <f aca="false">Raw_Volunteers!A184</f>
        <v>V2032</v>
      </c>
      <c r="B184" s="9" t="str">
        <f aca="false">IF(COUNTIFS(Raw_Volunteers!$A$2:$A$926,Raw_Volunteers!A184,Raw_Volunteers!$D$2:$D$926,Raw_Volunteers!D184,Raw_Volunteers!$E$2:$E$926,Raw_Volunteers!E184,Raw_Volunteers!$G$2:$G$926,Raw_Volunteers!G184)&gt;1,"Possible Duplicate","")</f>
        <v/>
      </c>
      <c r="C184" s="9" t="str">
        <f aca="false">Raw_Volunteers!B184</f>
        <v>D1048</v>
      </c>
      <c r="D184" s="9" t="str">
        <f aca="false">IF(C184="","No","Yes")</f>
        <v>Yes</v>
      </c>
      <c r="E184" s="9" t="str">
        <f aca="false">Raw_Volunteers!C184</f>
        <v>Nancy King</v>
      </c>
      <c r="F184" s="9" t="str">
        <f aca="false">Raw_Volunteers!D184</f>
        <v>05/30/2025</v>
      </c>
      <c r="G184" s="9" t="str">
        <f aca="false">PROPER(TRIM(Raw_Volunteers!E184))</f>
        <v>Mobile Distribution Driver</v>
      </c>
      <c r="H184" s="9" t="str">
        <f aca="false">Raw_Volunteers!F184</f>
        <v>Downtown Pantry</v>
      </c>
      <c r="I184" s="9" t="n">
        <f aca="false">IF(Raw_Volunteers!G184="",ROUND(AVERAGE(Raw_Volunteers!$G$2:$G$926),1),Raw_Volunteers!G184)</f>
        <v>4</v>
      </c>
    </row>
    <row r="185" customFormat="false" ht="15" hidden="false" customHeight="true" outlineLevel="0" collapsed="false">
      <c r="A185" s="9" t="str">
        <f aca="false">Raw_Volunteers!A185</f>
        <v>V2032</v>
      </c>
      <c r="B185" s="9" t="str">
        <f aca="false">IF(COUNTIFS(Raw_Volunteers!$A$2:$A$926,Raw_Volunteers!A185,Raw_Volunteers!$D$2:$D$926,Raw_Volunteers!D185,Raw_Volunteers!$E$2:$E$926,Raw_Volunteers!E185,Raw_Volunteers!$G$2:$G$926,Raw_Volunteers!G185)&gt;1,"Possible Duplicate","")</f>
        <v/>
      </c>
      <c r="C185" s="9" t="str">
        <f aca="false">Raw_Volunteers!B185</f>
        <v>D1048</v>
      </c>
      <c r="D185" s="9" t="str">
        <f aca="false">IF(C185="","No","Yes")</f>
        <v>Yes</v>
      </c>
      <c r="E185" s="9" t="str">
        <f aca="false">Raw_Volunteers!C185</f>
        <v>Nancy King</v>
      </c>
      <c r="F185" s="9" t="str">
        <f aca="false">Raw_Volunteers!D185</f>
        <v>04/03/2024</v>
      </c>
      <c r="G185" s="9" t="str">
        <f aca="false">PROPER(TRIM(Raw_Volunteers!E185))</f>
        <v>Mobile Distribution Driver</v>
      </c>
      <c r="H185" s="9" t="str">
        <f aca="false">Raw_Volunteers!F185</f>
        <v>Downtown Pantry</v>
      </c>
      <c r="I185" s="9" t="n">
        <f aca="false">IF(Raw_Volunteers!G185="",ROUND(AVERAGE(Raw_Volunteers!$G$2:$G$926),1),Raw_Volunteers!G185)</f>
        <v>2</v>
      </c>
    </row>
    <row r="186" customFormat="false" ht="15" hidden="false" customHeight="true" outlineLevel="0" collapsed="false">
      <c r="A186" s="9" t="str">
        <f aca="false">Raw_Volunteers!A186</f>
        <v>V2032</v>
      </c>
      <c r="B186" s="9" t="str">
        <f aca="false">IF(COUNTIFS(Raw_Volunteers!$A$2:$A$926,Raw_Volunteers!A186,Raw_Volunteers!$D$2:$D$926,Raw_Volunteers!D186,Raw_Volunteers!$E$2:$E$926,Raw_Volunteers!E186,Raw_Volunteers!$G$2:$G$926,Raw_Volunteers!G186)&gt;1,"Possible Duplicate","")</f>
        <v/>
      </c>
      <c r="C186" s="9" t="str">
        <f aca="false">Raw_Volunteers!B186</f>
        <v>D1048</v>
      </c>
      <c r="D186" s="9" t="str">
        <f aca="false">IF(C186="","No","Yes")</f>
        <v>Yes</v>
      </c>
      <c r="E186" s="9" t="str">
        <f aca="false">Raw_Volunteers!C186</f>
        <v>Nancy King</v>
      </c>
      <c r="F186" s="9" t="str">
        <f aca="false">Raw_Volunteers!D186</f>
        <v>05/21/2026</v>
      </c>
      <c r="G186" s="9" t="str">
        <f aca="false">PROPER(TRIM(Raw_Volunteers!E186))</f>
        <v>Holiday Box Packing</v>
      </c>
      <c r="H186" s="9" t="str">
        <f aca="false">Raw_Volunteers!F186</f>
        <v>Mobile Unit - Route B</v>
      </c>
      <c r="I186" s="9" t="n">
        <f aca="false">IF(Raw_Volunteers!G186="",ROUND(AVERAGE(Raw_Volunteers!$G$2:$G$926),1),Raw_Volunteers!G186)</f>
        <v>2</v>
      </c>
    </row>
    <row r="187" customFormat="false" ht="15" hidden="false" customHeight="true" outlineLevel="0" collapsed="false">
      <c r="A187" s="9" t="str">
        <f aca="false">Raw_Volunteers!A187</f>
        <v>V2032</v>
      </c>
      <c r="B187" s="9" t="str">
        <f aca="false">IF(COUNTIFS(Raw_Volunteers!$A$2:$A$926,Raw_Volunteers!A187,Raw_Volunteers!$D$2:$D$926,Raw_Volunteers!D187,Raw_Volunteers!$E$2:$E$926,Raw_Volunteers!E187,Raw_Volunteers!$G$2:$G$926,Raw_Volunteers!G187)&gt;1,"Possible Duplicate","")</f>
        <v/>
      </c>
      <c r="C187" s="9" t="str">
        <f aca="false">Raw_Volunteers!B187</f>
        <v>D1048</v>
      </c>
      <c r="D187" s="9" t="str">
        <f aca="false">IF(C187="","No","Yes")</f>
        <v>Yes</v>
      </c>
      <c r="E187" s="9" t="str">
        <f aca="false">Raw_Volunteers!C187</f>
        <v>Nancy King</v>
      </c>
      <c r="F187" s="9" t="str">
        <f aca="false">Raw_Volunteers!D187</f>
        <v>10/01/2024</v>
      </c>
      <c r="G187" s="9" t="str">
        <f aca="false">PROPER(TRIM(Raw_Volunteers!E187))</f>
        <v>Holiday Box Packing</v>
      </c>
      <c r="H187" s="9" t="str">
        <f aca="false">Raw_Volunteers!F187</f>
        <v>Main Warehouse</v>
      </c>
      <c r="I187" s="9" t="n">
        <f aca="false">IF(Raw_Volunteers!G187="",ROUND(AVERAGE(Raw_Volunteers!$G$2:$G$926),1),Raw_Volunteers!G187)</f>
        <v>4</v>
      </c>
    </row>
    <row r="188" customFormat="false" ht="15" hidden="false" customHeight="true" outlineLevel="0" collapsed="false">
      <c r="A188" s="9" t="str">
        <f aca="false">Raw_Volunteers!A188</f>
        <v>V2032</v>
      </c>
      <c r="B188" s="9" t="str">
        <f aca="false">IF(COUNTIFS(Raw_Volunteers!$A$2:$A$926,Raw_Volunteers!A188,Raw_Volunteers!$D$2:$D$926,Raw_Volunteers!D188,Raw_Volunteers!$E$2:$E$926,Raw_Volunteers!E188,Raw_Volunteers!$G$2:$G$926,Raw_Volunteers!G188)&gt;1,"Possible Duplicate","")</f>
        <v/>
      </c>
      <c r="C188" s="9" t="str">
        <f aca="false">Raw_Volunteers!B188</f>
        <v>D1048</v>
      </c>
      <c r="D188" s="9" t="str">
        <f aca="false">IF(C188="","No","Yes")</f>
        <v>Yes</v>
      </c>
      <c r="E188" s="9" t="str">
        <f aca="false">Raw_Volunteers!C188</f>
        <v>Nancy King</v>
      </c>
      <c r="F188" s="9" t="str">
        <f aca="false">Raw_Volunteers!D188</f>
        <v>12/30/2024</v>
      </c>
      <c r="G188" s="9" t="str">
        <f aca="false">PROPER(TRIM(Raw_Volunteers!E188))</f>
        <v>Mobile Distribution Driver</v>
      </c>
      <c r="H188" s="9" t="str">
        <f aca="false">Raw_Volunteers!F188</f>
        <v>Community Center Site</v>
      </c>
      <c r="I188" s="9" t="n">
        <f aca="false">IF(Raw_Volunteers!G188="",ROUND(AVERAGE(Raw_Volunteers!$G$2:$G$926),1),Raw_Volunteers!G188)</f>
        <v>3</v>
      </c>
    </row>
    <row r="189" customFormat="false" ht="15" hidden="false" customHeight="true" outlineLevel="0" collapsed="false">
      <c r="A189" s="9" t="str">
        <f aca="false">Raw_Volunteers!A189</f>
        <v>V2032</v>
      </c>
      <c r="B189" s="9" t="str">
        <f aca="false">IF(COUNTIFS(Raw_Volunteers!$A$2:$A$926,Raw_Volunteers!A189,Raw_Volunteers!$D$2:$D$926,Raw_Volunteers!D189,Raw_Volunteers!$E$2:$E$926,Raw_Volunteers!E189,Raw_Volunteers!$G$2:$G$926,Raw_Volunteers!G189)&gt;1,"Possible Duplicate","")</f>
        <v/>
      </c>
      <c r="C189" s="9" t="str">
        <f aca="false">Raw_Volunteers!B189</f>
        <v>D1048</v>
      </c>
      <c r="D189" s="9" t="str">
        <f aca="false">IF(C189="","No","Yes")</f>
        <v>Yes</v>
      </c>
      <c r="E189" s="9" t="str">
        <f aca="false">Raw_Volunteers!C189</f>
        <v>Nancy King</v>
      </c>
      <c r="F189" s="9" t="str">
        <f aca="false">Raw_Volunteers!D189</f>
        <v>02/22/2026</v>
      </c>
      <c r="G189" s="9" t="str">
        <f aca="false">PROPER(TRIM(Raw_Volunteers!E189))</f>
        <v>Front Desk Greeter</v>
      </c>
      <c r="H189" s="9" t="str">
        <f aca="false">Raw_Volunteers!F189</f>
        <v>Downtown Pantry</v>
      </c>
      <c r="I189" s="9" t="n">
        <f aca="false">IF(Raw_Volunteers!G189="",ROUND(AVERAGE(Raw_Volunteers!$G$2:$G$926),1),Raw_Volunteers!G189)</f>
        <v>4</v>
      </c>
    </row>
    <row r="190" customFormat="false" ht="15" hidden="false" customHeight="true" outlineLevel="0" collapsed="false">
      <c r="A190" s="9" t="str">
        <f aca="false">Raw_Volunteers!A190</f>
        <v>V2032</v>
      </c>
      <c r="B190" s="9" t="str">
        <f aca="false">IF(COUNTIFS(Raw_Volunteers!$A$2:$A$926,Raw_Volunteers!A190,Raw_Volunteers!$D$2:$D$926,Raw_Volunteers!D190,Raw_Volunteers!$E$2:$E$926,Raw_Volunteers!E190,Raw_Volunteers!$G$2:$G$926,Raw_Volunteers!G190)&gt;1,"Possible Duplicate","")</f>
        <v/>
      </c>
      <c r="C190" s="9" t="str">
        <f aca="false">Raw_Volunteers!B190</f>
        <v>D1048</v>
      </c>
      <c r="D190" s="9" t="str">
        <f aca="false">IF(C190="","No","Yes")</f>
        <v>Yes</v>
      </c>
      <c r="E190" s="9" t="str">
        <f aca="false">Raw_Volunteers!C190</f>
        <v>Nancy King</v>
      </c>
      <c r="F190" s="9" t="str">
        <f aca="false">Raw_Volunteers!D190</f>
        <v>11/01/2024</v>
      </c>
      <c r="G190" s="9" t="str">
        <f aca="false">PROPER(TRIM(Raw_Volunteers!E190))</f>
        <v>Food Sorting</v>
      </c>
      <c r="H190" s="9" t="str">
        <f aca="false">Raw_Volunteers!F190</f>
        <v>Community Center Site</v>
      </c>
      <c r="I190" s="9" t="n">
        <f aca="false">IF(Raw_Volunteers!G190="",ROUND(AVERAGE(Raw_Volunteers!$G$2:$G$926),1),Raw_Volunteers!G190)</f>
        <v>2</v>
      </c>
    </row>
    <row r="191" customFormat="false" ht="15" hidden="false" customHeight="true" outlineLevel="0" collapsed="false">
      <c r="A191" s="9" t="str">
        <f aca="false">Raw_Volunteers!A191</f>
        <v>V2032</v>
      </c>
      <c r="B191" s="9" t="str">
        <f aca="false">IF(COUNTIFS(Raw_Volunteers!$A$2:$A$926,Raw_Volunteers!A191,Raw_Volunteers!$D$2:$D$926,Raw_Volunteers!D191,Raw_Volunteers!$E$2:$E$926,Raw_Volunteers!E191,Raw_Volunteers!$G$2:$G$926,Raw_Volunteers!G191)&gt;1,"Possible Duplicate","")</f>
        <v/>
      </c>
      <c r="C191" s="9" t="str">
        <f aca="false">Raw_Volunteers!B191</f>
        <v>D1048</v>
      </c>
      <c r="D191" s="9" t="str">
        <f aca="false">IF(C191="","No","Yes")</f>
        <v>Yes</v>
      </c>
      <c r="E191" s="9" t="str">
        <f aca="false">Raw_Volunteers!C191</f>
        <v>Nancy King</v>
      </c>
      <c r="F191" s="9" t="str">
        <f aca="false">Raw_Volunteers!D191</f>
        <v>12/04/2025</v>
      </c>
      <c r="G191" s="9" t="str">
        <f aca="false">PROPER(TRIM(Raw_Volunteers!E191))</f>
        <v>Warehouse Loading</v>
      </c>
      <c r="H191" s="9" t="str">
        <f aca="false">Raw_Volunteers!F191</f>
        <v>Mobile Unit - Route B</v>
      </c>
      <c r="I191" s="9" t="n">
        <f aca="false">IF(Raw_Volunteers!G191="",ROUND(AVERAGE(Raw_Volunteers!$G$2:$G$926),1),Raw_Volunteers!G191)</f>
        <v>2</v>
      </c>
    </row>
    <row r="192" customFormat="false" ht="15" hidden="false" customHeight="true" outlineLevel="0" collapsed="false">
      <c r="A192" s="9" t="str">
        <f aca="false">Raw_Volunteers!A192</f>
        <v>V2033</v>
      </c>
      <c r="B192" s="9" t="str">
        <f aca="false">IF(COUNTIFS(Raw_Volunteers!$A$2:$A$926,Raw_Volunteers!A192,Raw_Volunteers!$D$2:$D$926,Raw_Volunteers!D192,Raw_Volunteers!$E$2:$E$926,Raw_Volunteers!E192,Raw_Volunteers!$G$2:$G$926,Raw_Volunteers!G192)&gt;1,"Possible Duplicate","")</f>
        <v/>
      </c>
      <c r="C192" s="9" t="str">
        <f aca="false">Raw_Volunteers!B192</f>
        <v>D1252</v>
      </c>
      <c r="D192" s="9" t="str">
        <f aca="false">IF(C192="","No","Yes")</f>
        <v>Yes</v>
      </c>
      <c r="E192" s="9" t="str">
        <f aca="false">Raw_Volunteers!C192</f>
        <v>Melissa Perez</v>
      </c>
      <c r="F192" s="9" t="str">
        <f aca="false">Raw_Volunteers!D192</f>
        <v>12/11/2024</v>
      </c>
      <c r="G192" s="9" t="str">
        <f aca="false">PROPER(TRIM(Raw_Volunteers!E192))</f>
        <v>Mobile Distribution Driver</v>
      </c>
      <c r="H192" s="9" t="str">
        <f aca="false">Raw_Volunteers!F192</f>
        <v>Community Center Site</v>
      </c>
      <c r="I192" s="9" t="n">
        <f aca="false">IF(Raw_Volunteers!G192="",ROUND(AVERAGE(Raw_Volunteers!$G$2:$G$926),1),Raw_Volunteers!G192)</f>
        <v>2</v>
      </c>
    </row>
    <row r="193" customFormat="false" ht="15" hidden="false" customHeight="true" outlineLevel="0" collapsed="false">
      <c r="A193" s="9" t="str">
        <f aca="false">Raw_Volunteers!A193</f>
        <v>V2033</v>
      </c>
      <c r="B193" s="9" t="str">
        <f aca="false">IF(COUNTIFS(Raw_Volunteers!$A$2:$A$926,Raw_Volunteers!A193,Raw_Volunteers!$D$2:$D$926,Raw_Volunteers!D193,Raw_Volunteers!$E$2:$E$926,Raw_Volunteers!E193,Raw_Volunteers!$G$2:$G$926,Raw_Volunteers!G193)&gt;1,"Possible Duplicate","")</f>
        <v/>
      </c>
      <c r="C193" s="9" t="str">
        <f aca="false">Raw_Volunteers!B193</f>
        <v>D1252</v>
      </c>
      <c r="D193" s="9" t="str">
        <f aca="false">IF(C193="","No","Yes")</f>
        <v>Yes</v>
      </c>
      <c r="E193" s="9" t="str">
        <f aca="false">Raw_Volunteers!C193</f>
        <v>Melissa Perez</v>
      </c>
      <c r="F193" s="9" t="str">
        <f aca="false">Raw_Volunteers!D193</f>
        <v>05/01/2024</v>
      </c>
      <c r="G193" s="9" t="str">
        <f aca="false">PROPER(TRIM(Raw_Volunteers!E193))</f>
        <v>Warehouse Loading</v>
      </c>
      <c r="H193" s="9" t="str">
        <f aca="false">Raw_Volunteers!F193</f>
        <v>Downtown Pantry</v>
      </c>
      <c r="I193" s="9" t="n">
        <f aca="false">IF(Raw_Volunteers!G193="",ROUND(AVERAGE(Raw_Volunteers!$G$2:$G$926),1),Raw_Volunteers!G193)</f>
        <v>2</v>
      </c>
    </row>
    <row r="194" customFormat="false" ht="15" hidden="false" customHeight="true" outlineLevel="0" collapsed="false">
      <c r="A194" s="9" t="str">
        <f aca="false">Raw_Volunteers!A194</f>
        <v>V2033</v>
      </c>
      <c r="B194" s="9" t="str">
        <f aca="false">IF(COUNTIFS(Raw_Volunteers!$A$2:$A$926,Raw_Volunteers!A194,Raw_Volunteers!$D$2:$D$926,Raw_Volunteers!D194,Raw_Volunteers!$E$2:$E$926,Raw_Volunteers!E194,Raw_Volunteers!$G$2:$G$926,Raw_Volunteers!G194)&gt;1,"Possible Duplicate","")</f>
        <v/>
      </c>
      <c r="C194" s="9" t="str">
        <f aca="false">Raw_Volunteers!B194</f>
        <v>D1252</v>
      </c>
      <c r="D194" s="9" t="str">
        <f aca="false">IF(C194="","No","Yes")</f>
        <v>Yes</v>
      </c>
      <c r="E194" s="9" t="str">
        <f aca="false">Raw_Volunteers!C194</f>
        <v>Melissa Perez</v>
      </c>
      <c r="F194" s="9" t="str">
        <f aca="false">Raw_Volunteers!D194</f>
        <v>05/01/2025</v>
      </c>
      <c r="G194" s="9" t="str">
        <f aca="false">PROPER(TRIM(Raw_Volunteers!E194))</f>
        <v>Holiday Box Packing</v>
      </c>
      <c r="H194" s="9" t="str">
        <f aca="false">Raw_Volunteers!F194</f>
        <v>Community Center Site</v>
      </c>
      <c r="I194" s="9" t="n">
        <f aca="false">IF(Raw_Volunteers!G194="",ROUND(AVERAGE(Raw_Volunteers!$G$2:$G$926),1),Raw_Volunteers!G194)</f>
        <v>2</v>
      </c>
    </row>
    <row r="195" customFormat="false" ht="15" hidden="false" customHeight="true" outlineLevel="0" collapsed="false">
      <c r="A195" s="9" t="str">
        <f aca="false">Raw_Volunteers!A195</f>
        <v>V2033</v>
      </c>
      <c r="B195" s="9" t="str">
        <f aca="false">IF(COUNTIFS(Raw_Volunteers!$A$2:$A$926,Raw_Volunteers!A195,Raw_Volunteers!$D$2:$D$926,Raw_Volunteers!D195,Raw_Volunteers!$E$2:$E$926,Raw_Volunteers!E195,Raw_Volunteers!$G$2:$G$926,Raw_Volunteers!G195)&gt;1,"Possible Duplicate","")</f>
        <v/>
      </c>
      <c r="C195" s="9" t="str">
        <f aca="false">Raw_Volunteers!B195</f>
        <v>D1252</v>
      </c>
      <c r="D195" s="9" t="str">
        <f aca="false">IF(C195="","No","Yes")</f>
        <v>Yes</v>
      </c>
      <c r="E195" s="9" t="str">
        <f aca="false">Raw_Volunteers!C195</f>
        <v>Melissa Perez</v>
      </c>
      <c r="F195" s="9" t="str">
        <f aca="false">Raw_Volunteers!D195</f>
        <v>07/24/2024</v>
      </c>
      <c r="G195" s="9" t="str">
        <f aca="false">PROPER(TRIM(Raw_Volunteers!E195))</f>
        <v>Pantry Stocking</v>
      </c>
      <c r="H195" s="9" t="str">
        <f aca="false">Raw_Volunteers!F195</f>
        <v>Downtown Pantry</v>
      </c>
      <c r="I195" s="9" t="n">
        <f aca="false">IF(Raw_Volunteers!G195="",ROUND(AVERAGE(Raw_Volunteers!$G$2:$G$926),1),Raw_Volunteers!G195)</f>
        <v>3</v>
      </c>
    </row>
    <row r="196" customFormat="false" ht="15" hidden="false" customHeight="true" outlineLevel="0" collapsed="false">
      <c r="A196" s="9" t="str">
        <f aca="false">Raw_Volunteers!A196</f>
        <v>V2033</v>
      </c>
      <c r="B196" s="9" t="str">
        <f aca="false">IF(COUNTIFS(Raw_Volunteers!$A$2:$A$926,Raw_Volunteers!A196,Raw_Volunteers!$D$2:$D$926,Raw_Volunteers!D196,Raw_Volunteers!$E$2:$E$926,Raw_Volunteers!E196,Raw_Volunteers!$G$2:$G$926,Raw_Volunteers!G196)&gt;1,"Possible Duplicate","")</f>
        <v/>
      </c>
      <c r="C196" s="9" t="str">
        <f aca="false">Raw_Volunteers!B196</f>
        <v>D1252</v>
      </c>
      <c r="D196" s="9" t="str">
        <f aca="false">IF(C196="","No","Yes")</f>
        <v>Yes</v>
      </c>
      <c r="E196" s="9" t="str">
        <f aca="false">Raw_Volunteers!C196</f>
        <v>Melissa Perez</v>
      </c>
      <c r="F196" s="9" t="str">
        <f aca="false">Raw_Volunteers!D196</f>
        <v>03/20/2026</v>
      </c>
      <c r="G196" s="9" t="str">
        <f aca="false">PROPER(TRIM(Raw_Volunteers!E196))</f>
        <v>Food Sorting</v>
      </c>
      <c r="H196" s="9" t="str">
        <f aca="false">Raw_Volunteers!F196</f>
        <v>Main Warehouse</v>
      </c>
      <c r="I196" s="9" t="n">
        <f aca="false">IF(Raw_Volunteers!G196="",ROUND(AVERAGE(Raw_Volunteers!$G$2:$G$926),1),Raw_Volunteers!G196)</f>
        <v>2</v>
      </c>
    </row>
    <row r="197" customFormat="false" ht="15" hidden="false" customHeight="true" outlineLevel="0" collapsed="false">
      <c r="A197" s="9" t="str">
        <f aca="false">Raw_Volunteers!A197</f>
        <v>V2033</v>
      </c>
      <c r="B197" s="9" t="str">
        <f aca="false">IF(COUNTIFS(Raw_Volunteers!$A$2:$A$926,Raw_Volunteers!A197,Raw_Volunteers!$D$2:$D$926,Raw_Volunteers!D197,Raw_Volunteers!$E$2:$E$926,Raw_Volunteers!E197,Raw_Volunteers!$G$2:$G$926,Raw_Volunteers!G197)&gt;1,"Possible Duplicate","")</f>
        <v/>
      </c>
      <c r="C197" s="9" t="str">
        <f aca="false">Raw_Volunteers!B197</f>
        <v>D1252</v>
      </c>
      <c r="D197" s="9" t="str">
        <f aca="false">IF(C197="","No","Yes")</f>
        <v>Yes</v>
      </c>
      <c r="E197" s="9" t="str">
        <f aca="false">Raw_Volunteers!C197</f>
        <v>Melissa Perez</v>
      </c>
      <c r="F197" s="9" t="str">
        <f aca="false">Raw_Volunteers!D197</f>
        <v>06/07/2024</v>
      </c>
      <c r="G197" s="9" t="str">
        <f aca="false">PROPER(TRIM(Raw_Volunteers!E197))</f>
        <v>Holiday Box Packing</v>
      </c>
      <c r="H197" s="9" t="str">
        <f aca="false">Raw_Volunteers!F197</f>
        <v>Community Center Site</v>
      </c>
      <c r="I197" s="9" t="n">
        <f aca="false">IF(Raw_Volunteers!G197="",ROUND(AVERAGE(Raw_Volunteers!$G$2:$G$926),1),Raw_Volunteers!G197)</f>
        <v>4</v>
      </c>
    </row>
    <row r="198" customFormat="false" ht="15" hidden="false" customHeight="true" outlineLevel="0" collapsed="false">
      <c r="A198" s="9" t="str">
        <f aca="false">Raw_Volunteers!A198</f>
        <v>V2033</v>
      </c>
      <c r="B198" s="9" t="str">
        <f aca="false">IF(COUNTIFS(Raw_Volunteers!$A$2:$A$926,Raw_Volunteers!A198,Raw_Volunteers!$D$2:$D$926,Raw_Volunteers!D198,Raw_Volunteers!$E$2:$E$926,Raw_Volunteers!E198,Raw_Volunteers!$G$2:$G$926,Raw_Volunteers!G198)&gt;1,"Possible Duplicate","")</f>
        <v/>
      </c>
      <c r="C198" s="9" t="str">
        <f aca="false">Raw_Volunteers!B198</f>
        <v>D1252</v>
      </c>
      <c r="D198" s="9" t="str">
        <f aca="false">IF(C198="","No","Yes")</f>
        <v>Yes</v>
      </c>
      <c r="E198" s="9" t="str">
        <f aca="false">Raw_Volunteers!C198</f>
        <v>Melissa Perez</v>
      </c>
      <c r="F198" s="9" t="str">
        <f aca="false">Raw_Volunteers!D198</f>
        <v>01/06/2026</v>
      </c>
      <c r="G198" s="9" t="str">
        <f aca="false">PROPER(TRIM(Raw_Volunteers!E198))</f>
        <v>Pantry Stocking</v>
      </c>
      <c r="H198" s="9" t="str">
        <f aca="false">Raw_Volunteers!F198</f>
        <v>Mobile Unit - Route B</v>
      </c>
      <c r="I198" s="9" t="n">
        <f aca="false">IF(Raw_Volunteers!G198="",ROUND(AVERAGE(Raw_Volunteers!$G$2:$G$926),1),Raw_Volunteers!G198)</f>
        <v>3</v>
      </c>
    </row>
    <row r="199" customFormat="false" ht="15" hidden="false" customHeight="true" outlineLevel="0" collapsed="false">
      <c r="A199" s="9" t="str">
        <f aca="false">Raw_Volunteers!A199</f>
        <v>V2033</v>
      </c>
      <c r="B199" s="9" t="str">
        <f aca="false">IF(COUNTIFS(Raw_Volunteers!$A$2:$A$926,Raw_Volunteers!A199,Raw_Volunteers!$D$2:$D$926,Raw_Volunteers!D199,Raw_Volunteers!$E$2:$E$926,Raw_Volunteers!E199,Raw_Volunteers!$G$2:$G$926,Raw_Volunteers!G199)&gt;1,"Possible Duplicate","")</f>
        <v/>
      </c>
      <c r="C199" s="9" t="str">
        <f aca="false">Raw_Volunteers!B199</f>
        <v>D1252</v>
      </c>
      <c r="D199" s="9" t="str">
        <f aca="false">IF(C199="","No","Yes")</f>
        <v>Yes</v>
      </c>
      <c r="E199" s="9" t="str">
        <f aca="false">Raw_Volunteers!C199</f>
        <v>Melissa Perez</v>
      </c>
      <c r="F199" s="9" t="str">
        <f aca="false">Raw_Volunteers!D199</f>
        <v>07/02/2024</v>
      </c>
      <c r="G199" s="9" t="str">
        <f aca="false">PROPER(TRIM(Raw_Volunteers!E199))</f>
        <v>Pantry Stocking</v>
      </c>
      <c r="H199" s="9" t="str">
        <f aca="false">Raw_Volunteers!F199</f>
        <v>Main Warehouse</v>
      </c>
      <c r="I199" s="9" t="n">
        <f aca="false">IF(Raw_Volunteers!G199="",ROUND(AVERAGE(Raw_Volunteers!$G$2:$G$926),1),Raw_Volunteers!G199)</f>
        <v>5</v>
      </c>
    </row>
    <row r="200" customFormat="false" ht="15" hidden="false" customHeight="true" outlineLevel="0" collapsed="false">
      <c r="A200" s="9" t="str">
        <f aca="false">Raw_Volunteers!A200</f>
        <v>V2033</v>
      </c>
      <c r="B200" s="9" t="str">
        <f aca="false">IF(COUNTIFS(Raw_Volunteers!$A$2:$A$926,Raw_Volunteers!A200,Raw_Volunteers!$D$2:$D$926,Raw_Volunteers!D200,Raw_Volunteers!$E$2:$E$926,Raw_Volunteers!E200,Raw_Volunteers!$G$2:$G$926,Raw_Volunteers!G200)&gt;1,"Possible Duplicate","")</f>
        <v/>
      </c>
      <c r="C200" s="9" t="str">
        <f aca="false">Raw_Volunteers!B200</f>
        <v>D1252</v>
      </c>
      <c r="D200" s="9" t="str">
        <f aca="false">IF(C200="","No","Yes")</f>
        <v>Yes</v>
      </c>
      <c r="E200" s="9" t="str">
        <f aca="false">Raw_Volunteers!C200</f>
        <v>Melissa Perez</v>
      </c>
      <c r="F200" s="9" t="str">
        <f aca="false">Raw_Volunteers!D200</f>
        <v>08/27/2024</v>
      </c>
      <c r="G200" s="9" t="str">
        <f aca="false">PROPER(TRIM(Raw_Volunteers!E200))</f>
        <v>Food Sorting</v>
      </c>
      <c r="H200" s="9" t="str">
        <f aca="false">Raw_Volunteers!F200</f>
        <v>Main Warehouse</v>
      </c>
      <c r="I200" s="9" t="n">
        <f aca="false">IF(Raw_Volunteers!G200="",ROUND(AVERAGE(Raw_Volunteers!$G$2:$G$926),1),Raw_Volunteers!G200)</f>
        <v>3</v>
      </c>
    </row>
    <row r="201" customFormat="false" ht="15" hidden="false" customHeight="true" outlineLevel="0" collapsed="false">
      <c r="A201" s="9" t="str">
        <f aca="false">Raw_Volunteers!A201</f>
        <v>V2033</v>
      </c>
      <c r="B201" s="9" t="str">
        <f aca="false">IF(COUNTIFS(Raw_Volunteers!$A$2:$A$926,Raw_Volunteers!A201,Raw_Volunteers!$D$2:$D$926,Raw_Volunteers!D201,Raw_Volunteers!$E$2:$E$926,Raw_Volunteers!E201,Raw_Volunteers!$G$2:$G$926,Raw_Volunteers!G201)&gt;1,"Possible Duplicate","")</f>
        <v/>
      </c>
      <c r="C201" s="9" t="str">
        <f aca="false">Raw_Volunteers!B201</f>
        <v>D1252</v>
      </c>
      <c r="D201" s="9" t="str">
        <f aca="false">IF(C201="","No","Yes")</f>
        <v>Yes</v>
      </c>
      <c r="E201" s="9" t="str">
        <f aca="false">Raw_Volunteers!C201</f>
        <v>Melissa Perez</v>
      </c>
      <c r="F201" s="9" t="str">
        <f aca="false">Raw_Volunteers!D201</f>
        <v>10/31/2024</v>
      </c>
      <c r="G201" s="9" t="str">
        <f aca="false">PROPER(TRIM(Raw_Volunteers!E201))</f>
        <v>Event Setup</v>
      </c>
      <c r="H201" s="9" t="str">
        <f aca="false">Raw_Volunteers!F201</f>
        <v>Downtown Pantry</v>
      </c>
      <c r="I201" s="9" t="n">
        <f aca="false">IF(Raw_Volunteers!G201="",ROUND(AVERAGE(Raw_Volunteers!$G$2:$G$926),1),Raw_Volunteers!G201)</f>
        <v>6</v>
      </c>
    </row>
    <row r="202" customFormat="false" ht="15" hidden="false" customHeight="true" outlineLevel="0" collapsed="false">
      <c r="A202" s="9" t="str">
        <f aca="false">Raw_Volunteers!A202</f>
        <v>V2034</v>
      </c>
      <c r="B202" s="9" t="str">
        <f aca="false">IF(COUNTIFS(Raw_Volunteers!$A$2:$A$926,Raw_Volunteers!A202,Raw_Volunteers!$D$2:$D$926,Raw_Volunteers!D202,Raw_Volunteers!$E$2:$E$926,Raw_Volunteers!E202,Raw_Volunteers!$G$2:$G$926,Raw_Volunteers!G202)&gt;1,"Possible Duplicate","")</f>
        <v/>
      </c>
      <c r="C202" s="9" t="str">
        <f aca="false">Raw_Volunteers!B202</f>
        <v>D1448</v>
      </c>
      <c r="D202" s="9" t="str">
        <f aca="false">IF(C202="","No","Yes")</f>
        <v>Yes</v>
      </c>
      <c r="E202" s="9" t="str">
        <f aca="false">Raw_Volunteers!C202</f>
        <v>Kenneth Lopez</v>
      </c>
      <c r="F202" s="9" t="str">
        <f aca="false">Raw_Volunteers!D202</f>
        <v>08/07/2024</v>
      </c>
      <c r="G202" s="9" t="str">
        <f aca="false">PROPER(TRIM(Raw_Volunteers!E202))</f>
        <v>Pantry Stocking</v>
      </c>
      <c r="H202" s="9" t="str">
        <f aca="false">Raw_Volunteers!F202</f>
        <v>Community Center Site</v>
      </c>
      <c r="I202" s="9" t="n">
        <f aca="false">IF(Raw_Volunteers!G202="",ROUND(AVERAGE(Raw_Volunteers!$G$2:$G$926),1),Raw_Volunteers!G202)</f>
        <v>2</v>
      </c>
    </row>
    <row r="203" customFormat="false" ht="15" hidden="false" customHeight="true" outlineLevel="0" collapsed="false">
      <c r="A203" s="9" t="str">
        <f aca="false">Raw_Volunteers!A203</f>
        <v>V2034</v>
      </c>
      <c r="B203" s="9" t="str">
        <f aca="false">IF(COUNTIFS(Raw_Volunteers!$A$2:$A$926,Raw_Volunteers!A203,Raw_Volunteers!$D$2:$D$926,Raw_Volunteers!D203,Raw_Volunteers!$E$2:$E$926,Raw_Volunteers!E203,Raw_Volunteers!$G$2:$G$926,Raw_Volunteers!G203)&gt;1,"Possible Duplicate","")</f>
        <v/>
      </c>
      <c r="C203" s="9" t="str">
        <f aca="false">Raw_Volunteers!B203</f>
        <v>D1448</v>
      </c>
      <c r="D203" s="9" t="str">
        <f aca="false">IF(C203="","No","Yes")</f>
        <v>Yes</v>
      </c>
      <c r="E203" s="9" t="str">
        <f aca="false">Raw_Volunteers!C203</f>
        <v>Kenneth Lopez</v>
      </c>
      <c r="F203" s="9" t="str">
        <f aca="false">Raw_Volunteers!D203</f>
        <v>09/25/2024</v>
      </c>
      <c r="G203" s="9" t="str">
        <f aca="false">PROPER(TRIM(Raw_Volunteers!E203))</f>
        <v>Pantry Stocking</v>
      </c>
      <c r="H203" s="9" t="str">
        <f aca="false">Raw_Volunteers!F203</f>
        <v>Mobile Unit - Route B</v>
      </c>
      <c r="I203" s="9" t="n">
        <f aca="false">IF(Raw_Volunteers!G203="",ROUND(AVERAGE(Raw_Volunteers!$G$2:$G$926),1),Raw_Volunteers!G203)</f>
        <v>3</v>
      </c>
    </row>
    <row r="204" customFormat="false" ht="15" hidden="false" customHeight="true" outlineLevel="0" collapsed="false">
      <c r="A204" s="9" t="str">
        <f aca="false">Raw_Volunteers!A204</f>
        <v>V2034</v>
      </c>
      <c r="B204" s="9" t="str">
        <f aca="false">IF(COUNTIFS(Raw_Volunteers!$A$2:$A$926,Raw_Volunteers!A204,Raw_Volunteers!$D$2:$D$926,Raw_Volunteers!D204,Raw_Volunteers!$E$2:$E$926,Raw_Volunteers!E204,Raw_Volunteers!$G$2:$G$926,Raw_Volunteers!G204)&gt;1,"Possible Duplicate","")</f>
        <v/>
      </c>
      <c r="C204" s="9" t="str">
        <f aca="false">Raw_Volunteers!B204</f>
        <v>D1448</v>
      </c>
      <c r="D204" s="9" t="str">
        <f aca="false">IF(C204="","No","Yes")</f>
        <v>Yes</v>
      </c>
      <c r="E204" s="9" t="str">
        <f aca="false">Raw_Volunteers!C204</f>
        <v>Kenneth Lopez</v>
      </c>
      <c r="F204" s="9" t="str">
        <f aca="false">Raw_Volunteers!D204</f>
        <v>07/20/2025</v>
      </c>
      <c r="G204" s="9" t="str">
        <f aca="false">PROPER(TRIM(Raw_Volunteers!E204))</f>
        <v>Warehouse Loading</v>
      </c>
      <c r="H204" s="9" t="str">
        <f aca="false">Raw_Volunteers!F204</f>
        <v>Downtown Pantry</v>
      </c>
      <c r="I204" s="9" t="n">
        <f aca="false">IF(Raw_Volunteers!G204="",ROUND(AVERAGE(Raw_Volunteers!$G$2:$G$926),1),Raw_Volunteers!G204)</f>
        <v>3</v>
      </c>
    </row>
    <row r="205" customFormat="false" ht="15" hidden="false" customHeight="true" outlineLevel="0" collapsed="false">
      <c r="A205" s="9" t="str">
        <f aca="false">Raw_Volunteers!A205</f>
        <v>V2034</v>
      </c>
      <c r="B205" s="9" t="str">
        <f aca="false">IF(COUNTIFS(Raw_Volunteers!$A$2:$A$926,Raw_Volunteers!A205,Raw_Volunteers!$D$2:$D$926,Raw_Volunteers!D205,Raw_Volunteers!$E$2:$E$926,Raw_Volunteers!E205,Raw_Volunteers!$G$2:$G$926,Raw_Volunteers!G205)&gt;1,"Possible Duplicate","")</f>
        <v/>
      </c>
      <c r="C205" s="9" t="str">
        <f aca="false">Raw_Volunteers!B205</f>
        <v>D1448</v>
      </c>
      <c r="D205" s="9" t="str">
        <f aca="false">IF(C205="","No","Yes")</f>
        <v>Yes</v>
      </c>
      <c r="E205" s="9" t="str">
        <f aca="false">Raw_Volunteers!C205</f>
        <v>Kenneth Lopez</v>
      </c>
      <c r="F205" s="9" t="str">
        <f aca="false">Raw_Volunteers!D205</f>
        <v>12/27/2025</v>
      </c>
      <c r="G205" s="9" t="str">
        <f aca="false">PROPER(TRIM(Raw_Volunteers!E205))</f>
        <v>Pantry Stocking</v>
      </c>
      <c r="H205" s="9" t="str">
        <f aca="false">Raw_Volunteers!F205</f>
        <v>Main Warehouse</v>
      </c>
      <c r="I205" s="9" t="n">
        <f aca="false">IF(Raw_Volunteers!G205="",ROUND(AVERAGE(Raw_Volunteers!$G$2:$G$926),1),Raw_Volunteers!G205)</f>
        <v>6</v>
      </c>
    </row>
    <row r="206" customFormat="false" ht="15" hidden="false" customHeight="true" outlineLevel="0" collapsed="false">
      <c r="A206" s="9" t="str">
        <f aca="false">Raw_Volunteers!A206</f>
        <v>V2034</v>
      </c>
      <c r="B206" s="9" t="str">
        <f aca="false">IF(COUNTIFS(Raw_Volunteers!$A$2:$A$926,Raw_Volunteers!A206,Raw_Volunteers!$D$2:$D$926,Raw_Volunteers!D206,Raw_Volunteers!$E$2:$E$926,Raw_Volunteers!E206,Raw_Volunteers!$G$2:$G$926,Raw_Volunteers!G206)&gt;1,"Possible Duplicate","")</f>
        <v/>
      </c>
      <c r="C206" s="9" t="str">
        <f aca="false">Raw_Volunteers!B206</f>
        <v>D1448</v>
      </c>
      <c r="D206" s="9" t="str">
        <f aca="false">IF(C206="","No","Yes")</f>
        <v>Yes</v>
      </c>
      <c r="E206" s="9" t="str">
        <f aca="false">Raw_Volunteers!C206</f>
        <v>Kenneth Lopez</v>
      </c>
      <c r="F206" s="9" t="str">
        <f aca="false">Raw_Volunteers!D206</f>
        <v>08/09/2024</v>
      </c>
      <c r="G206" s="9" t="str">
        <f aca="false">PROPER(TRIM(Raw_Volunteers!E206))</f>
        <v>Front Desk Greeter</v>
      </c>
      <c r="H206" s="9" t="str">
        <f aca="false">Raw_Volunteers!F206</f>
        <v>Main Warehouse</v>
      </c>
      <c r="I206" s="9" t="n">
        <f aca="false">IF(Raw_Volunteers!G206="",ROUND(AVERAGE(Raw_Volunteers!$G$2:$G$926),1),Raw_Volunteers!G206)</f>
        <v>2</v>
      </c>
    </row>
    <row r="207" customFormat="false" ht="15" hidden="false" customHeight="true" outlineLevel="0" collapsed="false">
      <c r="A207" s="9" t="str">
        <f aca="false">Raw_Volunteers!A207</f>
        <v>V2035</v>
      </c>
      <c r="B207" s="9" t="str">
        <f aca="false">IF(COUNTIFS(Raw_Volunteers!$A$2:$A$926,Raw_Volunteers!A207,Raw_Volunteers!$D$2:$D$926,Raw_Volunteers!D207,Raw_Volunteers!$E$2:$E$926,Raw_Volunteers!E207,Raw_Volunteers!$G$2:$G$926,Raw_Volunteers!G207)&gt;1,"Possible Duplicate","")</f>
        <v/>
      </c>
      <c r="C207" s="9" t="str">
        <f aca="false">Raw_Volunteers!B207</f>
        <v>D1464</v>
      </c>
      <c r="D207" s="9" t="str">
        <f aca="false">IF(C207="","No","Yes")</f>
        <v>Yes</v>
      </c>
      <c r="E207" s="9" t="str">
        <f aca="false">Raw_Volunteers!C207</f>
        <v>Thomas Wilson</v>
      </c>
      <c r="F207" s="9" t="str">
        <f aca="false">Raw_Volunteers!D207</f>
        <v>01/31/2024</v>
      </c>
      <c r="G207" s="9" t="str">
        <f aca="false">PROPER(TRIM(Raw_Volunteers!E207))</f>
        <v>Pantry Stocking</v>
      </c>
      <c r="H207" s="9" t="str">
        <f aca="false">Raw_Volunteers!F207</f>
        <v>Mobile Unit - Route A</v>
      </c>
      <c r="I207" s="9" t="n">
        <f aca="false">IF(Raw_Volunteers!G207="",ROUND(AVERAGE(Raw_Volunteers!$G$2:$G$926),1),Raw_Volunteers!G207)</f>
        <v>4</v>
      </c>
    </row>
    <row r="208" customFormat="false" ht="15" hidden="false" customHeight="true" outlineLevel="0" collapsed="false">
      <c r="A208" s="9" t="str">
        <f aca="false">Raw_Volunteers!A208</f>
        <v>V2035</v>
      </c>
      <c r="B208" s="9" t="str">
        <f aca="false">IF(COUNTIFS(Raw_Volunteers!$A$2:$A$926,Raw_Volunteers!A208,Raw_Volunteers!$D$2:$D$926,Raw_Volunteers!D208,Raw_Volunteers!$E$2:$E$926,Raw_Volunteers!E208,Raw_Volunteers!$G$2:$G$926,Raw_Volunteers!G208)&gt;1,"Possible Duplicate","")</f>
        <v/>
      </c>
      <c r="C208" s="9" t="str">
        <f aca="false">Raw_Volunteers!B208</f>
        <v>D1464</v>
      </c>
      <c r="D208" s="9" t="str">
        <f aca="false">IF(C208="","No","Yes")</f>
        <v>Yes</v>
      </c>
      <c r="E208" s="9" t="str">
        <f aca="false">Raw_Volunteers!C208</f>
        <v>Thomas Wilson</v>
      </c>
      <c r="F208" s="9" t="str">
        <f aca="false">Raw_Volunteers!D208</f>
        <v>09/19/2025</v>
      </c>
      <c r="G208" s="9" t="str">
        <f aca="false">PROPER(TRIM(Raw_Volunteers!E208))</f>
        <v>Food Sorting</v>
      </c>
      <c r="H208" s="9" t="str">
        <f aca="false">Raw_Volunteers!F208</f>
        <v>Mobile Unit - Route B</v>
      </c>
      <c r="I208" s="9" t="n">
        <f aca="false">IF(Raw_Volunteers!G208="",ROUND(AVERAGE(Raw_Volunteers!$G$2:$G$926),1),Raw_Volunteers!G208)</f>
        <v>3</v>
      </c>
    </row>
    <row r="209" customFormat="false" ht="15" hidden="false" customHeight="true" outlineLevel="0" collapsed="false">
      <c r="A209" s="9" t="str">
        <f aca="false">Raw_Volunteers!A209</f>
        <v>V2035</v>
      </c>
      <c r="B209" s="9" t="str">
        <f aca="false">IF(COUNTIFS(Raw_Volunteers!$A$2:$A$926,Raw_Volunteers!A209,Raw_Volunteers!$D$2:$D$926,Raw_Volunteers!D209,Raw_Volunteers!$E$2:$E$926,Raw_Volunteers!E209,Raw_Volunteers!$G$2:$G$926,Raw_Volunteers!G209)&gt;1,"Possible Duplicate","")</f>
        <v/>
      </c>
      <c r="C209" s="9" t="str">
        <f aca="false">Raw_Volunteers!B209</f>
        <v>D1464</v>
      </c>
      <c r="D209" s="9" t="str">
        <f aca="false">IF(C209="","No","Yes")</f>
        <v>Yes</v>
      </c>
      <c r="E209" s="9" t="str">
        <f aca="false">Raw_Volunteers!C209</f>
        <v>Thomas Wilson</v>
      </c>
      <c r="F209" s="9" t="str">
        <f aca="false">Raw_Volunteers!D209</f>
        <v>09/18/2024</v>
      </c>
      <c r="G209" s="9" t="str">
        <f aca="false">PROPER(TRIM(Raw_Volunteers!E209))</f>
        <v>Client Intake Assistant</v>
      </c>
      <c r="H209" s="9" t="str">
        <f aca="false">Raw_Volunteers!F209</f>
        <v>Mobile Unit - Route B</v>
      </c>
      <c r="I209" s="9" t="n">
        <f aca="false">IF(Raw_Volunteers!G209="",ROUND(AVERAGE(Raw_Volunteers!$G$2:$G$926),1),Raw_Volunteers!G209)</f>
        <v>2</v>
      </c>
    </row>
    <row r="210" customFormat="false" ht="15" hidden="false" customHeight="true" outlineLevel="0" collapsed="false">
      <c r="A210" s="9" t="str">
        <f aca="false">Raw_Volunteers!A210</f>
        <v>V2036</v>
      </c>
      <c r="B210" s="9" t="str">
        <f aca="false">IF(COUNTIFS(Raw_Volunteers!$A$2:$A$926,Raw_Volunteers!A210,Raw_Volunteers!$D$2:$D$926,Raw_Volunteers!D210,Raw_Volunteers!$E$2:$E$926,Raw_Volunteers!E210,Raw_Volunteers!$G$2:$G$926,Raw_Volunteers!G210)&gt;1,"Possible Duplicate","")</f>
        <v/>
      </c>
      <c r="C210" s="9" t="str">
        <f aca="false">Raw_Volunteers!B210</f>
        <v>D1517</v>
      </c>
      <c r="D210" s="9" t="str">
        <f aca="false">IF(C210="","No","Yes")</f>
        <v>Yes</v>
      </c>
      <c r="E210" s="9" t="str">
        <f aca="false">Raw_Volunteers!C210</f>
        <v>Melissa Thomas</v>
      </c>
      <c r="F210" s="9" t="str">
        <f aca="false">Raw_Volunteers!D210</f>
        <v>03/22/2024</v>
      </c>
      <c r="G210" s="9" t="str">
        <f aca="false">PROPER(TRIM(Raw_Volunteers!E210))</f>
        <v>Pantry Stocking</v>
      </c>
      <c r="H210" s="9" t="str">
        <f aca="false">Raw_Volunteers!F210</f>
        <v>Downtown Pantry</v>
      </c>
      <c r="I210" s="9" t="n">
        <f aca="false">IF(Raw_Volunteers!G210="",ROUND(AVERAGE(Raw_Volunteers!$G$2:$G$926),1),Raw_Volunteers!G210)</f>
        <v>3</v>
      </c>
    </row>
    <row r="211" customFormat="false" ht="15" hidden="false" customHeight="true" outlineLevel="0" collapsed="false">
      <c r="A211" s="9" t="str">
        <f aca="false">Raw_Volunteers!A211</f>
        <v>V2036</v>
      </c>
      <c r="B211" s="9" t="str">
        <f aca="false">IF(COUNTIFS(Raw_Volunteers!$A$2:$A$926,Raw_Volunteers!A211,Raw_Volunteers!$D$2:$D$926,Raw_Volunteers!D211,Raw_Volunteers!$E$2:$E$926,Raw_Volunteers!E211,Raw_Volunteers!$G$2:$G$926,Raw_Volunteers!G211)&gt;1,"Possible Duplicate","")</f>
        <v/>
      </c>
      <c r="C211" s="9" t="str">
        <f aca="false">Raw_Volunteers!B211</f>
        <v>D1517</v>
      </c>
      <c r="D211" s="9" t="str">
        <f aca="false">IF(C211="","No","Yes")</f>
        <v>Yes</v>
      </c>
      <c r="E211" s="9" t="str">
        <f aca="false">Raw_Volunteers!C211</f>
        <v>Melissa Thomas</v>
      </c>
      <c r="F211" s="9" t="str">
        <f aca="false">Raw_Volunteers!D211</f>
        <v>09/25/2025</v>
      </c>
      <c r="G211" s="9" t="str">
        <f aca="false">PROPER(TRIM(Raw_Volunteers!E211))</f>
        <v>Event Setup</v>
      </c>
      <c r="H211" s="9" t="str">
        <f aca="false">Raw_Volunteers!F211</f>
        <v>Main Warehouse</v>
      </c>
      <c r="I211" s="9" t="n">
        <f aca="false">IF(Raw_Volunteers!G211="",ROUND(AVERAGE(Raw_Volunteers!$G$2:$G$926),1),Raw_Volunteers!G211)</f>
        <v>2</v>
      </c>
    </row>
    <row r="212" customFormat="false" ht="15" hidden="false" customHeight="true" outlineLevel="0" collapsed="false">
      <c r="A212" s="9" t="str">
        <f aca="false">Raw_Volunteers!A212</f>
        <v>V2036</v>
      </c>
      <c r="B212" s="9" t="str">
        <f aca="false">IF(COUNTIFS(Raw_Volunteers!$A$2:$A$926,Raw_Volunteers!A212,Raw_Volunteers!$D$2:$D$926,Raw_Volunteers!D212,Raw_Volunteers!$E$2:$E$926,Raw_Volunteers!E212,Raw_Volunteers!$G$2:$G$926,Raw_Volunteers!G212)&gt;1,"Possible Duplicate","")</f>
        <v/>
      </c>
      <c r="C212" s="9" t="str">
        <f aca="false">Raw_Volunteers!B212</f>
        <v>D1517</v>
      </c>
      <c r="D212" s="9" t="str">
        <f aca="false">IF(C212="","No","Yes")</f>
        <v>Yes</v>
      </c>
      <c r="E212" s="9" t="str">
        <f aca="false">Raw_Volunteers!C212</f>
        <v>Melissa Thomas</v>
      </c>
      <c r="F212" s="9" t="str">
        <f aca="false">Raw_Volunteers!D212</f>
        <v>05/16/2024</v>
      </c>
      <c r="G212" s="9" t="str">
        <f aca="false">PROPER(TRIM(Raw_Volunteers!E212))</f>
        <v>Warehouse Loading</v>
      </c>
      <c r="H212" s="9" t="str">
        <f aca="false">Raw_Volunteers!F212</f>
        <v>Community Center Site</v>
      </c>
      <c r="I212" s="9" t="n">
        <f aca="false">IF(Raw_Volunteers!G212="",ROUND(AVERAGE(Raw_Volunteers!$G$2:$G$926),1),Raw_Volunteers!G212)</f>
        <v>2</v>
      </c>
    </row>
    <row r="213" customFormat="false" ht="15" hidden="false" customHeight="true" outlineLevel="0" collapsed="false">
      <c r="A213" s="9" t="str">
        <f aca="false">Raw_Volunteers!A213</f>
        <v>V2037</v>
      </c>
      <c r="B213" s="9" t="str">
        <f aca="false">IF(COUNTIFS(Raw_Volunteers!$A$2:$A$926,Raw_Volunteers!A213,Raw_Volunteers!$D$2:$D$926,Raw_Volunteers!D213,Raw_Volunteers!$E$2:$E$926,Raw_Volunteers!E213,Raw_Volunteers!$G$2:$G$926,Raw_Volunteers!G213)&gt;1,"Possible Duplicate","")</f>
        <v/>
      </c>
      <c r="C213" s="9" t="str">
        <f aca="false">Raw_Volunteers!B213</f>
        <v>D1522</v>
      </c>
      <c r="D213" s="9" t="str">
        <f aca="false">IF(C213="","No","Yes")</f>
        <v>Yes</v>
      </c>
      <c r="E213" s="9" t="str">
        <f aca="false">Raw_Volunteers!C213</f>
        <v>Steven Moore</v>
      </c>
      <c r="F213" s="9" t="str">
        <f aca="false">Raw_Volunteers!D213</f>
        <v>10/09/2025</v>
      </c>
      <c r="G213" s="9" t="str">
        <f aca="false">PROPER(TRIM(Raw_Volunteers!E213))</f>
        <v>Client Intake Assistant</v>
      </c>
      <c r="H213" s="9" t="str">
        <f aca="false">Raw_Volunteers!F213</f>
        <v>Community Center Site</v>
      </c>
      <c r="I213" s="9" t="n">
        <f aca="false">IF(Raw_Volunteers!G213="",ROUND(AVERAGE(Raw_Volunteers!$G$2:$G$926),1),Raw_Volunteers!G213)</f>
        <v>3</v>
      </c>
    </row>
    <row r="214" customFormat="false" ht="15" hidden="false" customHeight="true" outlineLevel="0" collapsed="false">
      <c r="A214" s="9" t="str">
        <f aca="false">Raw_Volunteers!A214</f>
        <v>V2037</v>
      </c>
      <c r="B214" s="9" t="str">
        <f aca="false">IF(COUNTIFS(Raw_Volunteers!$A$2:$A$926,Raw_Volunteers!A214,Raw_Volunteers!$D$2:$D$926,Raw_Volunteers!D214,Raw_Volunteers!$E$2:$E$926,Raw_Volunteers!E214,Raw_Volunteers!$G$2:$G$926,Raw_Volunteers!G214)&gt;1,"Possible Duplicate","")</f>
        <v/>
      </c>
      <c r="C214" s="9" t="str">
        <f aca="false">Raw_Volunteers!B214</f>
        <v>D1522</v>
      </c>
      <c r="D214" s="9" t="str">
        <f aca="false">IF(C214="","No","Yes")</f>
        <v>Yes</v>
      </c>
      <c r="E214" s="9" t="str">
        <f aca="false">Raw_Volunteers!C214</f>
        <v>Steven Moore</v>
      </c>
      <c r="F214" s="9" t="str">
        <f aca="false">Raw_Volunteers!D214</f>
        <v>11/14/2024</v>
      </c>
      <c r="G214" s="9" t="str">
        <f aca="false">PROPER(TRIM(Raw_Volunteers!E214))</f>
        <v>Event Setup</v>
      </c>
      <c r="H214" s="9" t="str">
        <f aca="false">Raw_Volunteers!F214</f>
        <v>Downtown Pantry</v>
      </c>
      <c r="I214" s="9" t="n">
        <f aca="false">IF(Raw_Volunteers!G214="",ROUND(AVERAGE(Raw_Volunteers!$G$2:$G$926),1),Raw_Volunteers!G214)</f>
        <v>3</v>
      </c>
    </row>
    <row r="215" customFormat="false" ht="15" hidden="false" customHeight="true" outlineLevel="0" collapsed="false">
      <c r="A215" s="9" t="str">
        <f aca="false">Raw_Volunteers!A215</f>
        <v>V2037</v>
      </c>
      <c r="B215" s="9" t="str">
        <f aca="false">IF(COUNTIFS(Raw_Volunteers!$A$2:$A$926,Raw_Volunteers!A215,Raw_Volunteers!$D$2:$D$926,Raw_Volunteers!D215,Raw_Volunteers!$E$2:$E$926,Raw_Volunteers!E215,Raw_Volunteers!$G$2:$G$926,Raw_Volunteers!G215)&gt;1,"Possible Duplicate","")</f>
        <v/>
      </c>
      <c r="C215" s="9" t="str">
        <f aca="false">Raw_Volunteers!B215</f>
        <v>D1522</v>
      </c>
      <c r="D215" s="9" t="str">
        <f aca="false">IF(C215="","No","Yes")</f>
        <v>Yes</v>
      </c>
      <c r="E215" s="9" t="str">
        <f aca="false">Raw_Volunteers!C215</f>
        <v>Steven Moore</v>
      </c>
      <c r="F215" s="9" t="str">
        <f aca="false">Raw_Volunteers!D215</f>
        <v>05/26/2025</v>
      </c>
      <c r="G215" s="9" t="str">
        <f aca="false">PROPER(TRIM(Raw_Volunteers!E215))</f>
        <v>Pantry Stocking</v>
      </c>
      <c r="H215" s="9" t="str">
        <f aca="false">Raw_Volunteers!F215</f>
        <v>Main Warehouse</v>
      </c>
      <c r="I215" s="9" t="n">
        <f aca="false">IF(Raw_Volunteers!G215="",ROUND(AVERAGE(Raw_Volunteers!$G$2:$G$926),1),Raw_Volunteers!G215)</f>
        <v>2</v>
      </c>
    </row>
    <row r="216" customFormat="false" ht="15" hidden="false" customHeight="true" outlineLevel="0" collapsed="false">
      <c r="A216" s="9" t="str">
        <f aca="false">Raw_Volunteers!A216</f>
        <v>V2037</v>
      </c>
      <c r="B216" s="9" t="str">
        <f aca="false">IF(COUNTIFS(Raw_Volunteers!$A$2:$A$926,Raw_Volunteers!A216,Raw_Volunteers!$D$2:$D$926,Raw_Volunteers!D216,Raw_Volunteers!$E$2:$E$926,Raw_Volunteers!E216,Raw_Volunteers!$G$2:$G$926,Raw_Volunteers!G216)&gt;1,"Possible Duplicate","")</f>
        <v/>
      </c>
      <c r="C216" s="9" t="str">
        <f aca="false">Raw_Volunteers!B216</f>
        <v>D1522</v>
      </c>
      <c r="D216" s="9" t="str">
        <f aca="false">IF(C216="","No","Yes")</f>
        <v>Yes</v>
      </c>
      <c r="E216" s="9" t="str">
        <f aca="false">Raw_Volunteers!C216</f>
        <v>Steven Moore</v>
      </c>
      <c r="F216" s="9" t="str">
        <f aca="false">Raw_Volunteers!D216</f>
        <v>07/05/2025</v>
      </c>
      <c r="G216" s="9" t="str">
        <f aca="false">PROPER(TRIM(Raw_Volunteers!E216))</f>
        <v>Food Sorting</v>
      </c>
      <c r="H216" s="9" t="str">
        <f aca="false">Raw_Volunteers!F216</f>
        <v>Main Warehouse</v>
      </c>
      <c r="I216" s="9" t="n">
        <f aca="false">IF(Raw_Volunteers!G216="",ROUND(AVERAGE(Raw_Volunteers!$G$2:$G$926),1),Raw_Volunteers!G216)</f>
        <v>2</v>
      </c>
    </row>
    <row r="217" customFormat="false" ht="15" hidden="false" customHeight="true" outlineLevel="0" collapsed="false">
      <c r="A217" s="9" t="str">
        <f aca="false">Raw_Volunteers!A217</f>
        <v>V2037</v>
      </c>
      <c r="B217" s="9" t="str">
        <f aca="false">IF(COUNTIFS(Raw_Volunteers!$A$2:$A$926,Raw_Volunteers!A217,Raw_Volunteers!$D$2:$D$926,Raw_Volunteers!D217,Raw_Volunteers!$E$2:$E$926,Raw_Volunteers!E217,Raw_Volunteers!$G$2:$G$926,Raw_Volunteers!G217)&gt;1,"Possible Duplicate","")</f>
        <v/>
      </c>
      <c r="C217" s="9" t="str">
        <f aca="false">Raw_Volunteers!B217</f>
        <v>D1522</v>
      </c>
      <c r="D217" s="9" t="str">
        <f aca="false">IF(C217="","No","Yes")</f>
        <v>Yes</v>
      </c>
      <c r="E217" s="9" t="str">
        <f aca="false">Raw_Volunteers!C217</f>
        <v>Steven Moore</v>
      </c>
      <c r="F217" s="9" t="str">
        <f aca="false">Raw_Volunteers!D217</f>
        <v>03/08/2024</v>
      </c>
      <c r="G217" s="9" t="str">
        <f aca="false">PROPER(TRIM(Raw_Volunteers!E217))</f>
        <v>Client Intake Assistant</v>
      </c>
      <c r="H217" s="9" t="str">
        <f aca="false">Raw_Volunteers!F217</f>
        <v>Community Center Site</v>
      </c>
      <c r="I217" s="9" t="n">
        <f aca="false">IF(Raw_Volunteers!G217="",ROUND(AVERAGE(Raw_Volunteers!$G$2:$G$926),1),Raw_Volunteers!G217)</f>
        <v>4</v>
      </c>
    </row>
    <row r="218" customFormat="false" ht="15" hidden="false" customHeight="true" outlineLevel="0" collapsed="false">
      <c r="A218" s="9" t="str">
        <f aca="false">Raw_Volunteers!A218</f>
        <v>V2037</v>
      </c>
      <c r="B218" s="9" t="str">
        <f aca="false">IF(COUNTIFS(Raw_Volunteers!$A$2:$A$926,Raw_Volunteers!A218,Raw_Volunteers!$D$2:$D$926,Raw_Volunteers!D218,Raw_Volunteers!$E$2:$E$926,Raw_Volunteers!E218,Raw_Volunteers!$G$2:$G$926,Raw_Volunteers!G218)&gt;1,"Possible Duplicate","")</f>
        <v/>
      </c>
      <c r="C218" s="9" t="str">
        <f aca="false">Raw_Volunteers!B218</f>
        <v>D1522</v>
      </c>
      <c r="D218" s="9" t="str">
        <f aca="false">IF(C218="","No","Yes")</f>
        <v>Yes</v>
      </c>
      <c r="E218" s="9" t="str">
        <f aca="false">Raw_Volunteers!C218</f>
        <v>Steven Moore</v>
      </c>
      <c r="F218" s="9" t="str">
        <f aca="false">Raw_Volunteers!D218</f>
        <v>01/26/2026</v>
      </c>
      <c r="G218" s="9" t="str">
        <f aca="false">PROPER(TRIM(Raw_Volunteers!E218))</f>
        <v>Event Setup</v>
      </c>
      <c r="H218" s="9" t="str">
        <f aca="false">Raw_Volunteers!F218</f>
        <v>Community Center Site</v>
      </c>
      <c r="I218" s="9" t="n">
        <f aca="false">IF(Raw_Volunteers!G218="",ROUND(AVERAGE(Raw_Volunteers!$G$2:$G$926),1),Raw_Volunteers!G218)</f>
        <v>3</v>
      </c>
    </row>
    <row r="219" customFormat="false" ht="15" hidden="false" customHeight="true" outlineLevel="0" collapsed="false">
      <c r="A219" s="9" t="str">
        <f aca="false">Raw_Volunteers!A219</f>
        <v>V2037</v>
      </c>
      <c r="B219" s="9" t="str">
        <f aca="false">IF(COUNTIFS(Raw_Volunteers!$A$2:$A$926,Raw_Volunteers!A219,Raw_Volunteers!$D$2:$D$926,Raw_Volunteers!D219,Raw_Volunteers!$E$2:$E$926,Raw_Volunteers!E219,Raw_Volunteers!$G$2:$G$926,Raw_Volunteers!G219)&gt;1,"Possible Duplicate","")</f>
        <v/>
      </c>
      <c r="C219" s="9" t="str">
        <f aca="false">Raw_Volunteers!B219</f>
        <v>D1522</v>
      </c>
      <c r="D219" s="9" t="str">
        <f aca="false">IF(C219="","No","Yes")</f>
        <v>Yes</v>
      </c>
      <c r="E219" s="9" t="str">
        <f aca="false">Raw_Volunteers!C219</f>
        <v>Steven Moore</v>
      </c>
      <c r="F219" s="9" t="str">
        <f aca="false">Raw_Volunteers!D219</f>
        <v>04/23/2026</v>
      </c>
      <c r="G219" s="9" t="str">
        <f aca="false">PROPER(TRIM(Raw_Volunteers!E219))</f>
        <v>Food Sorting</v>
      </c>
      <c r="H219" s="9" t="str">
        <f aca="false">Raw_Volunteers!F219</f>
        <v>Main Warehouse</v>
      </c>
      <c r="I219" s="9" t="n">
        <f aca="false">IF(Raw_Volunteers!G219="",ROUND(AVERAGE(Raw_Volunteers!$G$2:$G$926),1),Raw_Volunteers!G219)</f>
        <v>2</v>
      </c>
    </row>
    <row r="220" customFormat="false" ht="15" hidden="false" customHeight="true" outlineLevel="0" collapsed="false">
      <c r="A220" s="9" t="str">
        <f aca="false">Raw_Volunteers!A220</f>
        <v>V2037</v>
      </c>
      <c r="B220" s="9" t="str">
        <f aca="false">IF(COUNTIFS(Raw_Volunteers!$A$2:$A$926,Raw_Volunteers!A220,Raw_Volunteers!$D$2:$D$926,Raw_Volunteers!D220,Raw_Volunteers!$E$2:$E$926,Raw_Volunteers!E220,Raw_Volunteers!$G$2:$G$926,Raw_Volunteers!G220)&gt;1,"Possible Duplicate","")</f>
        <v/>
      </c>
      <c r="C220" s="9" t="str">
        <f aca="false">Raw_Volunteers!B220</f>
        <v>D1522</v>
      </c>
      <c r="D220" s="9" t="str">
        <f aca="false">IF(C220="","No","Yes")</f>
        <v>Yes</v>
      </c>
      <c r="E220" s="9" t="str">
        <f aca="false">Raw_Volunteers!C220</f>
        <v>Steven Moore</v>
      </c>
      <c r="F220" s="9" t="str">
        <f aca="false">Raw_Volunteers!D220</f>
        <v>05/24/2025</v>
      </c>
      <c r="G220" s="9" t="str">
        <f aca="false">PROPER(TRIM(Raw_Volunteers!E220))</f>
        <v>Holiday Box Packing</v>
      </c>
      <c r="H220" s="9" t="str">
        <f aca="false">Raw_Volunteers!F220</f>
        <v>Mobile Unit - Route B</v>
      </c>
      <c r="I220" s="9" t="n">
        <f aca="false">IF(Raw_Volunteers!G220="",ROUND(AVERAGE(Raw_Volunteers!$G$2:$G$926),1),Raw_Volunteers!G220)</f>
        <v>2</v>
      </c>
    </row>
    <row r="221" customFormat="false" ht="15" hidden="false" customHeight="true" outlineLevel="0" collapsed="false">
      <c r="A221" s="9" t="str">
        <f aca="false">Raw_Volunteers!A221</f>
        <v>V2037</v>
      </c>
      <c r="B221" s="9" t="str">
        <f aca="false">IF(COUNTIFS(Raw_Volunteers!$A$2:$A$926,Raw_Volunteers!A221,Raw_Volunteers!$D$2:$D$926,Raw_Volunteers!D221,Raw_Volunteers!$E$2:$E$926,Raw_Volunteers!E221,Raw_Volunteers!$G$2:$G$926,Raw_Volunteers!G221)&gt;1,"Possible Duplicate","")</f>
        <v/>
      </c>
      <c r="C221" s="9" t="str">
        <f aca="false">Raw_Volunteers!B221</f>
        <v>D1522</v>
      </c>
      <c r="D221" s="9" t="str">
        <f aca="false">IF(C221="","No","Yes")</f>
        <v>Yes</v>
      </c>
      <c r="E221" s="9" t="str">
        <f aca="false">Raw_Volunteers!C221</f>
        <v>Steven Moore</v>
      </c>
      <c r="F221" s="9" t="str">
        <f aca="false">Raw_Volunteers!D221</f>
        <v>09/02/2024</v>
      </c>
      <c r="G221" s="9" t="str">
        <f aca="false">PROPER(TRIM(Raw_Volunteers!E221))</f>
        <v>Pantry Stocking</v>
      </c>
      <c r="H221" s="9" t="str">
        <f aca="false">Raw_Volunteers!F221</f>
        <v>Downtown Pantry</v>
      </c>
      <c r="I221" s="9" t="n">
        <f aca="false">IF(Raw_Volunteers!G221="",ROUND(AVERAGE(Raw_Volunteers!$G$2:$G$926),1),Raw_Volunteers!G221)</f>
        <v>2</v>
      </c>
    </row>
    <row r="222" customFormat="false" ht="15" hidden="false" customHeight="true" outlineLevel="0" collapsed="false">
      <c r="A222" s="9" t="str">
        <f aca="false">Raw_Volunteers!A222</f>
        <v>V2037</v>
      </c>
      <c r="B222" s="9" t="str">
        <f aca="false">IF(COUNTIFS(Raw_Volunteers!$A$2:$A$926,Raw_Volunteers!A222,Raw_Volunteers!$D$2:$D$926,Raw_Volunteers!D222,Raw_Volunteers!$E$2:$E$926,Raw_Volunteers!E222,Raw_Volunteers!$G$2:$G$926,Raw_Volunteers!G222)&gt;1,"Possible Duplicate","")</f>
        <v/>
      </c>
      <c r="C222" s="9" t="str">
        <f aca="false">Raw_Volunteers!B222</f>
        <v>D1522</v>
      </c>
      <c r="D222" s="9" t="str">
        <f aca="false">IF(C222="","No","Yes")</f>
        <v>Yes</v>
      </c>
      <c r="E222" s="9" t="str">
        <f aca="false">Raw_Volunteers!C222</f>
        <v>Steven Moore</v>
      </c>
      <c r="F222" s="9" t="str">
        <f aca="false">Raw_Volunteers!D222</f>
        <v>10/10/2024</v>
      </c>
      <c r="G222" s="9" t="str">
        <f aca="false">PROPER(TRIM(Raw_Volunteers!E222))</f>
        <v>Holiday Box Packing</v>
      </c>
      <c r="H222" s="9" t="str">
        <f aca="false">Raw_Volunteers!F222</f>
        <v>Community Center Site</v>
      </c>
      <c r="I222" s="9" t="n">
        <f aca="false">IF(Raw_Volunteers!G222="",ROUND(AVERAGE(Raw_Volunteers!$G$2:$G$926),1),Raw_Volunteers!G222)</f>
        <v>4</v>
      </c>
    </row>
    <row r="223" customFormat="false" ht="15" hidden="false" customHeight="true" outlineLevel="0" collapsed="false">
      <c r="A223" s="9" t="str">
        <f aca="false">Raw_Volunteers!A223</f>
        <v>V2038</v>
      </c>
      <c r="B223" s="9" t="str">
        <f aca="false">IF(COUNTIFS(Raw_Volunteers!$A$2:$A$926,Raw_Volunteers!A223,Raw_Volunteers!$D$2:$D$926,Raw_Volunteers!D223,Raw_Volunteers!$E$2:$E$926,Raw_Volunteers!E223,Raw_Volunteers!$G$2:$G$926,Raw_Volunteers!G223)&gt;1,"Possible Duplicate","")</f>
        <v/>
      </c>
      <c r="C223" s="9" t="str">
        <f aca="false">Raw_Volunteers!B223</f>
        <v>D1585</v>
      </c>
      <c r="D223" s="9" t="str">
        <f aca="false">IF(C223="","No","Yes")</f>
        <v>Yes</v>
      </c>
      <c r="E223" s="9" t="str">
        <f aca="false">Raw_Volunteers!C223</f>
        <v>Betty Taylor</v>
      </c>
      <c r="F223" s="9" t="str">
        <f aca="false">Raw_Volunteers!D223</f>
        <v>05/22/2026</v>
      </c>
      <c r="G223" s="9" t="str">
        <f aca="false">PROPER(TRIM(Raw_Volunteers!E223))</f>
        <v>Client Intake Assistant</v>
      </c>
      <c r="H223" s="9" t="str">
        <f aca="false">Raw_Volunteers!F223</f>
        <v>Main Warehouse</v>
      </c>
      <c r="I223" s="9" t="n">
        <f aca="false">IF(Raw_Volunteers!G223="",ROUND(AVERAGE(Raw_Volunteers!$G$2:$G$926),1),Raw_Volunteers!G223)</f>
        <v>3</v>
      </c>
    </row>
    <row r="224" customFormat="false" ht="15" hidden="false" customHeight="true" outlineLevel="0" collapsed="false">
      <c r="A224" s="9" t="str">
        <f aca="false">Raw_Volunteers!A224</f>
        <v>V2038</v>
      </c>
      <c r="B224" s="9" t="str">
        <f aca="false">IF(COUNTIFS(Raw_Volunteers!$A$2:$A$926,Raw_Volunteers!A224,Raw_Volunteers!$D$2:$D$926,Raw_Volunteers!D224,Raw_Volunteers!$E$2:$E$926,Raw_Volunteers!E224,Raw_Volunteers!$G$2:$G$926,Raw_Volunteers!G224)&gt;1,"Possible Duplicate","")</f>
        <v/>
      </c>
      <c r="C224" s="9" t="str">
        <f aca="false">Raw_Volunteers!B224</f>
        <v>D1585</v>
      </c>
      <c r="D224" s="9" t="str">
        <f aca="false">IF(C224="","No","Yes")</f>
        <v>Yes</v>
      </c>
      <c r="E224" s="9" t="str">
        <f aca="false">Raw_Volunteers!C224</f>
        <v>Betty Taylor</v>
      </c>
      <c r="F224" s="9" t="str">
        <f aca="false">Raw_Volunteers!D224</f>
        <v>11/23/2024</v>
      </c>
      <c r="G224" s="9" t="str">
        <f aca="false">PROPER(TRIM(Raw_Volunteers!E224))</f>
        <v>Food Sorting</v>
      </c>
      <c r="H224" s="9" t="str">
        <f aca="false">Raw_Volunteers!F224</f>
        <v>Main Warehouse</v>
      </c>
      <c r="I224" s="9" t="n">
        <f aca="false">IF(Raw_Volunteers!G224="",ROUND(AVERAGE(Raw_Volunteers!$G$2:$G$926),1),Raw_Volunteers!G224)</f>
        <v>2</v>
      </c>
    </row>
    <row r="225" customFormat="false" ht="15" hidden="false" customHeight="true" outlineLevel="0" collapsed="false">
      <c r="A225" s="9" t="str">
        <f aca="false">Raw_Volunteers!A225</f>
        <v>V2038</v>
      </c>
      <c r="B225" s="9" t="str">
        <f aca="false">IF(COUNTIFS(Raw_Volunteers!$A$2:$A$926,Raw_Volunteers!A225,Raw_Volunteers!$D$2:$D$926,Raw_Volunteers!D225,Raw_Volunteers!$E$2:$E$926,Raw_Volunteers!E225,Raw_Volunteers!$G$2:$G$926,Raw_Volunteers!G225)&gt;1,"Possible Duplicate","")</f>
        <v/>
      </c>
      <c r="C225" s="9" t="str">
        <f aca="false">Raw_Volunteers!B225</f>
        <v>D1585</v>
      </c>
      <c r="D225" s="9" t="str">
        <f aca="false">IF(C225="","No","Yes")</f>
        <v>Yes</v>
      </c>
      <c r="E225" s="9" t="str">
        <f aca="false">Raw_Volunteers!C225</f>
        <v>Betty Taylor</v>
      </c>
      <c r="F225" s="9" t="str">
        <f aca="false">Raw_Volunteers!D225</f>
        <v>09/07/2024</v>
      </c>
      <c r="G225" s="9" t="str">
        <f aca="false">PROPER(TRIM(Raw_Volunteers!E225))</f>
        <v>Mobile Distribution Driver</v>
      </c>
      <c r="H225" s="9" t="str">
        <f aca="false">Raw_Volunteers!F225</f>
        <v>Downtown Pantry</v>
      </c>
      <c r="I225" s="9" t="n">
        <f aca="false">IF(Raw_Volunteers!G225="",ROUND(AVERAGE(Raw_Volunteers!$G$2:$G$926),1),Raw_Volunteers!G225)</f>
        <v>3</v>
      </c>
    </row>
    <row r="226" customFormat="false" ht="15" hidden="false" customHeight="true" outlineLevel="0" collapsed="false">
      <c r="A226" s="9" t="str">
        <f aca="false">Raw_Volunteers!A226</f>
        <v>V2038</v>
      </c>
      <c r="B226" s="9" t="str">
        <f aca="false">IF(COUNTIFS(Raw_Volunteers!$A$2:$A$926,Raw_Volunteers!A226,Raw_Volunteers!$D$2:$D$926,Raw_Volunteers!D226,Raw_Volunteers!$E$2:$E$926,Raw_Volunteers!E226,Raw_Volunteers!$G$2:$G$926,Raw_Volunteers!G226)&gt;1,"Possible Duplicate","")</f>
        <v/>
      </c>
      <c r="C226" s="9" t="str">
        <f aca="false">Raw_Volunteers!B226</f>
        <v>D1585</v>
      </c>
      <c r="D226" s="9" t="str">
        <f aca="false">IF(C226="","No","Yes")</f>
        <v>Yes</v>
      </c>
      <c r="E226" s="9" t="str">
        <f aca="false">Raw_Volunteers!C226</f>
        <v>Betty Taylor</v>
      </c>
      <c r="F226" s="9" t="str">
        <f aca="false">Raw_Volunteers!D226</f>
        <v>09/22/2024</v>
      </c>
      <c r="G226" s="9" t="str">
        <f aca="false">PROPER(TRIM(Raw_Volunteers!E226))</f>
        <v>Mobile Distribution Driver</v>
      </c>
      <c r="H226" s="9" t="str">
        <f aca="false">Raw_Volunteers!F226</f>
        <v>Downtown Pantry</v>
      </c>
      <c r="I226" s="9" t="n">
        <f aca="false">IF(Raw_Volunteers!G226="",ROUND(AVERAGE(Raw_Volunteers!$G$2:$G$926),1),Raw_Volunteers!G226)</f>
        <v>3</v>
      </c>
    </row>
    <row r="227" customFormat="false" ht="15" hidden="false" customHeight="true" outlineLevel="0" collapsed="false">
      <c r="A227" s="9" t="str">
        <f aca="false">Raw_Volunteers!A227</f>
        <v>V2038</v>
      </c>
      <c r="B227" s="9" t="str">
        <f aca="false">IF(COUNTIFS(Raw_Volunteers!$A$2:$A$926,Raw_Volunteers!A227,Raw_Volunteers!$D$2:$D$926,Raw_Volunteers!D227,Raw_Volunteers!$E$2:$E$926,Raw_Volunteers!E227,Raw_Volunteers!$G$2:$G$926,Raw_Volunteers!G227)&gt;1,"Possible Duplicate","")</f>
        <v/>
      </c>
      <c r="C227" s="9" t="str">
        <f aca="false">Raw_Volunteers!B227</f>
        <v>D1585</v>
      </c>
      <c r="D227" s="9" t="str">
        <f aca="false">IF(C227="","No","Yes")</f>
        <v>Yes</v>
      </c>
      <c r="E227" s="9" t="str">
        <f aca="false">Raw_Volunteers!C227</f>
        <v>Betty Taylor</v>
      </c>
      <c r="F227" s="9" t="str">
        <f aca="false">Raw_Volunteers!D227</f>
        <v>04/23/2025</v>
      </c>
      <c r="G227" s="9" t="str">
        <f aca="false">PROPER(TRIM(Raw_Volunteers!E227))</f>
        <v>Food Sorting</v>
      </c>
      <c r="H227" s="9" t="str">
        <f aca="false">Raw_Volunteers!F227</f>
        <v>Mobile Unit - Route A</v>
      </c>
      <c r="I227" s="9" t="n">
        <f aca="false">IF(Raw_Volunteers!G227="",ROUND(AVERAGE(Raw_Volunteers!$G$2:$G$926),1),Raw_Volunteers!G227)</f>
        <v>3</v>
      </c>
    </row>
    <row r="228" customFormat="false" ht="15" hidden="false" customHeight="true" outlineLevel="0" collapsed="false">
      <c r="A228" s="9" t="str">
        <f aca="false">Raw_Volunteers!A228</f>
        <v>V2039</v>
      </c>
      <c r="B228" s="9" t="str">
        <f aca="false">IF(COUNTIFS(Raw_Volunteers!$A$2:$A$926,Raw_Volunteers!A228,Raw_Volunteers!$D$2:$D$926,Raw_Volunteers!D228,Raw_Volunteers!$E$2:$E$926,Raw_Volunteers!E228,Raw_Volunteers!$G$2:$G$926,Raw_Volunteers!G228)&gt;1,"Possible Duplicate","")</f>
        <v/>
      </c>
      <c r="C228" s="9" t="str">
        <f aca="false">Raw_Volunteers!B228</f>
        <v>D1405</v>
      </c>
      <c r="D228" s="9" t="str">
        <f aca="false">IF(C228="","No","Yes")</f>
        <v>Yes</v>
      </c>
      <c r="E228" s="9" t="str">
        <f aca="false">Raw_Volunteers!C228</f>
        <v>Robert Harris</v>
      </c>
      <c r="F228" s="9" t="str">
        <f aca="false">Raw_Volunteers!D228</f>
        <v>08/04/2024</v>
      </c>
      <c r="G228" s="9" t="str">
        <f aca="false">PROPER(TRIM(Raw_Volunteers!E228))</f>
        <v>Pantry Stocking</v>
      </c>
      <c r="H228" s="9" t="str">
        <f aca="false">Raw_Volunteers!F228</f>
        <v>Community Center Site</v>
      </c>
      <c r="I228" s="9" t="n">
        <f aca="false">IF(Raw_Volunteers!G228="",ROUND(AVERAGE(Raw_Volunteers!$G$2:$G$926),1),Raw_Volunteers!G228)</f>
        <v>2</v>
      </c>
    </row>
    <row r="229" customFormat="false" ht="15" hidden="false" customHeight="true" outlineLevel="0" collapsed="false">
      <c r="A229" s="9" t="str">
        <f aca="false">Raw_Volunteers!A229</f>
        <v>V2039</v>
      </c>
      <c r="B229" s="9" t="str">
        <f aca="false">IF(COUNTIFS(Raw_Volunteers!$A$2:$A$926,Raw_Volunteers!A229,Raw_Volunteers!$D$2:$D$926,Raw_Volunteers!D229,Raw_Volunteers!$E$2:$E$926,Raw_Volunteers!E229,Raw_Volunteers!$G$2:$G$926,Raw_Volunteers!G229)&gt;1,"Possible Duplicate","")</f>
        <v/>
      </c>
      <c r="C229" s="9" t="str">
        <f aca="false">Raw_Volunteers!B229</f>
        <v>D1405</v>
      </c>
      <c r="D229" s="9" t="str">
        <f aca="false">IF(C229="","No","Yes")</f>
        <v>Yes</v>
      </c>
      <c r="E229" s="9" t="str">
        <f aca="false">Raw_Volunteers!C229</f>
        <v>Robert Harris</v>
      </c>
      <c r="F229" s="9" t="str">
        <f aca="false">Raw_Volunteers!D229</f>
        <v>04/18/2025</v>
      </c>
      <c r="G229" s="9" t="str">
        <f aca="false">PROPER(TRIM(Raw_Volunteers!E229))</f>
        <v>Holiday Box Packing</v>
      </c>
      <c r="H229" s="9" t="str">
        <f aca="false">Raw_Volunteers!F229</f>
        <v>Mobile Unit - Route B</v>
      </c>
      <c r="I229" s="9" t="n">
        <f aca="false">IF(Raw_Volunteers!G229="",ROUND(AVERAGE(Raw_Volunteers!$G$2:$G$926),1),Raw_Volunteers!G229)</f>
        <v>2.9</v>
      </c>
    </row>
    <row r="230" customFormat="false" ht="15" hidden="false" customHeight="true" outlineLevel="0" collapsed="false">
      <c r="A230" s="9" t="str">
        <f aca="false">Raw_Volunteers!A230</f>
        <v>V2039</v>
      </c>
      <c r="B230" s="9" t="str">
        <f aca="false">IF(COUNTIFS(Raw_Volunteers!$A$2:$A$926,Raw_Volunteers!A230,Raw_Volunteers!$D$2:$D$926,Raw_Volunteers!D230,Raw_Volunteers!$E$2:$E$926,Raw_Volunteers!E230,Raw_Volunteers!$G$2:$G$926,Raw_Volunteers!G230)&gt;1,"Possible Duplicate","")</f>
        <v/>
      </c>
      <c r="C230" s="9" t="str">
        <f aca="false">Raw_Volunteers!B230</f>
        <v>D1405</v>
      </c>
      <c r="D230" s="9" t="str">
        <f aca="false">IF(C230="","No","Yes")</f>
        <v>Yes</v>
      </c>
      <c r="E230" s="9" t="str">
        <f aca="false">Raw_Volunteers!C230</f>
        <v>Robert Harris</v>
      </c>
      <c r="F230" s="9" t="str">
        <f aca="false">Raw_Volunteers!D230</f>
        <v>07/20/2024</v>
      </c>
      <c r="G230" s="9" t="str">
        <f aca="false">PROPER(TRIM(Raw_Volunteers!E230))</f>
        <v>Warehouse Loading</v>
      </c>
      <c r="H230" s="9" t="str">
        <f aca="false">Raw_Volunteers!F230</f>
        <v>Mobile Unit - Route B</v>
      </c>
      <c r="I230" s="9" t="n">
        <f aca="false">IF(Raw_Volunteers!G230="",ROUND(AVERAGE(Raw_Volunteers!$G$2:$G$926),1),Raw_Volunteers!G230)</f>
        <v>4</v>
      </c>
    </row>
    <row r="231" customFormat="false" ht="15" hidden="false" customHeight="true" outlineLevel="0" collapsed="false">
      <c r="A231" s="9" t="str">
        <f aca="false">Raw_Volunteers!A231</f>
        <v>V2039</v>
      </c>
      <c r="B231" s="9" t="str">
        <f aca="false">IF(COUNTIFS(Raw_Volunteers!$A$2:$A$926,Raw_Volunteers!A231,Raw_Volunteers!$D$2:$D$926,Raw_Volunteers!D231,Raw_Volunteers!$E$2:$E$926,Raw_Volunteers!E231,Raw_Volunteers!$G$2:$G$926,Raw_Volunteers!G231)&gt;1,"Possible Duplicate","")</f>
        <v/>
      </c>
      <c r="C231" s="9" t="str">
        <f aca="false">Raw_Volunteers!B231</f>
        <v>D1405</v>
      </c>
      <c r="D231" s="9" t="str">
        <f aca="false">IF(C231="","No","Yes")</f>
        <v>Yes</v>
      </c>
      <c r="E231" s="9" t="str">
        <f aca="false">Raw_Volunteers!C231</f>
        <v>Robert Harris</v>
      </c>
      <c r="F231" s="9" t="str">
        <f aca="false">Raw_Volunteers!D231</f>
        <v>06/24/2024</v>
      </c>
      <c r="G231" s="9" t="str">
        <f aca="false">PROPER(TRIM(Raw_Volunteers!E231))</f>
        <v>Food Sorting</v>
      </c>
      <c r="H231" s="9" t="str">
        <f aca="false">Raw_Volunteers!F231</f>
        <v>Mobile Unit - Route B</v>
      </c>
      <c r="I231" s="9" t="n">
        <f aca="false">IF(Raw_Volunteers!G231="",ROUND(AVERAGE(Raw_Volunteers!$G$2:$G$926),1),Raw_Volunteers!G231)</f>
        <v>3</v>
      </c>
    </row>
    <row r="232" customFormat="false" ht="15" hidden="false" customHeight="true" outlineLevel="0" collapsed="false">
      <c r="A232" s="9" t="str">
        <f aca="false">Raw_Volunteers!A232</f>
        <v>V2039</v>
      </c>
      <c r="B232" s="9" t="str">
        <f aca="false">IF(COUNTIFS(Raw_Volunteers!$A$2:$A$926,Raw_Volunteers!A232,Raw_Volunteers!$D$2:$D$926,Raw_Volunteers!D232,Raw_Volunteers!$E$2:$E$926,Raw_Volunteers!E232,Raw_Volunteers!$G$2:$G$926,Raw_Volunteers!G232)&gt;1,"Possible Duplicate","")</f>
        <v/>
      </c>
      <c r="C232" s="9" t="str">
        <f aca="false">Raw_Volunteers!B232</f>
        <v>D1405</v>
      </c>
      <c r="D232" s="9" t="str">
        <f aca="false">IF(C232="","No","Yes")</f>
        <v>Yes</v>
      </c>
      <c r="E232" s="9" t="str">
        <f aca="false">Raw_Volunteers!C232</f>
        <v>Robert Harris</v>
      </c>
      <c r="F232" s="9" t="str">
        <f aca="false">Raw_Volunteers!D232</f>
        <v>12/29/2025</v>
      </c>
      <c r="G232" s="9" t="str">
        <f aca="false">PROPER(TRIM(Raw_Volunteers!E232))</f>
        <v>Front Desk Greeter</v>
      </c>
      <c r="H232" s="9" t="str">
        <f aca="false">Raw_Volunteers!F232</f>
        <v>Downtown Pantry</v>
      </c>
      <c r="I232" s="9" t="n">
        <f aca="false">IF(Raw_Volunteers!G232="",ROUND(AVERAGE(Raw_Volunteers!$G$2:$G$926),1),Raw_Volunteers!G232)</f>
        <v>4</v>
      </c>
    </row>
    <row r="233" customFormat="false" ht="15" hidden="false" customHeight="true" outlineLevel="0" collapsed="false">
      <c r="A233" s="9" t="str">
        <f aca="false">Raw_Volunteers!A233</f>
        <v>V2039</v>
      </c>
      <c r="B233" s="9" t="str">
        <f aca="false">IF(COUNTIFS(Raw_Volunteers!$A$2:$A$926,Raw_Volunteers!A233,Raw_Volunteers!$D$2:$D$926,Raw_Volunteers!D233,Raw_Volunteers!$E$2:$E$926,Raw_Volunteers!E233,Raw_Volunteers!$G$2:$G$926,Raw_Volunteers!G233)&gt;1,"Possible Duplicate","")</f>
        <v/>
      </c>
      <c r="C233" s="9" t="str">
        <f aca="false">Raw_Volunteers!B233</f>
        <v>D1405</v>
      </c>
      <c r="D233" s="9" t="str">
        <f aca="false">IF(C233="","No","Yes")</f>
        <v>Yes</v>
      </c>
      <c r="E233" s="9" t="str">
        <f aca="false">Raw_Volunteers!C233</f>
        <v>Robert Harris</v>
      </c>
      <c r="F233" s="9" t="str">
        <f aca="false">Raw_Volunteers!D233</f>
        <v>02/15/2026</v>
      </c>
      <c r="G233" s="9" t="str">
        <f aca="false">PROPER(TRIM(Raw_Volunteers!E233))</f>
        <v>Event Setup</v>
      </c>
      <c r="H233" s="9" t="str">
        <f aca="false">Raw_Volunteers!F233</f>
        <v>Main Warehouse</v>
      </c>
      <c r="I233" s="9" t="n">
        <f aca="false">IF(Raw_Volunteers!G233="",ROUND(AVERAGE(Raw_Volunteers!$G$2:$G$926),1),Raw_Volunteers!G233)</f>
        <v>2</v>
      </c>
    </row>
    <row r="234" customFormat="false" ht="15" hidden="false" customHeight="true" outlineLevel="0" collapsed="false">
      <c r="A234" s="9" t="str">
        <f aca="false">Raw_Volunteers!A234</f>
        <v>V2039</v>
      </c>
      <c r="B234" s="9" t="str">
        <f aca="false">IF(COUNTIFS(Raw_Volunteers!$A$2:$A$926,Raw_Volunteers!A234,Raw_Volunteers!$D$2:$D$926,Raw_Volunteers!D234,Raw_Volunteers!$E$2:$E$926,Raw_Volunteers!E234,Raw_Volunteers!$G$2:$G$926,Raw_Volunteers!G234)&gt;1,"Possible Duplicate","")</f>
        <v/>
      </c>
      <c r="C234" s="9" t="str">
        <f aca="false">Raw_Volunteers!B234</f>
        <v>D1405</v>
      </c>
      <c r="D234" s="9" t="str">
        <f aca="false">IF(C234="","No","Yes")</f>
        <v>Yes</v>
      </c>
      <c r="E234" s="9" t="str">
        <f aca="false">Raw_Volunteers!C234</f>
        <v>Robert Harris</v>
      </c>
      <c r="F234" s="9" t="str">
        <f aca="false">Raw_Volunteers!D234</f>
        <v>04/08/2026</v>
      </c>
      <c r="G234" s="9" t="str">
        <f aca="false">PROPER(TRIM(Raw_Volunteers!E234))</f>
        <v>Mobile Distribution Driver</v>
      </c>
      <c r="H234" s="9" t="str">
        <f aca="false">Raw_Volunteers!F234</f>
        <v>Community Center Site</v>
      </c>
      <c r="I234" s="9" t="n">
        <f aca="false">IF(Raw_Volunteers!G234="",ROUND(AVERAGE(Raw_Volunteers!$G$2:$G$926),1),Raw_Volunteers!G234)</f>
        <v>4</v>
      </c>
    </row>
    <row r="235" customFormat="false" ht="15" hidden="false" customHeight="true" outlineLevel="0" collapsed="false">
      <c r="A235" s="9" t="str">
        <f aca="false">Raw_Volunteers!A235</f>
        <v>V2039</v>
      </c>
      <c r="B235" s="9" t="str">
        <f aca="false">IF(COUNTIFS(Raw_Volunteers!$A$2:$A$926,Raw_Volunteers!A235,Raw_Volunteers!$D$2:$D$926,Raw_Volunteers!D235,Raw_Volunteers!$E$2:$E$926,Raw_Volunteers!E235,Raw_Volunteers!$G$2:$G$926,Raw_Volunteers!G235)&gt;1,"Possible Duplicate","")</f>
        <v/>
      </c>
      <c r="C235" s="9" t="str">
        <f aca="false">Raw_Volunteers!B235</f>
        <v>D1405</v>
      </c>
      <c r="D235" s="9" t="str">
        <f aca="false">IF(C235="","No","Yes")</f>
        <v>Yes</v>
      </c>
      <c r="E235" s="9" t="str">
        <f aca="false">Raw_Volunteers!C235</f>
        <v>Robert Harris</v>
      </c>
      <c r="F235" s="9" t="str">
        <f aca="false">Raw_Volunteers!D235</f>
        <v>10/04/2025</v>
      </c>
      <c r="G235" s="9" t="str">
        <f aca="false">PROPER(TRIM(Raw_Volunteers!E235))</f>
        <v>Warehouse Loading</v>
      </c>
      <c r="H235" s="9" t="str">
        <f aca="false">Raw_Volunteers!F235</f>
        <v>Main Warehouse</v>
      </c>
      <c r="I235" s="9" t="n">
        <f aca="false">IF(Raw_Volunteers!G235="",ROUND(AVERAGE(Raw_Volunteers!$G$2:$G$926),1),Raw_Volunteers!G235)</f>
        <v>3</v>
      </c>
    </row>
    <row r="236" customFormat="false" ht="15" hidden="false" customHeight="true" outlineLevel="0" collapsed="false">
      <c r="A236" s="9" t="str">
        <f aca="false">Raw_Volunteers!A236</f>
        <v>V2039</v>
      </c>
      <c r="B236" s="9" t="str">
        <f aca="false">IF(COUNTIFS(Raw_Volunteers!$A$2:$A$926,Raw_Volunteers!A236,Raw_Volunteers!$D$2:$D$926,Raw_Volunteers!D236,Raw_Volunteers!$E$2:$E$926,Raw_Volunteers!E236,Raw_Volunteers!$G$2:$G$926,Raw_Volunteers!G236)&gt;1,"Possible Duplicate","")</f>
        <v/>
      </c>
      <c r="C236" s="9" t="str">
        <f aca="false">Raw_Volunteers!B236</f>
        <v>D1405</v>
      </c>
      <c r="D236" s="9" t="str">
        <f aca="false">IF(C236="","No","Yes")</f>
        <v>Yes</v>
      </c>
      <c r="E236" s="9" t="str">
        <f aca="false">Raw_Volunteers!C236</f>
        <v>Robert Harris</v>
      </c>
      <c r="F236" s="9" t="str">
        <f aca="false">Raw_Volunteers!D236</f>
        <v>10/31/2024</v>
      </c>
      <c r="G236" s="9" t="str">
        <f aca="false">PROPER(TRIM(Raw_Volunteers!E236))</f>
        <v>Mobile Distribution Driver</v>
      </c>
      <c r="H236" s="9" t="str">
        <f aca="false">Raw_Volunteers!F236</f>
        <v>Downtown Pantry</v>
      </c>
      <c r="I236" s="9" t="n">
        <f aca="false">IF(Raw_Volunteers!G236="",ROUND(AVERAGE(Raw_Volunteers!$G$2:$G$926),1),Raw_Volunteers!G236)</f>
        <v>5</v>
      </c>
    </row>
    <row r="237" customFormat="false" ht="15" hidden="false" customHeight="true" outlineLevel="0" collapsed="false">
      <c r="A237" s="9" t="str">
        <f aca="false">Raw_Volunteers!A237</f>
        <v>V2039</v>
      </c>
      <c r="B237" s="9" t="str">
        <f aca="false">IF(COUNTIFS(Raw_Volunteers!$A$2:$A$926,Raw_Volunteers!A237,Raw_Volunteers!$D$2:$D$926,Raw_Volunteers!D237,Raw_Volunteers!$E$2:$E$926,Raw_Volunteers!E237,Raw_Volunteers!$G$2:$G$926,Raw_Volunteers!G237)&gt;1,"Possible Duplicate","")</f>
        <v/>
      </c>
      <c r="C237" s="9" t="str">
        <f aca="false">Raw_Volunteers!B237</f>
        <v>D1405</v>
      </c>
      <c r="D237" s="9" t="str">
        <f aca="false">IF(C237="","No","Yes")</f>
        <v>Yes</v>
      </c>
      <c r="E237" s="9" t="str">
        <f aca="false">Raw_Volunteers!C237</f>
        <v>Robert Harris</v>
      </c>
      <c r="F237" s="9" t="str">
        <f aca="false">Raw_Volunteers!D237</f>
        <v>07/27/2025</v>
      </c>
      <c r="G237" s="9" t="str">
        <f aca="false">PROPER(TRIM(Raw_Volunteers!E237))</f>
        <v>Front Desk Greeter</v>
      </c>
      <c r="H237" s="9" t="str">
        <f aca="false">Raw_Volunteers!F237</f>
        <v>Main Warehouse</v>
      </c>
      <c r="I237" s="9" t="n">
        <f aca="false">IF(Raw_Volunteers!G237="",ROUND(AVERAGE(Raw_Volunteers!$G$2:$G$926),1),Raw_Volunteers!G237)</f>
        <v>3</v>
      </c>
    </row>
    <row r="238" customFormat="false" ht="15" hidden="false" customHeight="true" outlineLevel="0" collapsed="false">
      <c r="A238" s="9" t="str">
        <f aca="false">Raw_Volunteers!A238</f>
        <v>V2040</v>
      </c>
      <c r="B238" s="9" t="str">
        <f aca="false">IF(COUNTIFS(Raw_Volunteers!$A$2:$A$926,Raw_Volunteers!A238,Raw_Volunteers!$D$2:$D$926,Raw_Volunteers!D238,Raw_Volunteers!$E$2:$E$926,Raw_Volunteers!E238,Raw_Volunteers!$G$2:$G$926,Raw_Volunteers!G238)&gt;1,"Possible Duplicate","")</f>
        <v>Possible Duplicate</v>
      </c>
      <c r="C238" s="9" t="str">
        <f aca="false">Raw_Volunteers!B238</f>
        <v>D1197</v>
      </c>
      <c r="D238" s="9" t="str">
        <f aca="false">IF(C238="","No","Yes")</f>
        <v>Yes</v>
      </c>
      <c r="E238" s="9" t="str">
        <f aca="false">Raw_Volunteers!C238</f>
        <v>Steven Jones</v>
      </c>
      <c r="F238" s="9" t="str">
        <f aca="false">Raw_Volunteers!D238</f>
        <v>06/08/2024</v>
      </c>
      <c r="G238" s="9" t="str">
        <f aca="false">PROPER(TRIM(Raw_Volunteers!E238))</f>
        <v>Food Sorting</v>
      </c>
      <c r="H238" s="9" t="str">
        <f aca="false">Raw_Volunteers!F238</f>
        <v>Community Center Site</v>
      </c>
      <c r="I238" s="9" t="n">
        <f aca="false">IF(Raw_Volunteers!G238="",ROUND(AVERAGE(Raw_Volunteers!$G$2:$G$926),1),Raw_Volunteers!G238)</f>
        <v>3</v>
      </c>
    </row>
    <row r="239" customFormat="false" ht="15" hidden="false" customHeight="true" outlineLevel="0" collapsed="false">
      <c r="A239" s="9" t="str">
        <f aca="false">Raw_Volunteers!A239</f>
        <v>V2040</v>
      </c>
      <c r="B239" s="9" t="str">
        <f aca="false">IF(COUNTIFS(Raw_Volunteers!$A$2:$A$926,Raw_Volunteers!A239,Raw_Volunteers!$D$2:$D$926,Raw_Volunteers!D239,Raw_Volunteers!$E$2:$E$926,Raw_Volunteers!E239,Raw_Volunteers!$G$2:$G$926,Raw_Volunteers!G239)&gt;1,"Possible Duplicate","")</f>
        <v/>
      </c>
      <c r="C239" s="9" t="str">
        <f aca="false">Raw_Volunteers!B239</f>
        <v>D1197</v>
      </c>
      <c r="D239" s="9" t="str">
        <f aca="false">IF(C239="","No","Yes")</f>
        <v>Yes</v>
      </c>
      <c r="E239" s="9" t="str">
        <f aca="false">Raw_Volunteers!C239</f>
        <v>Steven Jones</v>
      </c>
      <c r="F239" s="9" t="str">
        <f aca="false">Raw_Volunteers!D239</f>
        <v>08/28/2025</v>
      </c>
      <c r="G239" s="9" t="str">
        <f aca="false">PROPER(TRIM(Raw_Volunteers!E239))</f>
        <v>Mobile Distribution Driver</v>
      </c>
      <c r="H239" s="9" t="str">
        <f aca="false">Raw_Volunteers!F239</f>
        <v>Mobile Unit - Route B</v>
      </c>
      <c r="I239" s="9" t="n">
        <f aca="false">IF(Raw_Volunteers!G239="",ROUND(AVERAGE(Raw_Volunteers!$G$2:$G$926),1),Raw_Volunteers!G239)</f>
        <v>2</v>
      </c>
    </row>
    <row r="240" customFormat="false" ht="15" hidden="false" customHeight="true" outlineLevel="0" collapsed="false">
      <c r="A240" s="9" t="str">
        <f aca="false">Raw_Volunteers!A240</f>
        <v>V2040</v>
      </c>
      <c r="B240" s="9" t="str">
        <f aca="false">IF(COUNTIFS(Raw_Volunteers!$A$2:$A$926,Raw_Volunteers!A240,Raw_Volunteers!$D$2:$D$926,Raw_Volunteers!D240,Raw_Volunteers!$E$2:$E$926,Raw_Volunteers!E240,Raw_Volunteers!$G$2:$G$926,Raw_Volunteers!G240)&gt;1,"Possible Duplicate","")</f>
        <v/>
      </c>
      <c r="C240" s="9" t="str">
        <f aca="false">Raw_Volunteers!B240</f>
        <v>D1197</v>
      </c>
      <c r="D240" s="9" t="str">
        <f aca="false">IF(C240="","No","Yes")</f>
        <v>Yes</v>
      </c>
      <c r="E240" s="9" t="str">
        <f aca="false">Raw_Volunteers!C240</f>
        <v>Steven Jones</v>
      </c>
      <c r="F240" s="9" t="str">
        <f aca="false">Raw_Volunteers!D240</f>
        <v>09/23/2025</v>
      </c>
      <c r="G240" s="9" t="str">
        <f aca="false">PROPER(TRIM(Raw_Volunteers!E240))</f>
        <v>Front Desk Greeter</v>
      </c>
      <c r="H240" s="9" t="str">
        <f aca="false">Raw_Volunteers!F240</f>
        <v>Mobile Unit - Route A</v>
      </c>
      <c r="I240" s="9" t="n">
        <f aca="false">IF(Raw_Volunteers!G240="",ROUND(AVERAGE(Raw_Volunteers!$G$2:$G$926),1),Raw_Volunteers!G240)</f>
        <v>2</v>
      </c>
    </row>
    <row r="241" customFormat="false" ht="15" hidden="false" customHeight="true" outlineLevel="0" collapsed="false">
      <c r="A241" s="9" t="str">
        <f aca="false">Raw_Volunteers!A241</f>
        <v>V2041</v>
      </c>
      <c r="B241" s="9" t="str">
        <f aca="false">IF(COUNTIFS(Raw_Volunteers!$A$2:$A$926,Raw_Volunteers!A241,Raw_Volunteers!$D$2:$D$926,Raw_Volunteers!D241,Raw_Volunteers!$E$2:$E$926,Raw_Volunteers!E241,Raw_Volunteers!$G$2:$G$926,Raw_Volunteers!G241)&gt;1,"Possible Duplicate","")</f>
        <v/>
      </c>
      <c r="C241" s="9" t="str">
        <f aca="false">Raw_Volunteers!B241</f>
        <v>D1485</v>
      </c>
      <c r="D241" s="9" t="str">
        <f aca="false">IF(C241="","No","Yes")</f>
        <v>Yes</v>
      </c>
      <c r="E241" s="9" t="str">
        <f aca="false">Raw_Volunteers!C241</f>
        <v>Sarah Perez</v>
      </c>
      <c r="F241" s="9" t="str">
        <f aca="false">Raw_Volunteers!D241</f>
        <v>06/06/2025</v>
      </c>
      <c r="G241" s="9" t="str">
        <f aca="false">PROPER(TRIM(Raw_Volunteers!E241))</f>
        <v>Front Desk Greeter</v>
      </c>
      <c r="H241" s="9" t="str">
        <f aca="false">Raw_Volunteers!F241</f>
        <v>Downtown Pantry</v>
      </c>
      <c r="I241" s="9" t="n">
        <f aca="false">IF(Raw_Volunteers!G241="",ROUND(AVERAGE(Raw_Volunteers!$G$2:$G$926),1),Raw_Volunteers!G241)</f>
        <v>3</v>
      </c>
    </row>
    <row r="242" customFormat="false" ht="15" hidden="false" customHeight="true" outlineLevel="0" collapsed="false">
      <c r="A242" s="9" t="str">
        <f aca="false">Raw_Volunteers!A242</f>
        <v>V2041</v>
      </c>
      <c r="B242" s="9" t="str">
        <f aca="false">IF(COUNTIFS(Raw_Volunteers!$A$2:$A$926,Raw_Volunteers!A242,Raw_Volunteers!$D$2:$D$926,Raw_Volunteers!D242,Raw_Volunteers!$E$2:$E$926,Raw_Volunteers!E242,Raw_Volunteers!$G$2:$G$926,Raw_Volunteers!G242)&gt;1,"Possible Duplicate","")</f>
        <v/>
      </c>
      <c r="C242" s="9" t="str">
        <f aca="false">Raw_Volunteers!B242</f>
        <v>D1485</v>
      </c>
      <c r="D242" s="9" t="str">
        <f aca="false">IF(C242="","No","Yes")</f>
        <v>Yes</v>
      </c>
      <c r="E242" s="9" t="str">
        <f aca="false">Raw_Volunteers!C242</f>
        <v>Sarah Perez</v>
      </c>
      <c r="F242" s="9" t="str">
        <f aca="false">Raw_Volunteers!D242</f>
        <v>11/18/2024</v>
      </c>
      <c r="G242" s="9" t="str">
        <f aca="false">PROPER(TRIM(Raw_Volunteers!E242))</f>
        <v>Event Setup</v>
      </c>
      <c r="H242" s="9" t="str">
        <f aca="false">Raw_Volunteers!F242</f>
        <v>Main Warehouse</v>
      </c>
      <c r="I242" s="9" t="n">
        <f aca="false">IF(Raw_Volunteers!G242="",ROUND(AVERAGE(Raw_Volunteers!$G$2:$G$926),1),Raw_Volunteers!G242)</f>
        <v>3</v>
      </c>
    </row>
    <row r="243" customFormat="false" ht="15" hidden="false" customHeight="true" outlineLevel="0" collapsed="false">
      <c r="A243" s="9" t="str">
        <f aca="false">Raw_Volunteers!A243</f>
        <v>V2041</v>
      </c>
      <c r="B243" s="9" t="str">
        <f aca="false">IF(COUNTIFS(Raw_Volunteers!$A$2:$A$926,Raw_Volunteers!A243,Raw_Volunteers!$D$2:$D$926,Raw_Volunteers!D243,Raw_Volunteers!$E$2:$E$926,Raw_Volunteers!E243,Raw_Volunteers!$G$2:$G$926,Raw_Volunteers!G243)&gt;1,"Possible Duplicate","")</f>
        <v/>
      </c>
      <c r="C243" s="9" t="str">
        <f aca="false">Raw_Volunteers!B243</f>
        <v>D1485</v>
      </c>
      <c r="D243" s="9" t="str">
        <f aca="false">IF(C243="","No","Yes")</f>
        <v>Yes</v>
      </c>
      <c r="E243" s="9" t="str">
        <f aca="false">Raw_Volunteers!C243</f>
        <v>Sarah Perez</v>
      </c>
      <c r="F243" s="9" t="str">
        <f aca="false">Raw_Volunteers!D243</f>
        <v>05/20/2026</v>
      </c>
      <c r="G243" s="9" t="str">
        <f aca="false">PROPER(TRIM(Raw_Volunteers!E243))</f>
        <v>Client Intake Assistant</v>
      </c>
      <c r="H243" s="9" t="str">
        <f aca="false">Raw_Volunteers!F243</f>
        <v>Downtown Pantry</v>
      </c>
      <c r="I243" s="9" t="n">
        <f aca="false">IF(Raw_Volunteers!G243="",ROUND(AVERAGE(Raw_Volunteers!$G$2:$G$926),1),Raw_Volunteers!G243)</f>
        <v>2</v>
      </c>
    </row>
    <row r="244" customFormat="false" ht="15" hidden="false" customHeight="true" outlineLevel="0" collapsed="false">
      <c r="A244" s="9" t="str">
        <f aca="false">Raw_Volunteers!A244</f>
        <v>V2042</v>
      </c>
      <c r="B244" s="9" t="str">
        <f aca="false">IF(COUNTIFS(Raw_Volunteers!$A$2:$A$926,Raw_Volunteers!A244,Raw_Volunteers!$D$2:$D$926,Raw_Volunteers!D244,Raw_Volunteers!$E$2:$E$926,Raw_Volunteers!E244,Raw_Volunteers!$G$2:$G$926,Raw_Volunteers!G244)&gt;1,"Possible Duplicate","")</f>
        <v/>
      </c>
      <c r="C244" s="9" t="str">
        <f aca="false">Raw_Volunteers!B244</f>
        <v>D1127</v>
      </c>
      <c r="D244" s="9" t="str">
        <f aca="false">IF(C244="","No","Yes")</f>
        <v>Yes</v>
      </c>
      <c r="E244" s="9" t="str">
        <f aca="false">Raw_Volunteers!C244</f>
        <v>Karen Williams</v>
      </c>
      <c r="F244" s="9" t="str">
        <f aca="false">Raw_Volunteers!D244</f>
        <v>09/18/2024</v>
      </c>
      <c r="G244" s="9" t="str">
        <f aca="false">PROPER(TRIM(Raw_Volunteers!E244))</f>
        <v>Event Setup</v>
      </c>
      <c r="H244" s="9" t="str">
        <f aca="false">Raw_Volunteers!F244</f>
        <v>Mobile Unit - Route B</v>
      </c>
      <c r="I244" s="9" t="n">
        <f aca="false">IF(Raw_Volunteers!G244="",ROUND(AVERAGE(Raw_Volunteers!$G$2:$G$926),1),Raw_Volunteers!G244)</f>
        <v>2</v>
      </c>
    </row>
    <row r="245" customFormat="false" ht="15" hidden="false" customHeight="true" outlineLevel="0" collapsed="false">
      <c r="A245" s="9" t="str">
        <f aca="false">Raw_Volunteers!A245</f>
        <v>V2042</v>
      </c>
      <c r="B245" s="9" t="str">
        <f aca="false">IF(COUNTIFS(Raw_Volunteers!$A$2:$A$926,Raw_Volunteers!A245,Raw_Volunteers!$D$2:$D$926,Raw_Volunteers!D245,Raw_Volunteers!$E$2:$E$926,Raw_Volunteers!E245,Raw_Volunteers!$G$2:$G$926,Raw_Volunteers!G245)&gt;1,"Possible Duplicate","")</f>
        <v/>
      </c>
      <c r="C245" s="9" t="str">
        <f aca="false">Raw_Volunteers!B245</f>
        <v>D1127</v>
      </c>
      <c r="D245" s="9" t="str">
        <f aca="false">IF(C245="","No","Yes")</f>
        <v>Yes</v>
      </c>
      <c r="E245" s="9" t="str">
        <f aca="false">Raw_Volunteers!C245</f>
        <v>Karen Williams</v>
      </c>
      <c r="F245" s="9" t="str">
        <f aca="false">Raw_Volunteers!D245</f>
        <v>07/04/2025</v>
      </c>
      <c r="G245" s="9" t="str">
        <f aca="false">PROPER(TRIM(Raw_Volunteers!E245))</f>
        <v>Pantry Stocking</v>
      </c>
      <c r="H245" s="9" t="str">
        <f aca="false">Raw_Volunteers!F245</f>
        <v>Community Center Site</v>
      </c>
      <c r="I245" s="9" t="n">
        <f aca="false">IF(Raw_Volunteers!G245="",ROUND(AVERAGE(Raw_Volunteers!$G$2:$G$926),1),Raw_Volunteers!G245)</f>
        <v>4</v>
      </c>
    </row>
    <row r="246" customFormat="false" ht="15" hidden="false" customHeight="true" outlineLevel="0" collapsed="false">
      <c r="A246" s="9" t="str">
        <f aca="false">Raw_Volunteers!A246</f>
        <v>V2042</v>
      </c>
      <c r="B246" s="9" t="str">
        <f aca="false">IF(COUNTIFS(Raw_Volunteers!$A$2:$A$926,Raw_Volunteers!A246,Raw_Volunteers!$D$2:$D$926,Raw_Volunteers!D246,Raw_Volunteers!$E$2:$E$926,Raw_Volunteers!E246,Raw_Volunteers!$G$2:$G$926,Raw_Volunteers!G246)&gt;1,"Possible Duplicate","")</f>
        <v/>
      </c>
      <c r="C246" s="9" t="str">
        <f aca="false">Raw_Volunteers!B246</f>
        <v>D1127</v>
      </c>
      <c r="D246" s="9" t="str">
        <f aca="false">IF(C246="","No","Yes")</f>
        <v>Yes</v>
      </c>
      <c r="E246" s="9" t="str">
        <f aca="false">Raw_Volunteers!C246</f>
        <v>Karen Williams</v>
      </c>
      <c r="F246" s="9" t="str">
        <f aca="false">Raw_Volunteers!D246</f>
        <v>08/03/2025</v>
      </c>
      <c r="G246" s="9" t="str">
        <f aca="false">PROPER(TRIM(Raw_Volunteers!E246))</f>
        <v>Warehouse Loading</v>
      </c>
      <c r="H246" s="9" t="str">
        <f aca="false">Raw_Volunteers!F246</f>
        <v>Main Warehouse</v>
      </c>
      <c r="I246" s="9" t="n">
        <f aca="false">IF(Raw_Volunteers!G246="",ROUND(AVERAGE(Raw_Volunteers!$G$2:$G$926),1),Raw_Volunteers!G246)</f>
        <v>2</v>
      </c>
    </row>
    <row r="247" customFormat="false" ht="15" hidden="false" customHeight="true" outlineLevel="0" collapsed="false">
      <c r="A247" s="9" t="str">
        <f aca="false">Raw_Volunteers!A247</f>
        <v>V2042</v>
      </c>
      <c r="B247" s="9" t="str">
        <f aca="false">IF(COUNTIFS(Raw_Volunteers!$A$2:$A$926,Raw_Volunteers!A247,Raw_Volunteers!$D$2:$D$926,Raw_Volunteers!D247,Raw_Volunteers!$E$2:$E$926,Raw_Volunteers!E247,Raw_Volunteers!$G$2:$G$926,Raw_Volunteers!G247)&gt;1,"Possible Duplicate","")</f>
        <v/>
      </c>
      <c r="C247" s="9" t="str">
        <f aca="false">Raw_Volunteers!B247</f>
        <v>D1127</v>
      </c>
      <c r="D247" s="9" t="str">
        <f aca="false">IF(C247="","No","Yes")</f>
        <v>Yes</v>
      </c>
      <c r="E247" s="9" t="str">
        <f aca="false">Raw_Volunteers!C247</f>
        <v>Karen Williams</v>
      </c>
      <c r="F247" s="9" t="str">
        <f aca="false">Raw_Volunteers!D247</f>
        <v>10/09/2025</v>
      </c>
      <c r="G247" s="9" t="str">
        <f aca="false">PROPER(TRIM(Raw_Volunteers!E247))</f>
        <v>Holiday Box Packing</v>
      </c>
      <c r="H247" s="9" t="str">
        <f aca="false">Raw_Volunteers!F247</f>
        <v>Mobile Unit - Route B</v>
      </c>
      <c r="I247" s="9" t="n">
        <f aca="false">IF(Raw_Volunteers!G247="",ROUND(AVERAGE(Raw_Volunteers!$G$2:$G$926),1),Raw_Volunteers!G247)</f>
        <v>4</v>
      </c>
    </row>
    <row r="248" customFormat="false" ht="15" hidden="false" customHeight="true" outlineLevel="0" collapsed="false">
      <c r="A248" s="9" t="str">
        <f aca="false">Raw_Volunteers!A248</f>
        <v>V2042</v>
      </c>
      <c r="B248" s="9" t="str">
        <f aca="false">IF(COUNTIFS(Raw_Volunteers!$A$2:$A$926,Raw_Volunteers!A248,Raw_Volunteers!$D$2:$D$926,Raw_Volunteers!D248,Raw_Volunteers!$E$2:$E$926,Raw_Volunteers!E248,Raw_Volunteers!$G$2:$G$926,Raw_Volunteers!G248)&gt;1,"Possible Duplicate","")</f>
        <v/>
      </c>
      <c r="C248" s="9" t="str">
        <f aca="false">Raw_Volunteers!B248</f>
        <v>D1127</v>
      </c>
      <c r="D248" s="9" t="str">
        <f aca="false">IF(C248="","No","Yes")</f>
        <v>Yes</v>
      </c>
      <c r="E248" s="9" t="str">
        <f aca="false">Raw_Volunteers!C248</f>
        <v>Karen Williams</v>
      </c>
      <c r="F248" s="9" t="str">
        <f aca="false">Raw_Volunteers!D248</f>
        <v>05/06/2024</v>
      </c>
      <c r="G248" s="9" t="str">
        <f aca="false">PROPER(TRIM(Raw_Volunteers!E248))</f>
        <v>Warehouse Loading</v>
      </c>
      <c r="H248" s="9" t="str">
        <f aca="false">Raw_Volunteers!F248</f>
        <v>Main Warehouse</v>
      </c>
      <c r="I248" s="9" t="n">
        <f aca="false">IF(Raw_Volunteers!G248="",ROUND(AVERAGE(Raw_Volunteers!$G$2:$G$926),1),Raw_Volunteers!G248)</f>
        <v>2.9</v>
      </c>
    </row>
    <row r="249" customFormat="false" ht="15" hidden="false" customHeight="true" outlineLevel="0" collapsed="false">
      <c r="A249" s="9" t="str">
        <f aca="false">Raw_Volunteers!A249</f>
        <v>V2042</v>
      </c>
      <c r="B249" s="9" t="str">
        <f aca="false">IF(COUNTIFS(Raw_Volunteers!$A$2:$A$926,Raw_Volunteers!A249,Raw_Volunteers!$D$2:$D$926,Raw_Volunteers!D249,Raw_Volunteers!$E$2:$E$926,Raw_Volunteers!E249,Raw_Volunteers!$G$2:$G$926,Raw_Volunteers!G249)&gt;1,"Possible Duplicate","")</f>
        <v/>
      </c>
      <c r="C249" s="9" t="str">
        <f aca="false">Raw_Volunteers!B249</f>
        <v>D1127</v>
      </c>
      <c r="D249" s="9" t="str">
        <f aca="false">IF(C249="","No","Yes")</f>
        <v>Yes</v>
      </c>
      <c r="E249" s="9" t="str">
        <f aca="false">Raw_Volunteers!C249</f>
        <v>Karen Williams</v>
      </c>
      <c r="F249" s="9" t="str">
        <f aca="false">Raw_Volunteers!D249</f>
        <v>04/22/2026</v>
      </c>
      <c r="G249" s="9" t="str">
        <f aca="false">PROPER(TRIM(Raw_Volunteers!E249))</f>
        <v>Warehouse Loading</v>
      </c>
      <c r="H249" s="9" t="str">
        <f aca="false">Raw_Volunteers!F249</f>
        <v>Mobile Unit - Route B</v>
      </c>
      <c r="I249" s="9" t="n">
        <f aca="false">IF(Raw_Volunteers!G249="",ROUND(AVERAGE(Raw_Volunteers!$G$2:$G$926),1),Raw_Volunteers!G249)</f>
        <v>2</v>
      </c>
    </row>
    <row r="250" customFormat="false" ht="15" hidden="false" customHeight="true" outlineLevel="0" collapsed="false">
      <c r="A250" s="9" t="str">
        <f aca="false">Raw_Volunteers!A250</f>
        <v>V2043</v>
      </c>
      <c r="B250" s="9" t="str">
        <f aca="false">IF(COUNTIFS(Raw_Volunteers!$A$2:$A$926,Raw_Volunteers!A250,Raw_Volunteers!$D$2:$D$926,Raw_Volunteers!D250,Raw_Volunteers!$E$2:$E$926,Raw_Volunteers!E250,Raw_Volunteers!$G$2:$G$926,Raw_Volunteers!G250)&gt;1,"Possible Duplicate","")</f>
        <v/>
      </c>
      <c r="C250" s="9" t="str">
        <f aca="false">Raw_Volunteers!B250</f>
        <v>D1185</v>
      </c>
      <c r="D250" s="9" t="str">
        <f aca="false">IF(C250="","No","Yes")</f>
        <v>Yes</v>
      </c>
      <c r="E250" s="9" t="str">
        <f aca="false">Raw_Volunteers!C250</f>
        <v>Andrew Sanchez</v>
      </c>
      <c r="F250" s="9" t="str">
        <f aca="false">Raw_Volunteers!D250</f>
        <v>01/23/2024</v>
      </c>
      <c r="G250" s="9" t="str">
        <f aca="false">PROPER(TRIM(Raw_Volunteers!E250))</f>
        <v>Food Sorting</v>
      </c>
      <c r="H250" s="9" t="str">
        <f aca="false">Raw_Volunteers!F250</f>
        <v>Main Warehouse</v>
      </c>
      <c r="I250" s="9" t="n">
        <f aca="false">IF(Raw_Volunteers!G250="",ROUND(AVERAGE(Raw_Volunteers!$G$2:$G$926),1),Raw_Volunteers!G250)</f>
        <v>2</v>
      </c>
    </row>
    <row r="251" customFormat="false" ht="15" hidden="false" customHeight="true" outlineLevel="0" collapsed="false">
      <c r="A251" s="9" t="str">
        <f aca="false">Raw_Volunteers!A251</f>
        <v>V2043</v>
      </c>
      <c r="B251" s="9" t="str">
        <f aca="false">IF(COUNTIFS(Raw_Volunteers!$A$2:$A$926,Raw_Volunteers!A251,Raw_Volunteers!$D$2:$D$926,Raw_Volunteers!D251,Raw_Volunteers!$E$2:$E$926,Raw_Volunteers!E251,Raw_Volunteers!$G$2:$G$926,Raw_Volunteers!G251)&gt;1,"Possible Duplicate","")</f>
        <v/>
      </c>
      <c r="C251" s="9" t="str">
        <f aca="false">Raw_Volunteers!B251</f>
        <v>D1185</v>
      </c>
      <c r="D251" s="9" t="str">
        <f aca="false">IF(C251="","No","Yes")</f>
        <v>Yes</v>
      </c>
      <c r="E251" s="9" t="str">
        <f aca="false">Raw_Volunteers!C251</f>
        <v>Andrew Sanchez</v>
      </c>
      <c r="F251" s="9" t="str">
        <f aca="false">Raw_Volunteers!D251</f>
        <v>08/11/2025</v>
      </c>
      <c r="G251" s="9" t="str">
        <f aca="false">PROPER(TRIM(Raw_Volunteers!E251))</f>
        <v>Front Desk Greeter</v>
      </c>
      <c r="H251" s="9" t="str">
        <f aca="false">Raw_Volunteers!F251</f>
        <v>Mobile Unit - Route A</v>
      </c>
      <c r="I251" s="9" t="n">
        <f aca="false">IF(Raw_Volunteers!G251="",ROUND(AVERAGE(Raw_Volunteers!$G$2:$G$926),1),Raw_Volunteers!G251)</f>
        <v>3</v>
      </c>
    </row>
    <row r="252" customFormat="false" ht="15" hidden="false" customHeight="true" outlineLevel="0" collapsed="false">
      <c r="A252" s="9" t="str">
        <f aca="false">Raw_Volunteers!A252</f>
        <v>V2043</v>
      </c>
      <c r="B252" s="9" t="str">
        <f aca="false">IF(COUNTIFS(Raw_Volunteers!$A$2:$A$926,Raw_Volunteers!A252,Raw_Volunteers!$D$2:$D$926,Raw_Volunteers!D252,Raw_Volunteers!$E$2:$E$926,Raw_Volunteers!E252,Raw_Volunteers!$G$2:$G$926,Raw_Volunteers!G252)&gt;1,"Possible Duplicate","")</f>
        <v/>
      </c>
      <c r="C252" s="9" t="str">
        <f aca="false">Raw_Volunteers!B252</f>
        <v>D1185</v>
      </c>
      <c r="D252" s="9" t="str">
        <f aca="false">IF(C252="","No","Yes")</f>
        <v>Yes</v>
      </c>
      <c r="E252" s="9" t="str">
        <f aca="false">Raw_Volunteers!C252</f>
        <v>Andrew Sanchez</v>
      </c>
      <c r="F252" s="9" t="str">
        <f aca="false">Raw_Volunteers!D252</f>
        <v>03/21/2025</v>
      </c>
      <c r="G252" s="9" t="str">
        <f aca="false">PROPER(TRIM(Raw_Volunteers!E252))</f>
        <v>Client Intake Assistant</v>
      </c>
      <c r="H252" s="9" t="str">
        <f aca="false">Raw_Volunteers!F252</f>
        <v>Downtown Pantry</v>
      </c>
      <c r="I252" s="9" t="n">
        <f aca="false">IF(Raw_Volunteers!G252="",ROUND(AVERAGE(Raw_Volunteers!$G$2:$G$926),1),Raw_Volunteers!G252)</f>
        <v>2</v>
      </c>
    </row>
    <row r="253" customFormat="false" ht="15" hidden="false" customHeight="true" outlineLevel="0" collapsed="false">
      <c r="A253" s="9" t="str">
        <f aca="false">Raw_Volunteers!A253</f>
        <v>V2043</v>
      </c>
      <c r="B253" s="9" t="str">
        <f aca="false">IF(COUNTIFS(Raw_Volunteers!$A$2:$A$926,Raw_Volunteers!A253,Raw_Volunteers!$D$2:$D$926,Raw_Volunteers!D253,Raw_Volunteers!$E$2:$E$926,Raw_Volunteers!E253,Raw_Volunteers!$G$2:$G$926,Raw_Volunteers!G253)&gt;1,"Possible Duplicate","")</f>
        <v/>
      </c>
      <c r="C253" s="9" t="str">
        <f aca="false">Raw_Volunteers!B253</f>
        <v>D1185</v>
      </c>
      <c r="D253" s="9" t="str">
        <f aca="false">IF(C253="","No","Yes")</f>
        <v>Yes</v>
      </c>
      <c r="E253" s="9" t="str">
        <f aca="false">Raw_Volunteers!C253</f>
        <v>Andrew Sanchez</v>
      </c>
      <c r="F253" s="9" t="str">
        <f aca="false">Raw_Volunteers!D253</f>
        <v>07/12/2024</v>
      </c>
      <c r="G253" s="9" t="str">
        <f aca="false">PROPER(TRIM(Raw_Volunteers!E253))</f>
        <v>Holiday Box Packing</v>
      </c>
      <c r="H253" s="9" t="str">
        <f aca="false">Raw_Volunteers!F253</f>
        <v>Downtown Pantry</v>
      </c>
      <c r="I253" s="9" t="n">
        <f aca="false">IF(Raw_Volunteers!G253="",ROUND(AVERAGE(Raw_Volunteers!$G$2:$G$926),1),Raw_Volunteers!G253)</f>
        <v>3</v>
      </c>
    </row>
    <row r="254" customFormat="false" ht="15" hidden="false" customHeight="true" outlineLevel="0" collapsed="false">
      <c r="A254" s="9" t="str">
        <f aca="false">Raw_Volunteers!A254</f>
        <v>V2043</v>
      </c>
      <c r="B254" s="9" t="str">
        <f aca="false">IF(COUNTIFS(Raw_Volunteers!$A$2:$A$926,Raw_Volunteers!A254,Raw_Volunteers!$D$2:$D$926,Raw_Volunteers!D254,Raw_Volunteers!$E$2:$E$926,Raw_Volunteers!E254,Raw_Volunteers!$G$2:$G$926,Raw_Volunteers!G254)&gt;1,"Possible Duplicate","")</f>
        <v/>
      </c>
      <c r="C254" s="9" t="str">
        <f aca="false">Raw_Volunteers!B254</f>
        <v>D1185</v>
      </c>
      <c r="D254" s="9" t="str">
        <f aca="false">IF(C254="","No","Yes")</f>
        <v>Yes</v>
      </c>
      <c r="E254" s="9" t="str">
        <f aca="false">Raw_Volunteers!C254</f>
        <v>Andrew Sanchez</v>
      </c>
      <c r="F254" s="9" t="str">
        <f aca="false">Raw_Volunteers!D254</f>
        <v>01/02/2026</v>
      </c>
      <c r="G254" s="9" t="str">
        <f aca="false">PROPER(TRIM(Raw_Volunteers!E254))</f>
        <v>Client Intake Assistant</v>
      </c>
      <c r="H254" s="9" t="str">
        <f aca="false">Raw_Volunteers!F254</f>
        <v>Community Center Site</v>
      </c>
      <c r="I254" s="9" t="n">
        <f aca="false">IF(Raw_Volunteers!G254="",ROUND(AVERAGE(Raw_Volunteers!$G$2:$G$926),1),Raw_Volunteers!G254)</f>
        <v>4</v>
      </c>
    </row>
    <row r="255" customFormat="false" ht="15" hidden="false" customHeight="true" outlineLevel="0" collapsed="false">
      <c r="A255" s="9" t="str">
        <f aca="false">Raw_Volunteers!A255</f>
        <v>V2043</v>
      </c>
      <c r="B255" s="9" t="str">
        <f aca="false">IF(COUNTIFS(Raw_Volunteers!$A$2:$A$926,Raw_Volunteers!A255,Raw_Volunteers!$D$2:$D$926,Raw_Volunteers!D255,Raw_Volunteers!$E$2:$E$926,Raw_Volunteers!E255,Raw_Volunteers!$G$2:$G$926,Raw_Volunteers!G255)&gt;1,"Possible Duplicate","")</f>
        <v/>
      </c>
      <c r="C255" s="9" t="str">
        <f aca="false">Raw_Volunteers!B255</f>
        <v>D1185</v>
      </c>
      <c r="D255" s="9" t="str">
        <f aca="false">IF(C255="","No","Yes")</f>
        <v>Yes</v>
      </c>
      <c r="E255" s="9" t="str">
        <f aca="false">Raw_Volunteers!C255</f>
        <v>Andrew Sanchez</v>
      </c>
      <c r="F255" s="9" t="str">
        <f aca="false">Raw_Volunteers!D255</f>
        <v>06/25/2024</v>
      </c>
      <c r="G255" s="9" t="str">
        <f aca="false">PROPER(TRIM(Raw_Volunteers!E255))</f>
        <v>Front Desk Greeter</v>
      </c>
      <c r="H255" s="9" t="str">
        <f aca="false">Raw_Volunteers!F255</f>
        <v>Community Center Site</v>
      </c>
      <c r="I255" s="9" t="n">
        <f aca="false">IF(Raw_Volunteers!G255="",ROUND(AVERAGE(Raw_Volunteers!$G$2:$G$926),1),Raw_Volunteers!G255)</f>
        <v>2</v>
      </c>
    </row>
    <row r="256" customFormat="false" ht="15" hidden="false" customHeight="true" outlineLevel="0" collapsed="false">
      <c r="A256" s="9" t="str">
        <f aca="false">Raw_Volunteers!A256</f>
        <v>V2043</v>
      </c>
      <c r="B256" s="9" t="str">
        <f aca="false">IF(COUNTIFS(Raw_Volunteers!$A$2:$A$926,Raw_Volunteers!A256,Raw_Volunteers!$D$2:$D$926,Raw_Volunteers!D256,Raw_Volunteers!$E$2:$E$926,Raw_Volunteers!E256,Raw_Volunteers!$G$2:$G$926,Raw_Volunteers!G256)&gt;1,"Possible Duplicate","")</f>
        <v/>
      </c>
      <c r="C256" s="9" t="str">
        <f aca="false">Raw_Volunteers!B256</f>
        <v>D1185</v>
      </c>
      <c r="D256" s="9" t="str">
        <f aca="false">IF(C256="","No","Yes")</f>
        <v>Yes</v>
      </c>
      <c r="E256" s="9" t="str">
        <f aca="false">Raw_Volunteers!C256</f>
        <v>Andrew Sanchez</v>
      </c>
      <c r="F256" s="9" t="str">
        <f aca="false">Raw_Volunteers!D256</f>
        <v>08/06/2024</v>
      </c>
      <c r="G256" s="9" t="str">
        <f aca="false">PROPER(TRIM(Raw_Volunteers!E256))</f>
        <v>Pantry Stocking</v>
      </c>
      <c r="H256" s="9" t="str">
        <f aca="false">Raw_Volunteers!F256</f>
        <v>Mobile Unit - Route A</v>
      </c>
      <c r="I256" s="9" t="n">
        <f aca="false">IF(Raw_Volunteers!G256="",ROUND(AVERAGE(Raw_Volunteers!$G$2:$G$926),1),Raw_Volunteers!G256)</f>
        <v>2</v>
      </c>
    </row>
    <row r="257" customFormat="false" ht="15" hidden="false" customHeight="true" outlineLevel="0" collapsed="false">
      <c r="A257" s="9" t="str">
        <f aca="false">Raw_Volunteers!A257</f>
        <v>V2043</v>
      </c>
      <c r="B257" s="9" t="str">
        <f aca="false">IF(COUNTIFS(Raw_Volunteers!$A$2:$A$926,Raw_Volunteers!A257,Raw_Volunteers!$D$2:$D$926,Raw_Volunteers!D257,Raw_Volunteers!$E$2:$E$926,Raw_Volunteers!E257,Raw_Volunteers!$G$2:$G$926,Raw_Volunteers!G257)&gt;1,"Possible Duplicate","")</f>
        <v/>
      </c>
      <c r="C257" s="9" t="str">
        <f aca="false">Raw_Volunteers!B257</f>
        <v>D1185</v>
      </c>
      <c r="D257" s="9" t="str">
        <f aca="false">IF(C257="","No","Yes")</f>
        <v>Yes</v>
      </c>
      <c r="E257" s="9" t="str">
        <f aca="false">Raw_Volunteers!C257</f>
        <v>Andrew Sanchez</v>
      </c>
      <c r="F257" s="9" t="str">
        <f aca="false">Raw_Volunteers!D257</f>
        <v>12/28/2024</v>
      </c>
      <c r="G257" s="9" t="str">
        <f aca="false">PROPER(TRIM(Raw_Volunteers!E257))</f>
        <v>Client Intake Assistant</v>
      </c>
      <c r="H257" s="9" t="str">
        <f aca="false">Raw_Volunteers!F257</f>
        <v>Mobile Unit - Route B</v>
      </c>
      <c r="I257" s="9" t="n">
        <f aca="false">IF(Raw_Volunteers!G257="",ROUND(AVERAGE(Raw_Volunteers!$G$2:$G$926),1),Raw_Volunteers!G257)</f>
        <v>2</v>
      </c>
    </row>
    <row r="258" customFormat="false" ht="15" hidden="false" customHeight="true" outlineLevel="0" collapsed="false">
      <c r="A258" s="9" t="str">
        <f aca="false">Raw_Volunteers!A258</f>
        <v>V2044</v>
      </c>
      <c r="B258" s="9" t="str">
        <f aca="false">IF(COUNTIFS(Raw_Volunteers!$A$2:$A$926,Raw_Volunteers!A258,Raw_Volunteers!$D$2:$D$926,Raw_Volunteers!D258,Raw_Volunteers!$E$2:$E$926,Raw_Volunteers!E258,Raw_Volunteers!$G$2:$G$926,Raw_Volunteers!G258)&gt;1,"Possible Duplicate","")</f>
        <v/>
      </c>
      <c r="C258" s="9" t="str">
        <f aca="false">Raw_Volunteers!B258</f>
        <v>D1555</v>
      </c>
      <c r="D258" s="9" t="str">
        <f aca="false">IF(C258="","No","Yes")</f>
        <v>Yes</v>
      </c>
      <c r="E258" s="9" t="str">
        <f aca="false">Raw_Volunteers!C258</f>
        <v>Mark Thomas</v>
      </c>
      <c r="F258" s="9" t="str">
        <f aca="false">Raw_Volunteers!D258</f>
        <v>09/14/2025</v>
      </c>
      <c r="G258" s="9" t="str">
        <f aca="false">PROPER(TRIM(Raw_Volunteers!E258))</f>
        <v>Food Sorting</v>
      </c>
      <c r="H258" s="9" t="str">
        <f aca="false">Raw_Volunteers!F258</f>
        <v>Downtown Pantry</v>
      </c>
      <c r="I258" s="9" t="n">
        <f aca="false">IF(Raw_Volunteers!G258="",ROUND(AVERAGE(Raw_Volunteers!$G$2:$G$926),1),Raw_Volunteers!G258)</f>
        <v>3</v>
      </c>
    </row>
    <row r="259" customFormat="false" ht="15" hidden="false" customHeight="true" outlineLevel="0" collapsed="false">
      <c r="A259" s="9" t="str">
        <f aca="false">Raw_Volunteers!A259</f>
        <v>V2044</v>
      </c>
      <c r="B259" s="9" t="str">
        <f aca="false">IF(COUNTIFS(Raw_Volunteers!$A$2:$A$926,Raw_Volunteers!A259,Raw_Volunteers!$D$2:$D$926,Raw_Volunteers!D259,Raw_Volunteers!$E$2:$E$926,Raw_Volunteers!E259,Raw_Volunteers!$G$2:$G$926,Raw_Volunteers!G259)&gt;1,"Possible Duplicate","")</f>
        <v/>
      </c>
      <c r="C259" s="9" t="str">
        <f aca="false">Raw_Volunteers!B259</f>
        <v>D1555</v>
      </c>
      <c r="D259" s="9" t="str">
        <f aca="false">IF(C259="","No","Yes")</f>
        <v>Yes</v>
      </c>
      <c r="E259" s="9" t="str">
        <f aca="false">Raw_Volunteers!C259</f>
        <v>Mark Thomas</v>
      </c>
      <c r="F259" s="9" t="str">
        <f aca="false">Raw_Volunteers!D259</f>
        <v>06/15/2025</v>
      </c>
      <c r="G259" s="9" t="str">
        <f aca="false">PROPER(TRIM(Raw_Volunteers!E259))</f>
        <v>Pantry Stocking</v>
      </c>
      <c r="H259" s="9" t="str">
        <f aca="false">Raw_Volunteers!F259</f>
        <v>Main Warehouse</v>
      </c>
      <c r="I259" s="9" t="n">
        <f aca="false">IF(Raw_Volunteers!G259="",ROUND(AVERAGE(Raw_Volunteers!$G$2:$G$926),1),Raw_Volunteers!G259)</f>
        <v>2</v>
      </c>
    </row>
    <row r="260" customFormat="false" ht="15" hidden="false" customHeight="true" outlineLevel="0" collapsed="false">
      <c r="A260" s="9" t="str">
        <f aca="false">Raw_Volunteers!A260</f>
        <v>V2045</v>
      </c>
      <c r="B260" s="9" t="str">
        <f aca="false">IF(COUNTIFS(Raw_Volunteers!$A$2:$A$926,Raw_Volunteers!A260,Raw_Volunteers!$D$2:$D$926,Raw_Volunteers!D260,Raw_Volunteers!$E$2:$E$926,Raw_Volunteers!E260,Raw_Volunteers!$G$2:$G$926,Raw_Volunteers!G260)&gt;1,"Possible Duplicate","")</f>
        <v/>
      </c>
      <c r="C260" s="9" t="str">
        <f aca="false">Raw_Volunteers!B260</f>
        <v>D1155</v>
      </c>
      <c r="D260" s="9" t="str">
        <f aca="false">IF(C260="","No","Yes")</f>
        <v>Yes</v>
      </c>
      <c r="E260" s="9" t="str">
        <f aca="false">Raw_Volunteers!C260</f>
        <v>Patricia Allen</v>
      </c>
      <c r="F260" s="9" t="str">
        <f aca="false">Raw_Volunteers!D260</f>
        <v>04/28/2025</v>
      </c>
      <c r="G260" s="9" t="str">
        <f aca="false">PROPER(TRIM(Raw_Volunteers!E260))</f>
        <v>Pantry Stocking</v>
      </c>
      <c r="H260" s="9" t="str">
        <f aca="false">Raw_Volunteers!F260</f>
        <v>Main Warehouse</v>
      </c>
      <c r="I260" s="9" t="n">
        <f aca="false">IF(Raw_Volunteers!G260="",ROUND(AVERAGE(Raw_Volunteers!$G$2:$G$926),1),Raw_Volunteers!G260)</f>
        <v>4</v>
      </c>
    </row>
    <row r="261" customFormat="false" ht="15" hidden="false" customHeight="true" outlineLevel="0" collapsed="false">
      <c r="A261" s="9" t="str">
        <f aca="false">Raw_Volunteers!A261</f>
        <v>V2046</v>
      </c>
      <c r="B261" s="9" t="str">
        <f aca="false">IF(COUNTIFS(Raw_Volunteers!$A$2:$A$926,Raw_Volunteers!A261,Raw_Volunteers!$D$2:$D$926,Raw_Volunteers!D261,Raw_Volunteers!$E$2:$E$926,Raw_Volunteers!E261,Raw_Volunteers!$G$2:$G$926,Raw_Volunteers!G261)&gt;1,"Possible Duplicate","")</f>
        <v/>
      </c>
      <c r="C261" s="9" t="str">
        <f aca="false">Raw_Volunteers!B261</f>
        <v>D1662</v>
      </c>
      <c r="D261" s="9" t="str">
        <f aca="false">IF(C261="","No","Yes")</f>
        <v>Yes</v>
      </c>
      <c r="E261" s="9" t="str">
        <f aca="false">Raw_Volunteers!C261</f>
        <v>Jessica Harris</v>
      </c>
      <c r="F261" s="9" t="str">
        <f aca="false">Raw_Volunteers!D261</f>
        <v>07/21/2024</v>
      </c>
      <c r="G261" s="9" t="str">
        <f aca="false">PROPER(TRIM(Raw_Volunteers!E261))</f>
        <v>Holiday Box Packing</v>
      </c>
      <c r="H261" s="9" t="str">
        <f aca="false">Raw_Volunteers!F261</f>
        <v>Mobile Unit - Route A</v>
      </c>
      <c r="I261" s="9" t="n">
        <f aca="false">IF(Raw_Volunteers!G261="",ROUND(AVERAGE(Raw_Volunteers!$G$2:$G$926),1),Raw_Volunteers!G261)</f>
        <v>3</v>
      </c>
    </row>
    <row r="262" customFormat="false" ht="15" hidden="false" customHeight="true" outlineLevel="0" collapsed="false">
      <c r="A262" s="9" t="str">
        <f aca="false">Raw_Volunteers!A262</f>
        <v>V2046</v>
      </c>
      <c r="B262" s="9" t="str">
        <f aca="false">IF(COUNTIFS(Raw_Volunteers!$A$2:$A$926,Raw_Volunteers!A262,Raw_Volunteers!$D$2:$D$926,Raw_Volunteers!D262,Raw_Volunteers!$E$2:$E$926,Raw_Volunteers!E262,Raw_Volunteers!$G$2:$G$926,Raw_Volunteers!G262)&gt;1,"Possible Duplicate","")</f>
        <v/>
      </c>
      <c r="C262" s="9" t="str">
        <f aca="false">Raw_Volunteers!B262</f>
        <v>D1662</v>
      </c>
      <c r="D262" s="9" t="str">
        <f aca="false">IF(C262="","No","Yes")</f>
        <v>Yes</v>
      </c>
      <c r="E262" s="9" t="str">
        <f aca="false">Raw_Volunteers!C262</f>
        <v>Jessica Harris</v>
      </c>
      <c r="F262" s="9" t="str">
        <f aca="false">Raw_Volunteers!D262</f>
        <v>07/18/2025</v>
      </c>
      <c r="G262" s="9" t="str">
        <f aca="false">PROPER(TRIM(Raw_Volunteers!E262))</f>
        <v>Front Desk Greeter</v>
      </c>
      <c r="H262" s="9" t="str">
        <f aca="false">Raw_Volunteers!F262</f>
        <v>Community Center Site</v>
      </c>
      <c r="I262" s="9" t="n">
        <f aca="false">IF(Raw_Volunteers!G262="",ROUND(AVERAGE(Raw_Volunteers!$G$2:$G$926),1),Raw_Volunteers!G262)</f>
        <v>3</v>
      </c>
    </row>
    <row r="263" customFormat="false" ht="15" hidden="false" customHeight="true" outlineLevel="0" collapsed="false">
      <c r="A263" s="9" t="str">
        <f aca="false">Raw_Volunteers!A263</f>
        <v>V2046</v>
      </c>
      <c r="B263" s="9" t="str">
        <f aca="false">IF(COUNTIFS(Raw_Volunteers!$A$2:$A$926,Raw_Volunteers!A263,Raw_Volunteers!$D$2:$D$926,Raw_Volunteers!D263,Raw_Volunteers!$E$2:$E$926,Raw_Volunteers!E263,Raw_Volunteers!$G$2:$G$926,Raw_Volunteers!G263)&gt;1,"Possible Duplicate","")</f>
        <v/>
      </c>
      <c r="C263" s="9" t="str">
        <f aca="false">Raw_Volunteers!B263</f>
        <v>D1662</v>
      </c>
      <c r="D263" s="9" t="str">
        <f aca="false">IF(C263="","No","Yes")</f>
        <v>Yes</v>
      </c>
      <c r="E263" s="9" t="str">
        <f aca="false">Raw_Volunteers!C263</f>
        <v>Jessica Harris</v>
      </c>
      <c r="F263" s="9" t="str">
        <f aca="false">Raw_Volunteers!D263</f>
        <v>03/11/2026</v>
      </c>
      <c r="G263" s="9" t="str">
        <f aca="false">PROPER(TRIM(Raw_Volunteers!E263))</f>
        <v>Holiday Box Packing</v>
      </c>
      <c r="H263" s="9" t="str">
        <f aca="false">Raw_Volunteers!F263</f>
        <v>Mobile Unit - Route B</v>
      </c>
      <c r="I263" s="9" t="n">
        <f aca="false">IF(Raw_Volunteers!G263="",ROUND(AVERAGE(Raw_Volunteers!$G$2:$G$926),1),Raw_Volunteers!G263)</f>
        <v>3</v>
      </c>
    </row>
    <row r="264" customFormat="false" ht="15" hidden="false" customHeight="true" outlineLevel="0" collapsed="false">
      <c r="A264" s="9" t="str">
        <f aca="false">Raw_Volunteers!A264</f>
        <v>V2047</v>
      </c>
      <c r="B264" s="9" t="str">
        <f aca="false">IF(COUNTIFS(Raw_Volunteers!$A$2:$A$926,Raw_Volunteers!A264,Raw_Volunteers!$D$2:$D$926,Raw_Volunteers!D264,Raw_Volunteers!$E$2:$E$926,Raw_Volunteers!E264,Raw_Volunteers!$G$2:$G$926,Raw_Volunteers!G264)&gt;1,"Possible Duplicate","")</f>
        <v/>
      </c>
      <c r="C264" s="9" t="str">
        <f aca="false">Raw_Volunteers!B264</f>
        <v>D1157</v>
      </c>
      <c r="D264" s="9" t="str">
        <f aca="false">IF(C264="","No","Yes")</f>
        <v>Yes</v>
      </c>
      <c r="E264" s="9" t="str">
        <f aca="false">Raw_Volunteers!C264</f>
        <v>Mary Thompson</v>
      </c>
      <c r="F264" s="9" t="str">
        <f aca="false">Raw_Volunteers!D264</f>
        <v>08/01/2024</v>
      </c>
      <c r="G264" s="9" t="str">
        <f aca="false">PROPER(TRIM(Raw_Volunteers!E264))</f>
        <v>Pantry Stocking</v>
      </c>
      <c r="H264" s="9" t="str">
        <f aca="false">Raw_Volunteers!F264</f>
        <v>Community Center Site</v>
      </c>
      <c r="I264" s="9" t="n">
        <f aca="false">IF(Raw_Volunteers!G264="",ROUND(AVERAGE(Raw_Volunteers!$G$2:$G$926),1),Raw_Volunteers!G264)</f>
        <v>2</v>
      </c>
    </row>
    <row r="265" customFormat="false" ht="15" hidden="false" customHeight="true" outlineLevel="0" collapsed="false">
      <c r="A265" s="9" t="str">
        <f aca="false">Raw_Volunteers!A265</f>
        <v>V2048</v>
      </c>
      <c r="B265" s="9" t="str">
        <f aca="false">IF(COUNTIFS(Raw_Volunteers!$A$2:$A$926,Raw_Volunteers!A265,Raw_Volunteers!$D$2:$D$926,Raw_Volunteers!D265,Raw_Volunteers!$E$2:$E$926,Raw_Volunteers!E265,Raw_Volunteers!$G$2:$G$926,Raw_Volunteers!G265)&gt;1,"Possible Duplicate","")</f>
        <v/>
      </c>
      <c r="C265" s="9" t="str">
        <f aca="false">Raw_Volunteers!B265</f>
        <v>D1062</v>
      </c>
      <c r="D265" s="9" t="str">
        <f aca="false">IF(C265="","No","Yes")</f>
        <v>Yes</v>
      </c>
      <c r="E265" s="9" t="str">
        <f aca="false">Raw_Volunteers!C265</f>
        <v>Mark Martin</v>
      </c>
      <c r="F265" s="9" t="str">
        <f aca="false">Raw_Volunteers!D265</f>
        <v>12/12/2024</v>
      </c>
      <c r="G265" s="9" t="str">
        <f aca="false">PROPER(TRIM(Raw_Volunteers!E265))</f>
        <v>Holiday Box Packing</v>
      </c>
      <c r="H265" s="9" t="str">
        <f aca="false">Raw_Volunteers!F265</f>
        <v>Mobile Unit - Route B</v>
      </c>
      <c r="I265" s="9" t="n">
        <f aca="false">IF(Raw_Volunteers!G265="",ROUND(AVERAGE(Raw_Volunteers!$G$2:$G$926),1),Raw_Volunteers!G265)</f>
        <v>4</v>
      </c>
    </row>
    <row r="266" customFormat="false" ht="15" hidden="false" customHeight="true" outlineLevel="0" collapsed="false">
      <c r="A266" s="9" t="str">
        <f aca="false">Raw_Volunteers!A266</f>
        <v>V2048</v>
      </c>
      <c r="B266" s="9" t="str">
        <f aca="false">IF(COUNTIFS(Raw_Volunteers!$A$2:$A$926,Raw_Volunteers!A266,Raw_Volunteers!$D$2:$D$926,Raw_Volunteers!D266,Raw_Volunteers!$E$2:$E$926,Raw_Volunteers!E266,Raw_Volunteers!$G$2:$G$926,Raw_Volunteers!G266)&gt;1,"Possible Duplicate","")</f>
        <v/>
      </c>
      <c r="C266" s="9" t="str">
        <f aca="false">Raw_Volunteers!B266</f>
        <v>D1062</v>
      </c>
      <c r="D266" s="9" t="str">
        <f aca="false">IF(C266="","No","Yes")</f>
        <v>Yes</v>
      </c>
      <c r="E266" s="9" t="str">
        <f aca="false">Raw_Volunteers!C266</f>
        <v>Mark Martin</v>
      </c>
      <c r="F266" s="9" t="str">
        <f aca="false">Raw_Volunteers!D266</f>
        <v>01/24/2024</v>
      </c>
      <c r="G266" s="9" t="str">
        <f aca="false">PROPER(TRIM(Raw_Volunteers!E266))</f>
        <v>Holiday Box Packing</v>
      </c>
      <c r="H266" s="9" t="str">
        <f aca="false">Raw_Volunteers!F266</f>
        <v>Mobile Unit - Route B</v>
      </c>
      <c r="I266" s="9" t="n">
        <f aca="false">IF(Raw_Volunteers!G266="",ROUND(AVERAGE(Raw_Volunteers!$G$2:$G$926),1),Raw_Volunteers!G266)</f>
        <v>2</v>
      </c>
    </row>
    <row r="267" customFormat="false" ht="15" hidden="false" customHeight="true" outlineLevel="0" collapsed="false">
      <c r="A267" s="9" t="str">
        <f aca="false">Raw_Volunteers!A267</f>
        <v>V2049</v>
      </c>
      <c r="B267" s="9" t="str">
        <f aca="false">IF(COUNTIFS(Raw_Volunteers!$A$2:$A$926,Raw_Volunteers!A267,Raw_Volunteers!$D$2:$D$926,Raw_Volunteers!D267,Raw_Volunteers!$E$2:$E$926,Raw_Volunteers!E267,Raw_Volunteers!$G$2:$G$926,Raw_Volunteers!G267)&gt;1,"Possible Duplicate","")</f>
        <v/>
      </c>
      <c r="C267" s="9" t="str">
        <f aca="false">Raw_Volunteers!B267</f>
        <v>D1467</v>
      </c>
      <c r="D267" s="9" t="str">
        <f aca="false">IF(C267="","No","Yes")</f>
        <v>Yes</v>
      </c>
      <c r="E267" s="9" t="str">
        <f aca="false">Raw_Volunteers!C267</f>
        <v>Kevin Jackson</v>
      </c>
      <c r="F267" s="9" t="str">
        <f aca="false">Raw_Volunteers!D267</f>
        <v>06/08/2024</v>
      </c>
      <c r="G267" s="9" t="str">
        <f aca="false">PROPER(TRIM(Raw_Volunteers!E267))</f>
        <v>Food Sorting</v>
      </c>
      <c r="H267" s="9" t="str">
        <f aca="false">Raw_Volunteers!F267</f>
        <v>Community Center Site</v>
      </c>
      <c r="I267" s="9" t="n">
        <f aca="false">IF(Raw_Volunteers!G267="",ROUND(AVERAGE(Raw_Volunteers!$G$2:$G$926),1),Raw_Volunteers!G267)</f>
        <v>2</v>
      </c>
    </row>
    <row r="268" customFormat="false" ht="15" hidden="false" customHeight="true" outlineLevel="0" collapsed="false">
      <c r="A268" s="9" t="str">
        <f aca="false">Raw_Volunteers!A268</f>
        <v>V2049</v>
      </c>
      <c r="B268" s="9" t="str">
        <f aca="false">IF(COUNTIFS(Raw_Volunteers!$A$2:$A$926,Raw_Volunteers!A268,Raw_Volunteers!$D$2:$D$926,Raw_Volunteers!D268,Raw_Volunteers!$E$2:$E$926,Raw_Volunteers!E268,Raw_Volunteers!$G$2:$G$926,Raw_Volunteers!G268)&gt;1,"Possible Duplicate","")</f>
        <v/>
      </c>
      <c r="C268" s="9" t="str">
        <f aca="false">Raw_Volunteers!B268</f>
        <v>D1467</v>
      </c>
      <c r="D268" s="9" t="str">
        <f aca="false">IF(C268="","No","Yes")</f>
        <v>Yes</v>
      </c>
      <c r="E268" s="9" t="str">
        <f aca="false">Raw_Volunteers!C268</f>
        <v>Kevin Jackson</v>
      </c>
      <c r="F268" s="9" t="str">
        <f aca="false">Raw_Volunteers!D268</f>
        <v>05/22/2026</v>
      </c>
      <c r="G268" s="9" t="str">
        <f aca="false">PROPER(TRIM(Raw_Volunteers!E268))</f>
        <v>Holiday Box Packing</v>
      </c>
      <c r="H268" s="9" t="str">
        <f aca="false">Raw_Volunteers!F268</f>
        <v>Mobile Unit - Route A</v>
      </c>
      <c r="I268" s="9" t="n">
        <f aca="false">IF(Raw_Volunteers!G268="",ROUND(AVERAGE(Raw_Volunteers!$G$2:$G$926),1),Raw_Volunteers!G268)</f>
        <v>3</v>
      </c>
    </row>
    <row r="269" customFormat="false" ht="15" hidden="false" customHeight="true" outlineLevel="0" collapsed="false">
      <c r="A269" s="9" t="str">
        <f aca="false">Raw_Volunteers!A269</f>
        <v>V2049</v>
      </c>
      <c r="B269" s="9" t="str">
        <f aca="false">IF(COUNTIFS(Raw_Volunteers!$A$2:$A$926,Raw_Volunteers!A269,Raw_Volunteers!$D$2:$D$926,Raw_Volunteers!D269,Raw_Volunteers!$E$2:$E$926,Raw_Volunteers!E269,Raw_Volunteers!$G$2:$G$926,Raw_Volunteers!G269)&gt;1,"Possible Duplicate","")</f>
        <v/>
      </c>
      <c r="C269" s="9" t="str">
        <f aca="false">Raw_Volunteers!B269</f>
        <v>D1467</v>
      </c>
      <c r="D269" s="9" t="str">
        <f aca="false">IF(C269="","No","Yes")</f>
        <v>Yes</v>
      </c>
      <c r="E269" s="9" t="str">
        <f aca="false">Raw_Volunteers!C269</f>
        <v>Kevin Jackson</v>
      </c>
      <c r="F269" s="9" t="str">
        <f aca="false">Raw_Volunteers!D269</f>
        <v>03/13/2025</v>
      </c>
      <c r="G269" s="9" t="str">
        <f aca="false">PROPER(TRIM(Raw_Volunteers!E269))</f>
        <v>Holiday Box Packing</v>
      </c>
      <c r="H269" s="9" t="str">
        <f aca="false">Raw_Volunteers!F269</f>
        <v>Mobile Unit - Route A</v>
      </c>
      <c r="I269" s="9" t="n">
        <f aca="false">IF(Raw_Volunteers!G269="",ROUND(AVERAGE(Raw_Volunteers!$G$2:$G$926),1),Raw_Volunteers!G269)</f>
        <v>3</v>
      </c>
    </row>
    <row r="270" customFormat="false" ht="15" hidden="false" customHeight="true" outlineLevel="0" collapsed="false">
      <c r="A270" s="9" t="str">
        <f aca="false">Raw_Volunteers!A270</f>
        <v>V2049</v>
      </c>
      <c r="B270" s="9" t="str">
        <f aca="false">IF(COUNTIFS(Raw_Volunteers!$A$2:$A$926,Raw_Volunteers!A270,Raw_Volunteers!$D$2:$D$926,Raw_Volunteers!D270,Raw_Volunteers!$E$2:$E$926,Raw_Volunteers!E270,Raw_Volunteers!$G$2:$G$926,Raw_Volunteers!G270)&gt;1,"Possible Duplicate","")</f>
        <v/>
      </c>
      <c r="C270" s="9" t="str">
        <f aca="false">Raw_Volunteers!B270</f>
        <v>D1467</v>
      </c>
      <c r="D270" s="9" t="str">
        <f aca="false">IF(C270="","No","Yes")</f>
        <v>Yes</v>
      </c>
      <c r="E270" s="9" t="str">
        <f aca="false">Raw_Volunteers!C270</f>
        <v>Kevin Jackson</v>
      </c>
      <c r="F270" s="9" t="str">
        <f aca="false">Raw_Volunteers!D270</f>
        <v>08/04/2024</v>
      </c>
      <c r="G270" s="9" t="str">
        <f aca="false">PROPER(TRIM(Raw_Volunteers!E270))</f>
        <v>Front Desk Greeter</v>
      </c>
      <c r="H270" s="9" t="str">
        <f aca="false">Raw_Volunteers!F270</f>
        <v>Main Warehouse</v>
      </c>
      <c r="I270" s="9" t="n">
        <f aca="false">IF(Raw_Volunteers!G270="",ROUND(AVERAGE(Raw_Volunteers!$G$2:$G$926),1),Raw_Volunteers!G270)</f>
        <v>2</v>
      </c>
    </row>
    <row r="271" customFormat="false" ht="15" hidden="false" customHeight="true" outlineLevel="0" collapsed="false">
      <c r="A271" s="9" t="str">
        <f aca="false">Raw_Volunteers!A271</f>
        <v>V2049</v>
      </c>
      <c r="B271" s="9" t="str">
        <f aca="false">IF(COUNTIFS(Raw_Volunteers!$A$2:$A$926,Raw_Volunteers!A271,Raw_Volunteers!$D$2:$D$926,Raw_Volunteers!D271,Raw_Volunteers!$E$2:$E$926,Raw_Volunteers!E271,Raw_Volunteers!$G$2:$G$926,Raw_Volunteers!G271)&gt;1,"Possible Duplicate","")</f>
        <v/>
      </c>
      <c r="C271" s="9" t="str">
        <f aca="false">Raw_Volunteers!B271</f>
        <v>D1467</v>
      </c>
      <c r="D271" s="9" t="str">
        <f aca="false">IF(C271="","No","Yes")</f>
        <v>Yes</v>
      </c>
      <c r="E271" s="9" t="str">
        <f aca="false">Raw_Volunteers!C271</f>
        <v>Kevin Jackson</v>
      </c>
      <c r="F271" s="9" t="str">
        <f aca="false">Raw_Volunteers!D271</f>
        <v>02/17/2025</v>
      </c>
      <c r="G271" s="9" t="str">
        <f aca="false">PROPER(TRIM(Raw_Volunteers!E271))</f>
        <v>Warehouse Loading</v>
      </c>
      <c r="H271" s="9" t="str">
        <f aca="false">Raw_Volunteers!F271</f>
        <v>Mobile Unit - Route B</v>
      </c>
      <c r="I271" s="9" t="n">
        <f aca="false">IF(Raw_Volunteers!G271="",ROUND(AVERAGE(Raw_Volunteers!$G$2:$G$926),1),Raw_Volunteers!G271)</f>
        <v>2</v>
      </c>
    </row>
    <row r="272" customFormat="false" ht="15" hidden="false" customHeight="true" outlineLevel="0" collapsed="false">
      <c r="A272" s="9" t="str">
        <f aca="false">Raw_Volunteers!A272</f>
        <v>V2049</v>
      </c>
      <c r="B272" s="9" t="str">
        <f aca="false">IF(COUNTIFS(Raw_Volunteers!$A$2:$A$926,Raw_Volunteers!A272,Raw_Volunteers!$D$2:$D$926,Raw_Volunteers!D272,Raw_Volunteers!$E$2:$E$926,Raw_Volunteers!E272,Raw_Volunteers!$G$2:$G$926,Raw_Volunteers!G272)&gt;1,"Possible Duplicate","")</f>
        <v/>
      </c>
      <c r="C272" s="9" t="str">
        <f aca="false">Raw_Volunteers!B272</f>
        <v>D1467</v>
      </c>
      <c r="D272" s="9" t="str">
        <f aca="false">IF(C272="","No","Yes")</f>
        <v>Yes</v>
      </c>
      <c r="E272" s="9" t="str">
        <f aca="false">Raw_Volunteers!C272</f>
        <v>Kevin Jackson</v>
      </c>
      <c r="F272" s="9" t="str">
        <f aca="false">Raw_Volunteers!D272</f>
        <v>10/30/2024</v>
      </c>
      <c r="G272" s="9" t="str">
        <f aca="false">PROPER(TRIM(Raw_Volunteers!E272))</f>
        <v>Event Setup</v>
      </c>
      <c r="H272" s="9" t="str">
        <f aca="false">Raw_Volunteers!F272</f>
        <v>Downtown Pantry</v>
      </c>
      <c r="I272" s="9" t="n">
        <f aca="false">IF(Raw_Volunteers!G272="",ROUND(AVERAGE(Raw_Volunteers!$G$2:$G$926),1),Raw_Volunteers!G272)</f>
        <v>2</v>
      </c>
    </row>
    <row r="273" customFormat="false" ht="15" hidden="false" customHeight="true" outlineLevel="0" collapsed="false">
      <c r="A273" s="9" t="str">
        <f aca="false">Raw_Volunteers!A273</f>
        <v>V2049</v>
      </c>
      <c r="B273" s="9" t="str">
        <f aca="false">IF(COUNTIFS(Raw_Volunteers!$A$2:$A$926,Raw_Volunteers!A273,Raw_Volunteers!$D$2:$D$926,Raw_Volunteers!D273,Raw_Volunteers!$E$2:$E$926,Raw_Volunteers!E273,Raw_Volunteers!$G$2:$G$926,Raw_Volunteers!G273)&gt;1,"Possible Duplicate","")</f>
        <v/>
      </c>
      <c r="C273" s="9" t="str">
        <f aca="false">Raw_Volunteers!B273</f>
        <v>D1467</v>
      </c>
      <c r="D273" s="9" t="str">
        <f aca="false">IF(C273="","No","Yes")</f>
        <v>Yes</v>
      </c>
      <c r="E273" s="9" t="str">
        <f aca="false">Raw_Volunteers!C273</f>
        <v>Kevin Jackson</v>
      </c>
      <c r="F273" s="9" t="str">
        <f aca="false">Raw_Volunteers!D273</f>
        <v>08/12/2025</v>
      </c>
      <c r="G273" s="9" t="str">
        <f aca="false">PROPER(TRIM(Raw_Volunteers!E273))</f>
        <v>Event Setup</v>
      </c>
      <c r="H273" s="9" t="str">
        <f aca="false">Raw_Volunteers!F273</f>
        <v>Downtown Pantry</v>
      </c>
      <c r="I273" s="9" t="n">
        <f aca="false">IF(Raw_Volunteers!G273="",ROUND(AVERAGE(Raw_Volunteers!$G$2:$G$926),1),Raw_Volunteers!G273)</f>
        <v>2</v>
      </c>
    </row>
    <row r="274" customFormat="false" ht="15" hidden="false" customHeight="true" outlineLevel="0" collapsed="false">
      <c r="A274" s="9" t="str">
        <f aca="false">Raw_Volunteers!A274</f>
        <v>V2049</v>
      </c>
      <c r="B274" s="9" t="str">
        <f aca="false">IF(COUNTIFS(Raw_Volunteers!$A$2:$A$926,Raw_Volunteers!A274,Raw_Volunteers!$D$2:$D$926,Raw_Volunteers!D274,Raw_Volunteers!$E$2:$E$926,Raw_Volunteers!E274,Raw_Volunteers!$G$2:$G$926,Raw_Volunteers!G274)&gt;1,"Possible Duplicate","")</f>
        <v/>
      </c>
      <c r="C274" s="9" t="str">
        <f aca="false">Raw_Volunteers!B274</f>
        <v>D1467</v>
      </c>
      <c r="D274" s="9" t="str">
        <f aca="false">IF(C274="","No","Yes")</f>
        <v>Yes</v>
      </c>
      <c r="E274" s="9" t="str">
        <f aca="false">Raw_Volunteers!C274</f>
        <v>Kevin Jackson</v>
      </c>
      <c r="F274" s="9" t="str">
        <f aca="false">Raw_Volunteers!D274</f>
        <v>05/12/2024</v>
      </c>
      <c r="G274" s="9" t="str">
        <f aca="false">PROPER(TRIM(Raw_Volunteers!E274))</f>
        <v>Front Desk Greeter</v>
      </c>
      <c r="H274" s="9" t="str">
        <f aca="false">Raw_Volunteers!F274</f>
        <v>Mobile Unit - Route A</v>
      </c>
      <c r="I274" s="9" t="n">
        <f aca="false">IF(Raw_Volunteers!G274="",ROUND(AVERAGE(Raw_Volunteers!$G$2:$G$926),1),Raw_Volunteers!G274)</f>
        <v>2</v>
      </c>
    </row>
    <row r="275" customFormat="false" ht="15" hidden="false" customHeight="true" outlineLevel="0" collapsed="false">
      <c r="A275" s="9" t="str">
        <f aca="false">Raw_Volunteers!A275</f>
        <v>V2049</v>
      </c>
      <c r="B275" s="9" t="str">
        <f aca="false">IF(COUNTIFS(Raw_Volunteers!$A$2:$A$926,Raw_Volunteers!A275,Raw_Volunteers!$D$2:$D$926,Raw_Volunteers!D275,Raw_Volunteers!$E$2:$E$926,Raw_Volunteers!E275,Raw_Volunteers!$G$2:$G$926,Raw_Volunteers!G275)&gt;1,"Possible Duplicate","")</f>
        <v/>
      </c>
      <c r="C275" s="9" t="str">
        <f aca="false">Raw_Volunteers!B275</f>
        <v>D1467</v>
      </c>
      <c r="D275" s="9" t="str">
        <f aca="false">IF(C275="","No","Yes")</f>
        <v>Yes</v>
      </c>
      <c r="E275" s="9" t="str">
        <f aca="false">Raw_Volunteers!C275</f>
        <v>Kevin Jackson</v>
      </c>
      <c r="F275" s="9" t="str">
        <f aca="false">Raw_Volunteers!D275</f>
        <v>10/11/2025</v>
      </c>
      <c r="G275" s="9" t="str">
        <f aca="false">PROPER(TRIM(Raw_Volunteers!E275))</f>
        <v>Client Intake Assistant</v>
      </c>
      <c r="H275" s="9" t="str">
        <f aca="false">Raw_Volunteers!F275</f>
        <v>Mobile Unit - Route B</v>
      </c>
      <c r="I275" s="9" t="n">
        <f aca="false">IF(Raw_Volunteers!G275="",ROUND(AVERAGE(Raw_Volunteers!$G$2:$G$926),1),Raw_Volunteers!G275)</f>
        <v>2</v>
      </c>
    </row>
    <row r="276" customFormat="false" ht="15" hidden="false" customHeight="true" outlineLevel="0" collapsed="false">
      <c r="A276" s="9" t="str">
        <f aca="false">Raw_Volunteers!A276</f>
        <v>V2049</v>
      </c>
      <c r="B276" s="9" t="str">
        <f aca="false">IF(COUNTIFS(Raw_Volunteers!$A$2:$A$926,Raw_Volunteers!A276,Raw_Volunteers!$D$2:$D$926,Raw_Volunteers!D276,Raw_Volunteers!$E$2:$E$926,Raw_Volunteers!E276,Raw_Volunteers!$G$2:$G$926,Raw_Volunteers!G276)&gt;1,"Possible Duplicate","")</f>
        <v/>
      </c>
      <c r="C276" s="9" t="str">
        <f aca="false">Raw_Volunteers!B276</f>
        <v>D1467</v>
      </c>
      <c r="D276" s="9" t="str">
        <f aca="false">IF(C276="","No","Yes")</f>
        <v>Yes</v>
      </c>
      <c r="E276" s="9" t="str">
        <f aca="false">Raw_Volunteers!C276</f>
        <v>Kevin Jackson</v>
      </c>
      <c r="F276" s="9" t="str">
        <f aca="false">Raw_Volunteers!D276</f>
        <v>06/02/2024</v>
      </c>
      <c r="G276" s="9" t="str">
        <f aca="false">PROPER(TRIM(Raw_Volunteers!E276))</f>
        <v>Mobile Distribution Driver</v>
      </c>
      <c r="H276" s="9" t="str">
        <f aca="false">Raw_Volunteers!F276</f>
        <v>Downtown Pantry</v>
      </c>
      <c r="I276" s="9" t="n">
        <f aca="false">IF(Raw_Volunteers!G276="",ROUND(AVERAGE(Raw_Volunteers!$G$2:$G$926),1),Raw_Volunteers!G276)</f>
        <v>3</v>
      </c>
    </row>
    <row r="277" customFormat="false" ht="15" hidden="false" customHeight="true" outlineLevel="0" collapsed="false">
      <c r="A277" s="9" t="str">
        <f aca="false">Raw_Volunteers!A277</f>
        <v>V2049</v>
      </c>
      <c r="B277" s="9" t="str">
        <f aca="false">IF(COUNTIFS(Raw_Volunteers!$A$2:$A$926,Raw_Volunteers!A277,Raw_Volunteers!$D$2:$D$926,Raw_Volunteers!D277,Raw_Volunteers!$E$2:$E$926,Raw_Volunteers!E277,Raw_Volunteers!$G$2:$G$926,Raw_Volunteers!G277)&gt;1,"Possible Duplicate","")</f>
        <v/>
      </c>
      <c r="C277" s="9" t="str">
        <f aca="false">Raw_Volunteers!B277</f>
        <v>D1467</v>
      </c>
      <c r="D277" s="9" t="str">
        <f aca="false">IF(C277="","No","Yes")</f>
        <v>Yes</v>
      </c>
      <c r="E277" s="9" t="str">
        <f aca="false">Raw_Volunteers!C277</f>
        <v>Kevin Jackson</v>
      </c>
      <c r="F277" s="9" t="str">
        <f aca="false">Raw_Volunteers!D277</f>
        <v>07/31/2025</v>
      </c>
      <c r="G277" s="9" t="str">
        <f aca="false">PROPER(TRIM(Raw_Volunteers!E277))</f>
        <v>Client Intake Assistant</v>
      </c>
      <c r="H277" s="9" t="str">
        <f aca="false">Raw_Volunteers!F277</f>
        <v>Mobile Unit - Route A</v>
      </c>
      <c r="I277" s="9" t="n">
        <f aca="false">IF(Raw_Volunteers!G277="",ROUND(AVERAGE(Raw_Volunteers!$G$2:$G$926),1),Raw_Volunteers!G277)</f>
        <v>3</v>
      </c>
    </row>
    <row r="278" customFormat="false" ht="15" hidden="false" customHeight="true" outlineLevel="0" collapsed="false">
      <c r="A278" s="9" t="str">
        <f aca="false">Raw_Volunteers!A278</f>
        <v>V2049</v>
      </c>
      <c r="B278" s="9" t="str">
        <f aca="false">IF(COUNTIFS(Raw_Volunteers!$A$2:$A$926,Raw_Volunteers!A278,Raw_Volunteers!$D$2:$D$926,Raw_Volunteers!D278,Raw_Volunteers!$E$2:$E$926,Raw_Volunteers!E278,Raw_Volunteers!$G$2:$G$926,Raw_Volunteers!G278)&gt;1,"Possible Duplicate","")</f>
        <v/>
      </c>
      <c r="C278" s="9" t="str">
        <f aca="false">Raw_Volunteers!B278</f>
        <v>D1467</v>
      </c>
      <c r="D278" s="9" t="str">
        <f aca="false">IF(C278="","No","Yes")</f>
        <v>Yes</v>
      </c>
      <c r="E278" s="9" t="str">
        <f aca="false">Raw_Volunteers!C278</f>
        <v>Kevin Jackson</v>
      </c>
      <c r="F278" s="9" t="str">
        <f aca="false">Raw_Volunteers!D278</f>
        <v>10/29/2024</v>
      </c>
      <c r="G278" s="9" t="str">
        <f aca="false">PROPER(TRIM(Raw_Volunteers!E278))</f>
        <v>Event Setup</v>
      </c>
      <c r="H278" s="9" t="str">
        <f aca="false">Raw_Volunteers!F278</f>
        <v>Mobile Unit - Route A</v>
      </c>
      <c r="I278" s="9" t="n">
        <f aca="false">IF(Raw_Volunteers!G278="",ROUND(AVERAGE(Raw_Volunteers!$G$2:$G$926),1),Raw_Volunteers!G278)</f>
        <v>2</v>
      </c>
    </row>
    <row r="279" customFormat="false" ht="15" hidden="false" customHeight="true" outlineLevel="0" collapsed="false">
      <c r="A279" s="9" t="str">
        <f aca="false">Raw_Volunteers!A279</f>
        <v>V2050</v>
      </c>
      <c r="B279" s="9" t="str">
        <f aca="false">IF(COUNTIFS(Raw_Volunteers!$A$2:$A$926,Raw_Volunteers!A279,Raw_Volunteers!$D$2:$D$926,Raw_Volunteers!D279,Raw_Volunteers!$E$2:$E$926,Raw_Volunteers!E279,Raw_Volunteers!$G$2:$G$926,Raw_Volunteers!G279)&gt;1,"Possible Duplicate","")</f>
        <v/>
      </c>
      <c r="C279" s="9" t="str">
        <f aca="false">Raw_Volunteers!B279</f>
        <v>D1581</v>
      </c>
      <c r="D279" s="9" t="str">
        <f aca="false">IF(C279="","No","Yes")</f>
        <v>Yes</v>
      </c>
      <c r="E279" s="9" t="str">
        <f aca="false">Raw_Volunteers!C279</f>
        <v>Patricia King</v>
      </c>
      <c r="F279" s="9" t="str">
        <f aca="false">Raw_Volunteers!D279</f>
        <v>01/13/2025</v>
      </c>
      <c r="G279" s="9" t="str">
        <f aca="false">PROPER(TRIM(Raw_Volunteers!E279))</f>
        <v>Food Sorting</v>
      </c>
      <c r="H279" s="9" t="str">
        <f aca="false">Raw_Volunteers!F279</f>
        <v>Community Center Site</v>
      </c>
      <c r="I279" s="9" t="n">
        <f aca="false">IF(Raw_Volunteers!G279="",ROUND(AVERAGE(Raw_Volunteers!$G$2:$G$926),1),Raw_Volunteers!G279)</f>
        <v>4</v>
      </c>
    </row>
    <row r="280" customFormat="false" ht="15" hidden="false" customHeight="true" outlineLevel="0" collapsed="false">
      <c r="A280" s="9" t="str">
        <f aca="false">Raw_Volunteers!A280</f>
        <v>V2050</v>
      </c>
      <c r="B280" s="9" t="str">
        <f aca="false">IF(COUNTIFS(Raw_Volunteers!$A$2:$A$926,Raw_Volunteers!A280,Raw_Volunteers!$D$2:$D$926,Raw_Volunteers!D280,Raw_Volunteers!$E$2:$E$926,Raw_Volunteers!E280,Raw_Volunteers!$G$2:$G$926,Raw_Volunteers!G280)&gt;1,"Possible Duplicate","")</f>
        <v/>
      </c>
      <c r="C280" s="9" t="str">
        <f aca="false">Raw_Volunteers!B280</f>
        <v>D1581</v>
      </c>
      <c r="D280" s="9" t="str">
        <f aca="false">IF(C280="","No","Yes")</f>
        <v>Yes</v>
      </c>
      <c r="E280" s="9" t="str">
        <f aca="false">Raw_Volunteers!C280</f>
        <v>Patricia King</v>
      </c>
      <c r="F280" s="9" t="str">
        <f aca="false">Raw_Volunteers!D280</f>
        <v>10/16/2025</v>
      </c>
      <c r="G280" s="9" t="str">
        <f aca="false">PROPER(TRIM(Raw_Volunteers!E280))</f>
        <v>Client Intake Assistant</v>
      </c>
      <c r="H280" s="9" t="str">
        <f aca="false">Raw_Volunteers!F280</f>
        <v>Downtown Pantry</v>
      </c>
      <c r="I280" s="9" t="n">
        <f aca="false">IF(Raw_Volunteers!G280="",ROUND(AVERAGE(Raw_Volunteers!$G$2:$G$926),1),Raw_Volunteers!G280)</f>
        <v>2</v>
      </c>
    </row>
    <row r="281" customFormat="false" ht="15" hidden="false" customHeight="true" outlineLevel="0" collapsed="false">
      <c r="A281" s="9" t="str">
        <f aca="false">Raw_Volunteers!A281</f>
        <v>V2050</v>
      </c>
      <c r="B281" s="9" t="str">
        <f aca="false">IF(COUNTIFS(Raw_Volunteers!$A$2:$A$926,Raw_Volunteers!A281,Raw_Volunteers!$D$2:$D$926,Raw_Volunteers!D281,Raw_Volunteers!$E$2:$E$926,Raw_Volunteers!E281,Raw_Volunteers!$G$2:$G$926,Raw_Volunteers!G281)&gt;1,"Possible Duplicate","")</f>
        <v/>
      </c>
      <c r="C281" s="9" t="str">
        <f aca="false">Raw_Volunteers!B281</f>
        <v>D1581</v>
      </c>
      <c r="D281" s="9" t="str">
        <f aca="false">IF(C281="","No","Yes")</f>
        <v>Yes</v>
      </c>
      <c r="E281" s="9" t="str">
        <f aca="false">Raw_Volunteers!C281</f>
        <v>Patricia King</v>
      </c>
      <c r="F281" s="9" t="str">
        <f aca="false">Raw_Volunteers!D281</f>
        <v>10/15/2024</v>
      </c>
      <c r="G281" s="9" t="str">
        <f aca="false">PROPER(TRIM(Raw_Volunteers!E281))</f>
        <v>Front Desk Greeter</v>
      </c>
      <c r="H281" s="9" t="str">
        <f aca="false">Raw_Volunteers!F281</f>
        <v>Downtown Pantry</v>
      </c>
      <c r="I281" s="9" t="n">
        <f aca="false">IF(Raw_Volunteers!G281="",ROUND(AVERAGE(Raw_Volunteers!$G$2:$G$926),1),Raw_Volunteers!G281)</f>
        <v>2.9</v>
      </c>
    </row>
    <row r="282" customFormat="false" ht="15" hidden="false" customHeight="true" outlineLevel="0" collapsed="false">
      <c r="A282" s="9" t="str">
        <f aca="false">Raw_Volunteers!A282</f>
        <v>V2050</v>
      </c>
      <c r="B282" s="9" t="str">
        <f aca="false">IF(COUNTIFS(Raw_Volunteers!$A$2:$A$926,Raw_Volunteers!A282,Raw_Volunteers!$D$2:$D$926,Raw_Volunteers!D282,Raw_Volunteers!$E$2:$E$926,Raw_Volunteers!E282,Raw_Volunteers!$G$2:$G$926,Raw_Volunteers!G282)&gt;1,"Possible Duplicate","")</f>
        <v/>
      </c>
      <c r="C282" s="9" t="str">
        <f aca="false">Raw_Volunteers!B282</f>
        <v>D1581</v>
      </c>
      <c r="D282" s="9" t="str">
        <f aca="false">IF(C282="","No","Yes")</f>
        <v>Yes</v>
      </c>
      <c r="E282" s="9" t="str">
        <f aca="false">Raw_Volunteers!C282</f>
        <v>Patricia King</v>
      </c>
      <c r="F282" s="9" t="str">
        <f aca="false">Raw_Volunteers!D282</f>
        <v>02/12/2025</v>
      </c>
      <c r="G282" s="9" t="str">
        <f aca="false">PROPER(TRIM(Raw_Volunteers!E282))</f>
        <v>Pantry Stocking</v>
      </c>
      <c r="H282" s="9" t="str">
        <f aca="false">Raw_Volunteers!F282</f>
        <v>Community Center Site</v>
      </c>
      <c r="I282" s="9" t="n">
        <f aca="false">IF(Raw_Volunteers!G282="",ROUND(AVERAGE(Raw_Volunteers!$G$2:$G$926),1),Raw_Volunteers!G282)</f>
        <v>3</v>
      </c>
    </row>
    <row r="283" customFormat="false" ht="15" hidden="false" customHeight="true" outlineLevel="0" collapsed="false">
      <c r="A283" s="9" t="str">
        <f aca="false">Raw_Volunteers!A283</f>
        <v>V2050</v>
      </c>
      <c r="B283" s="9" t="str">
        <f aca="false">IF(COUNTIFS(Raw_Volunteers!$A$2:$A$926,Raw_Volunteers!A283,Raw_Volunteers!$D$2:$D$926,Raw_Volunteers!D283,Raw_Volunteers!$E$2:$E$926,Raw_Volunteers!E283,Raw_Volunteers!$G$2:$G$926,Raw_Volunteers!G283)&gt;1,"Possible Duplicate","")</f>
        <v/>
      </c>
      <c r="C283" s="9" t="str">
        <f aca="false">Raw_Volunteers!B283</f>
        <v>D1581</v>
      </c>
      <c r="D283" s="9" t="str">
        <f aca="false">IF(C283="","No","Yes")</f>
        <v>Yes</v>
      </c>
      <c r="E283" s="9" t="str">
        <f aca="false">Raw_Volunteers!C283</f>
        <v>Patricia King</v>
      </c>
      <c r="F283" s="9" t="str">
        <f aca="false">Raw_Volunteers!D283</f>
        <v>04/14/2025</v>
      </c>
      <c r="G283" s="9" t="str">
        <f aca="false">PROPER(TRIM(Raw_Volunteers!E283))</f>
        <v>Warehouse Loading</v>
      </c>
      <c r="H283" s="9" t="str">
        <f aca="false">Raw_Volunteers!F283</f>
        <v>Downtown Pantry</v>
      </c>
      <c r="I283" s="9" t="n">
        <f aca="false">IF(Raw_Volunteers!G283="",ROUND(AVERAGE(Raw_Volunteers!$G$2:$G$926),1),Raw_Volunteers!G283)</f>
        <v>2</v>
      </c>
    </row>
    <row r="284" customFormat="false" ht="15" hidden="false" customHeight="true" outlineLevel="0" collapsed="false">
      <c r="A284" s="9" t="str">
        <f aca="false">Raw_Volunteers!A284</f>
        <v>V2050</v>
      </c>
      <c r="B284" s="9" t="str">
        <f aca="false">IF(COUNTIFS(Raw_Volunteers!$A$2:$A$926,Raw_Volunteers!A284,Raw_Volunteers!$D$2:$D$926,Raw_Volunteers!D284,Raw_Volunteers!$E$2:$E$926,Raw_Volunteers!E284,Raw_Volunteers!$G$2:$G$926,Raw_Volunteers!G284)&gt;1,"Possible Duplicate","")</f>
        <v/>
      </c>
      <c r="C284" s="9" t="str">
        <f aca="false">Raw_Volunteers!B284</f>
        <v>D1581</v>
      </c>
      <c r="D284" s="9" t="str">
        <f aca="false">IF(C284="","No","Yes")</f>
        <v>Yes</v>
      </c>
      <c r="E284" s="9" t="str">
        <f aca="false">Raw_Volunteers!C284</f>
        <v>Patricia King</v>
      </c>
      <c r="F284" s="9" t="str">
        <f aca="false">Raw_Volunteers!D284</f>
        <v>03/05/2026</v>
      </c>
      <c r="G284" s="9" t="str">
        <f aca="false">PROPER(TRIM(Raw_Volunteers!E284))</f>
        <v>Warehouse Loading</v>
      </c>
      <c r="H284" s="9" t="str">
        <f aca="false">Raw_Volunteers!F284</f>
        <v>Community Center Site</v>
      </c>
      <c r="I284" s="9" t="n">
        <f aca="false">IF(Raw_Volunteers!G284="",ROUND(AVERAGE(Raw_Volunteers!$G$2:$G$926),1),Raw_Volunteers!G284)</f>
        <v>2</v>
      </c>
    </row>
    <row r="285" customFormat="false" ht="15" hidden="false" customHeight="true" outlineLevel="0" collapsed="false">
      <c r="A285" s="9" t="str">
        <f aca="false">Raw_Volunteers!A285</f>
        <v>V2051</v>
      </c>
      <c r="B285" s="9" t="str">
        <f aca="false">IF(COUNTIFS(Raw_Volunteers!$A$2:$A$926,Raw_Volunteers!A285,Raw_Volunteers!$D$2:$D$926,Raw_Volunteers!D285,Raw_Volunteers!$E$2:$E$926,Raw_Volunteers!E285,Raw_Volunteers!$G$2:$G$926,Raw_Volunteers!G285)&gt;1,"Possible Duplicate","")</f>
        <v/>
      </c>
      <c r="C285" s="9" t="str">
        <f aca="false">Raw_Volunteers!B285</f>
        <v>D1526</v>
      </c>
      <c r="D285" s="9" t="str">
        <f aca="false">IF(C285="","No","Yes")</f>
        <v>Yes</v>
      </c>
      <c r="E285" s="9" t="str">
        <f aca="false">Raw_Volunteers!C285</f>
        <v>Barbara Johnson</v>
      </c>
      <c r="F285" s="9" t="str">
        <f aca="false">Raw_Volunteers!D285</f>
        <v>03/01/2025</v>
      </c>
      <c r="G285" s="9" t="str">
        <f aca="false">PROPER(TRIM(Raw_Volunteers!E285))</f>
        <v>Mobile Distribution Driver</v>
      </c>
      <c r="H285" s="9" t="str">
        <f aca="false">Raw_Volunteers!F285</f>
        <v>Mobile Unit - Route B</v>
      </c>
      <c r="I285" s="9" t="n">
        <f aca="false">IF(Raw_Volunteers!G285="",ROUND(AVERAGE(Raw_Volunteers!$G$2:$G$926),1),Raw_Volunteers!G285)</f>
        <v>4</v>
      </c>
    </row>
    <row r="286" customFormat="false" ht="15" hidden="false" customHeight="true" outlineLevel="0" collapsed="false">
      <c r="A286" s="9" t="str">
        <f aca="false">Raw_Volunteers!A286</f>
        <v>V2052</v>
      </c>
      <c r="B286" s="9" t="str">
        <f aca="false">IF(COUNTIFS(Raw_Volunteers!$A$2:$A$926,Raw_Volunteers!A286,Raw_Volunteers!$D$2:$D$926,Raw_Volunteers!D286,Raw_Volunteers!$E$2:$E$926,Raw_Volunteers!E286,Raw_Volunteers!$G$2:$G$926,Raw_Volunteers!G286)&gt;1,"Possible Duplicate","")</f>
        <v/>
      </c>
      <c r="C286" s="9" t="str">
        <f aca="false">Raw_Volunteers!B286</f>
        <v>D1136</v>
      </c>
      <c r="D286" s="9" t="str">
        <f aca="false">IF(C286="","No","Yes")</f>
        <v>Yes</v>
      </c>
      <c r="E286" s="9" t="str">
        <f aca="false">Raw_Volunteers!C286</f>
        <v>Matthew Allen</v>
      </c>
      <c r="F286" s="9" t="str">
        <f aca="false">Raw_Volunteers!D286</f>
        <v>09/17/2024</v>
      </c>
      <c r="G286" s="9" t="str">
        <f aca="false">PROPER(TRIM(Raw_Volunteers!E286))</f>
        <v>Food Sorting</v>
      </c>
      <c r="H286" s="9" t="str">
        <f aca="false">Raw_Volunteers!F286</f>
        <v>Mobile Unit - Route A</v>
      </c>
      <c r="I286" s="9" t="n">
        <f aca="false">IF(Raw_Volunteers!G286="",ROUND(AVERAGE(Raw_Volunteers!$G$2:$G$926),1),Raw_Volunteers!G286)</f>
        <v>4</v>
      </c>
    </row>
    <row r="287" customFormat="false" ht="15" hidden="false" customHeight="true" outlineLevel="0" collapsed="false">
      <c r="A287" s="9" t="str">
        <f aca="false">Raw_Volunteers!A287</f>
        <v>V2052</v>
      </c>
      <c r="B287" s="9" t="str">
        <f aca="false">IF(COUNTIFS(Raw_Volunteers!$A$2:$A$926,Raw_Volunteers!A287,Raw_Volunteers!$D$2:$D$926,Raw_Volunteers!D287,Raw_Volunteers!$E$2:$E$926,Raw_Volunteers!E287,Raw_Volunteers!$G$2:$G$926,Raw_Volunteers!G287)&gt;1,"Possible Duplicate","")</f>
        <v/>
      </c>
      <c r="C287" s="9" t="str">
        <f aca="false">Raw_Volunteers!B287</f>
        <v>D1136</v>
      </c>
      <c r="D287" s="9" t="str">
        <f aca="false">IF(C287="","No","Yes")</f>
        <v>Yes</v>
      </c>
      <c r="E287" s="9" t="str">
        <f aca="false">Raw_Volunteers!C287</f>
        <v>Matthew Allen</v>
      </c>
      <c r="F287" s="9" t="str">
        <f aca="false">Raw_Volunteers!D287</f>
        <v>05/20/2025</v>
      </c>
      <c r="G287" s="9" t="str">
        <f aca="false">PROPER(TRIM(Raw_Volunteers!E287))</f>
        <v>Front Desk Greeter</v>
      </c>
      <c r="H287" s="9" t="str">
        <f aca="false">Raw_Volunteers!F287</f>
        <v>Downtown Pantry</v>
      </c>
      <c r="I287" s="9" t="n">
        <f aca="false">IF(Raw_Volunteers!G287="",ROUND(AVERAGE(Raw_Volunteers!$G$2:$G$926),1),Raw_Volunteers!G287)</f>
        <v>3</v>
      </c>
    </row>
    <row r="288" customFormat="false" ht="15" hidden="false" customHeight="true" outlineLevel="0" collapsed="false">
      <c r="A288" s="9" t="str">
        <f aca="false">Raw_Volunteers!A288</f>
        <v>V2052</v>
      </c>
      <c r="B288" s="9" t="str">
        <f aca="false">IF(COUNTIFS(Raw_Volunteers!$A$2:$A$926,Raw_Volunteers!A288,Raw_Volunteers!$D$2:$D$926,Raw_Volunteers!D288,Raw_Volunteers!$E$2:$E$926,Raw_Volunteers!E288,Raw_Volunteers!$G$2:$G$926,Raw_Volunteers!G288)&gt;1,"Possible Duplicate","")</f>
        <v/>
      </c>
      <c r="C288" s="9" t="str">
        <f aca="false">Raw_Volunteers!B288</f>
        <v>D1136</v>
      </c>
      <c r="D288" s="9" t="str">
        <f aca="false">IF(C288="","No","Yes")</f>
        <v>Yes</v>
      </c>
      <c r="E288" s="9" t="str">
        <f aca="false">Raw_Volunteers!C288</f>
        <v>Matthew Allen</v>
      </c>
      <c r="F288" s="9" t="str">
        <f aca="false">Raw_Volunteers!D288</f>
        <v>11/16/2024</v>
      </c>
      <c r="G288" s="9" t="str">
        <f aca="false">PROPER(TRIM(Raw_Volunteers!E288))</f>
        <v>Warehouse Loading</v>
      </c>
      <c r="H288" s="9" t="str">
        <f aca="false">Raw_Volunteers!F288</f>
        <v>Downtown Pantry</v>
      </c>
      <c r="I288" s="9" t="n">
        <f aca="false">IF(Raw_Volunteers!G288="",ROUND(AVERAGE(Raw_Volunteers!$G$2:$G$926),1),Raw_Volunteers!G288)</f>
        <v>3</v>
      </c>
    </row>
    <row r="289" customFormat="false" ht="15" hidden="false" customHeight="true" outlineLevel="0" collapsed="false">
      <c r="A289" s="9" t="str">
        <f aca="false">Raw_Volunteers!A289</f>
        <v>V2052</v>
      </c>
      <c r="B289" s="9" t="str">
        <f aca="false">IF(COUNTIFS(Raw_Volunteers!$A$2:$A$926,Raw_Volunteers!A289,Raw_Volunteers!$D$2:$D$926,Raw_Volunteers!D289,Raw_Volunteers!$E$2:$E$926,Raw_Volunteers!E289,Raw_Volunteers!$G$2:$G$926,Raw_Volunteers!G289)&gt;1,"Possible Duplicate","")</f>
        <v/>
      </c>
      <c r="C289" s="9" t="str">
        <f aca="false">Raw_Volunteers!B289</f>
        <v>D1136</v>
      </c>
      <c r="D289" s="9" t="str">
        <f aca="false">IF(C289="","No","Yes")</f>
        <v>Yes</v>
      </c>
      <c r="E289" s="9" t="str">
        <f aca="false">Raw_Volunteers!C289</f>
        <v>Matthew Allen</v>
      </c>
      <c r="F289" s="9" t="str">
        <f aca="false">Raw_Volunteers!D289</f>
        <v>10/20/2024</v>
      </c>
      <c r="G289" s="9" t="str">
        <f aca="false">PROPER(TRIM(Raw_Volunteers!E289))</f>
        <v>Mobile Distribution Driver</v>
      </c>
      <c r="H289" s="9" t="str">
        <f aca="false">Raw_Volunteers!F289</f>
        <v>Community Center Site</v>
      </c>
      <c r="I289" s="9" t="n">
        <f aca="false">IF(Raw_Volunteers!G289="",ROUND(AVERAGE(Raw_Volunteers!$G$2:$G$926),1),Raw_Volunteers!G289)</f>
        <v>3</v>
      </c>
    </row>
    <row r="290" customFormat="false" ht="15" hidden="false" customHeight="true" outlineLevel="0" collapsed="false">
      <c r="A290" s="9" t="str">
        <f aca="false">Raw_Volunteers!A290</f>
        <v>V2053</v>
      </c>
      <c r="B290" s="9" t="str">
        <f aca="false">IF(COUNTIFS(Raw_Volunteers!$A$2:$A$926,Raw_Volunteers!A290,Raw_Volunteers!$D$2:$D$926,Raw_Volunteers!D290,Raw_Volunteers!$E$2:$E$926,Raw_Volunteers!E290,Raw_Volunteers!$G$2:$G$926,Raw_Volunteers!G290)&gt;1,"Possible Duplicate","")</f>
        <v/>
      </c>
      <c r="C290" s="9" t="str">
        <f aca="false">Raw_Volunteers!B290</f>
        <v>D1072</v>
      </c>
      <c r="D290" s="9" t="str">
        <f aca="false">IF(C290="","No","Yes")</f>
        <v>Yes</v>
      </c>
      <c r="E290" s="9" t="str">
        <f aca="false">Raw_Volunteers!C290</f>
        <v>Paul Martinez</v>
      </c>
      <c r="F290" s="9" t="str">
        <f aca="false">Raw_Volunteers!D290</f>
        <v>10/20/2024</v>
      </c>
      <c r="G290" s="9" t="str">
        <f aca="false">PROPER(TRIM(Raw_Volunteers!E290))</f>
        <v>Food Sorting</v>
      </c>
      <c r="H290" s="9" t="str">
        <f aca="false">Raw_Volunteers!F290</f>
        <v>Mobile Unit - Route B</v>
      </c>
      <c r="I290" s="9" t="n">
        <f aca="false">IF(Raw_Volunteers!G290="",ROUND(AVERAGE(Raw_Volunteers!$G$2:$G$926),1),Raw_Volunteers!G290)</f>
        <v>2</v>
      </c>
    </row>
    <row r="291" customFormat="false" ht="15" hidden="false" customHeight="true" outlineLevel="0" collapsed="false">
      <c r="A291" s="9" t="str">
        <f aca="false">Raw_Volunteers!A291</f>
        <v>V2054</v>
      </c>
      <c r="B291" s="9" t="str">
        <f aca="false">IF(COUNTIFS(Raw_Volunteers!$A$2:$A$926,Raw_Volunteers!A291,Raw_Volunteers!$D$2:$D$926,Raw_Volunteers!D291,Raw_Volunteers!$E$2:$E$926,Raw_Volunteers!E291,Raw_Volunteers!$G$2:$G$926,Raw_Volunteers!G291)&gt;1,"Possible Duplicate","")</f>
        <v/>
      </c>
      <c r="C291" s="9" t="str">
        <f aca="false">Raw_Volunteers!B291</f>
        <v>D1439</v>
      </c>
      <c r="D291" s="9" t="str">
        <f aca="false">IF(C291="","No","Yes")</f>
        <v>Yes</v>
      </c>
      <c r="E291" s="9" t="str">
        <f aca="false">Raw_Volunteers!C291</f>
        <v>Amanda Garcia</v>
      </c>
      <c r="F291" s="9" t="str">
        <f aca="false">Raw_Volunteers!D291</f>
        <v>01/24/2025</v>
      </c>
      <c r="G291" s="9" t="str">
        <f aca="false">PROPER(TRIM(Raw_Volunteers!E291))</f>
        <v>Warehouse Loading</v>
      </c>
      <c r="H291" s="9" t="str">
        <f aca="false">Raw_Volunteers!F291</f>
        <v>Mobile Unit - Route B</v>
      </c>
      <c r="I291" s="9" t="n">
        <f aca="false">IF(Raw_Volunteers!G291="",ROUND(AVERAGE(Raw_Volunteers!$G$2:$G$926),1),Raw_Volunteers!G291)</f>
        <v>2</v>
      </c>
    </row>
    <row r="292" customFormat="false" ht="15" hidden="false" customHeight="true" outlineLevel="0" collapsed="false">
      <c r="A292" s="9" t="str">
        <f aca="false">Raw_Volunteers!A292</f>
        <v>V2055</v>
      </c>
      <c r="B292" s="9" t="str">
        <f aca="false">IF(COUNTIFS(Raw_Volunteers!$A$2:$A$926,Raw_Volunteers!A292,Raw_Volunteers!$D$2:$D$926,Raw_Volunteers!D292,Raw_Volunteers!$E$2:$E$926,Raw_Volunteers!E292,Raw_Volunteers!$G$2:$G$926,Raw_Volunteers!G292)&gt;1,"Possible Duplicate","")</f>
        <v/>
      </c>
      <c r="C292" s="9" t="str">
        <f aca="false">Raw_Volunteers!B292</f>
        <v>D1475</v>
      </c>
      <c r="D292" s="9" t="str">
        <f aca="false">IF(C292="","No","Yes")</f>
        <v>Yes</v>
      </c>
      <c r="E292" s="9" t="str">
        <f aca="false">Raw_Volunteers!C292</f>
        <v>Elizabeth Hernandez</v>
      </c>
      <c r="F292" s="9" t="str">
        <f aca="false">Raw_Volunteers!D292</f>
        <v>03/31/2025</v>
      </c>
      <c r="G292" s="9" t="str">
        <f aca="false">PROPER(TRIM(Raw_Volunteers!E292))</f>
        <v>Client Intake Assistant</v>
      </c>
      <c r="H292" s="9" t="str">
        <f aca="false">Raw_Volunteers!F292</f>
        <v>Community Center Site</v>
      </c>
      <c r="I292" s="9" t="n">
        <f aca="false">IF(Raw_Volunteers!G292="",ROUND(AVERAGE(Raw_Volunteers!$G$2:$G$926),1),Raw_Volunteers!G292)</f>
        <v>2</v>
      </c>
    </row>
    <row r="293" customFormat="false" ht="15" hidden="false" customHeight="true" outlineLevel="0" collapsed="false">
      <c r="A293" s="9" t="str">
        <f aca="false">Raw_Volunteers!A293</f>
        <v>V2055</v>
      </c>
      <c r="B293" s="9" t="str">
        <f aca="false">IF(COUNTIFS(Raw_Volunteers!$A$2:$A$926,Raw_Volunteers!A293,Raw_Volunteers!$D$2:$D$926,Raw_Volunteers!D293,Raw_Volunteers!$E$2:$E$926,Raw_Volunteers!E293,Raw_Volunteers!$G$2:$G$926,Raw_Volunteers!G293)&gt;1,"Possible Duplicate","")</f>
        <v/>
      </c>
      <c r="C293" s="9" t="str">
        <f aca="false">Raw_Volunteers!B293</f>
        <v>D1475</v>
      </c>
      <c r="D293" s="9" t="str">
        <f aca="false">IF(C293="","No","Yes")</f>
        <v>Yes</v>
      </c>
      <c r="E293" s="9" t="str">
        <f aca="false">Raw_Volunteers!C293</f>
        <v>Elizabeth Hernandez</v>
      </c>
      <c r="F293" s="9" t="str">
        <f aca="false">Raw_Volunteers!D293</f>
        <v>06/16/2024</v>
      </c>
      <c r="G293" s="9" t="str">
        <f aca="false">PROPER(TRIM(Raw_Volunteers!E293))</f>
        <v>Food Sorting</v>
      </c>
      <c r="H293" s="9" t="str">
        <f aca="false">Raw_Volunteers!F293</f>
        <v>Mobile Unit - Route B</v>
      </c>
      <c r="I293" s="9" t="n">
        <f aca="false">IF(Raw_Volunteers!G293="",ROUND(AVERAGE(Raw_Volunteers!$G$2:$G$926),1),Raw_Volunteers!G293)</f>
        <v>3</v>
      </c>
    </row>
    <row r="294" customFormat="false" ht="15" hidden="false" customHeight="true" outlineLevel="0" collapsed="false">
      <c r="A294" s="9" t="str">
        <f aca="false">Raw_Volunteers!A294</f>
        <v>V2055</v>
      </c>
      <c r="B294" s="9" t="str">
        <f aca="false">IF(COUNTIFS(Raw_Volunteers!$A$2:$A$926,Raw_Volunteers!A294,Raw_Volunteers!$D$2:$D$926,Raw_Volunteers!D294,Raw_Volunteers!$E$2:$E$926,Raw_Volunteers!E294,Raw_Volunteers!$G$2:$G$926,Raw_Volunteers!G294)&gt;1,"Possible Duplicate","")</f>
        <v/>
      </c>
      <c r="C294" s="9" t="str">
        <f aca="false">Raw_Volunteers!B294</f>
        <v>D1475</v>
      </c>
      <c r="D294" s="9" t="str">
        <f aca="false">IF(C294="","No","Yes")</f>
        <v>Yes</v>
      </c>
      <c r="E294" s="9" t="str">
        <f aca="false">Raw_Volunteers!C294</f>
        <v>Elizabeth Hernandez</v>
      </c>
      <c r="F294" s="9" t="str">
        <f aca="false">Raw_Volunteers!D294</f>
        <v>06/26/2025</v>
      </c>
      <c r="G294" s="9" t="str">
        <f aca="false">PROPER(TRIM(Raw_Volunteers!E294))</f>
        <v>Mobile Distribution Driver</v>
      </c>
      <c r="H294" s="9" t="str">
        <f aca="false">Raw_Volunteers!F294</f>
        <v>Mobile Unit - Route A</v>
      </c>
      <c r="I294" s="9" t="n">
        <f aca="false">IF(Raw_Volunteers!G294="",ROUND(AVERAGE(Raw_Volunteers!$G$2:$G$926),1),Raw_Volunteers!G294)</f>
        <v>2</v>
      </c>
    </row>
    <row r="295" customFormat="false" ht="15" hidden="false" customHeight="true" outlineLevel="0" collapsed="false">
      <c r="A295" s="9" t="str">
        <f aca="false">Raw_Volunteers!A295</f>
        <v>V2056</v>
      </c>
      <c r="B295" s="9" t="str">
        <f aca="false">IF(COUNTIFS(Raw_Volunteers!$A$2:$A$926,Raw_Volunteers!A295,Raw_Volunteers!$D$2:$D$926,Raw_Volunteers!D295,Raw_Volunteers!$E$2:$E$926,Raw_Volunteers!E295,Raw_Volunteers!$G$2:$G$926,Raw_Volunteers!G295)&gt;1,"Possible Duplicate","")</f>
        <v/>
      </c>
      <c r="C295" s="9" t="str">
        <f aca="false">Raw_Volunteers!B295</f>
        <v>D1383</v>
      </c>
      <c r="D295" s="9" t="str">
        <f aca="false">IF(C295="","No","Yes")</f>
        <v>Yes</v>
      </c>
      <c r="E295" s="9" t="str">
        <f aca="false">Raw_Volunteers!C295</f>
        <v>Paul Taylor</v>
      </c>
      <c r="F295" s="9" t="str">
        <f aca="false">Raw_Volunteers!D295</f>
        <v>01/04/2024</v>
      </c>
      <c r="G295" s="9" t="str">
        <f aca="false">PROPER(TRIM(Raw_Volunteers!E295))</f>
        <v>Holiday Box Packing</v>
      </c>
      <c r="H295" s="9" t="str">
        <f aca="false">Raw_Volunteers!F295</f>
        <v>Mobile Unit - Route A</v>
      </c>
      <c r="I295" s="9" t="n">
        <f aca="false">IF(Raw_Volunteers!G295="",ROUND(AVERAGE(Raw_Volunteers!$G$2:$G$926),1),Raw_Volunteers!G295)</f>
        <v>6</v>
      </c>
    </row>
    <row r="296" customFormat="false" ht="15" hidden="false" customHeight="true" outlineLevel="0" collapsed="false">
      <c r="A296" s="9" t="str">
        <f aca="false">Raw_Volunteers!A296</f>
        <v>V2057</v>
      </c>
      <c r="B296" s="9" t="str">
        <f aca="false">IF(COUNTIFS(Raw_Volunteers!$A$2:$A$926,Raw_Volunteers!A296,Raw_Volunteers!$D$2:$D$926,Raw_Volunteers!D296,Raw_Volunteers!$E$2:$E$926,Raw_Volunteers!E296,Raw_Volunteers!$G$2:$G$926,Raw_Volunteers!G296)&gt;1,"Possible Duplicate","")</f>
        <v/>
      </c>
      <c r="C296" s="9" t="str">
        <f aca="false">Raw_Volunteers!B296</f>
        <v>D1349</v>
      </c>
      <c r="D296" s="9" t="str">
        <f aca="false">IF(C296="","No","Yes")</f>
        <v>Yes</v>
      </c>
      <c r="E296" s="9" t="str">
        <f aca="false">Raw_Volunteers!C296</f>
        <v>Sarah Lee</v>
      </c>
      <c r="F296" s="9" t="str">
        <f aca="false">Raw_Volunteers!D296</f>
        <v>02/11/2024</v>
      </c>
      <c r="G296" s="9" t="str">
        <f aca="false">PROPER(TRIM(Raw_Volunteers!E296))</f>
        <v>Warehouse Loading</v>
      </c>
      <c r="H296" s="9" t="str">
        <f aca="false">Raw_Volunteers!F296</f>
        <v>Mobile Unit - Route B</v>
      </c>
      <c r="I296" s="9" t="n">
        <f aca="false">IF(Raw_Volunteers!G296="",ROUND(AVERAGE(Raw_Volunteers!$G$2:$G$926),1),Raw_Volunteers!G296)</f>
        <v>3</v>
      </c>
    </row>
    <row r="297" customFormat="false" ht="15" hidden="false" customHeight="true" outlineLevel="0" collapsed="false">
      <c r="A297" s="9" t="str">
        <f aca="false">Raw_Volunteers!A297</f>
        <v>V2057</v>
      </c>
      <c r="B297" s="9" t="str">
        <f aca="false">IF(COUNTIFS(Raw_Volunteers!$A$2:$A$926,Raw_Volunteers!A297,Raw_Volunteers!$D$2:$D$926,Raw_Volunteers!D297,Raw_Volunteers!$E$2:$E$926,Raw_Volunteers!E297,Raw_Volunteers!$G$2:$G$926,Raw_Volunteers!G297)&gt;1,"Possible Duplicate","")</f>
        <v/>
      </c>
      <c r="C297" s="9" t="str">
        <f aca="false">Raw_Volunteers!B297</f>
        <v>D1349</v>
      </c>
      <c r="D297" s="9" t="str">
        <f aca="false">IF(C297="","No","Yes")</f>
        <v>Yes</v>
      </c>
      <c r="E297" s="9" t="str">
        <f aca="false">Raw_Volunteers!C297</f>
        <v>Sarah Lee</v>
      </c>
      <c r="F297" s="9" t="str">
        <f aca="false">Raw_Volunteers!D297</f>
        <v>10/17/2024</v>
      </c>
      <c r="G297" s="9" t="str">
        <f aca="false">PROPER(TRIM(Raw_Volunteers!E297))</f>
        <v>Holiday Box Packing</v>
      </c>
      <c r="H297" s="9" t="str">
        <f aca="false">Raw_Volunteers!F297</f>
        <v>Mobile Unit - Route A</v>
      </c>
      <c r="I297" s="9" t="n">
        <f aca="false">IF(Raw_Volunteers!G297="",ROUND(AVERAGE(Raw_Volunteers!$G$2:$G$926),1),Raw_Volunteers!G297)</f>
        <v>3</v>
      </c>
    </row>
    <row r="298" customFormat="false" ht="15" hidden="false" customHeight="true" outlineLevel="0" collapsed="false">
      <c r="A298" s="9" t="str">
        <f aca="false">Raw_Volunteers!A298</f>
        <v>V2057</v>
      </c>
      <c r="B298" s="9" t="str">
        <f aca="false">IF(COUNTIFS(Raw_Volunteers!$A$2:$A$926,Raw_Volunteers!A298,Raw_Volunteers!$D$2:$D$926,Raw_Volunteers!D298,Raw_Volunteers!$E$2:$E$926,Raw_Volunteers!E298,Raw_Volunteers!$G$2:$G$926,Raw_Volunteers!G298)&gt;1,"Possible Duplicate","")</f>
        <v>Possible Duplicate</v>
      </c>
      <c r="C298" s="9" t="str">
        <f aca="false">Raw_Volunteers!B298</f>
        <v>D1349</v>
      </c>
      <c r="D298" s="9" t="str">
        <f aca="false">IF(C298="","No","Yes")</f>
        <v>Yes</v>
      </c>
      <c r="E298" s="9" t="str">
        <f aca="false">Raw_Volunteers!C298</f>
        <v>Sarah Lee</v>
      </c>
      <c r="F298" s="9" t="str">
        <f aca="false">Raw_Volunteers!D298</f>
        <v>05/08/2025</v>
      </c>
      <c r="G298" s="9" t="str">
        <f aca="false">PROPER(TRIM(Raw_Volunteers!E298))</f>
        <v>Front Desk Greeter</v>
      </c>
      <c r="H298" s="9" t="str">
        <f aca="false">Raw_Volunteers!F298</f>
        <v>Community Center Site</v>
      </c>
      <c r="I298" s="9" t="n">
        <f aca="false">IF(Raw_Volunteers!G298="",ROUND(AVERAGE(Raw_Volunteers!$G$2:$G$926),1),Raw_Volunteers!G298)</f>
        <v>2</v>
      </c>
    </row>
    <row r="299" customFormat="false" ht="15" hidden="false" customHeight="true" outlineLevel="0" collapsed="false">
      <c r="A299" s="9" t="str">
        <f aca="false">Raw_Volunteers!A299</f>
        <v>V2057</v>
      </c>
      <c r="B299" s="9" t="str">
        <f aca="false">IF(COUNTIFS(Raw_Volunteers!$A$2:$A$926,Raw_Volunteers!A299,Raw_Volunteers!$D$2:$D$926,Raw_Volunteers!D299,Raw_Volunteers!$E$2:$E$926,Raw_Volunteers!E299,Raw_Volunteers!$G$2:$G$926,Raw_Volunteers!G299)&gt;1,"Possible Duplicate","")</f>
        <v/>
      </c>
      <c r="C299" s="9" t="str">
        <f aca="false">Raw_Volunteers!B299</f>
        <v>D1349</v>
      </c>
      <c r="D299" s="9" t="str">
        <f aca="false">IF(C299="","No","Yes")</f>
        <v>Yes</v>
      </c>
      <c r="E299" s="9" t="str">
        <f aca="false">Raw_Volunteers!C299</f>
        <v>Sarah Lee</v>
      </c>
      <c r="F299" s="9" t="str">
        <f aca="false">Raw_Volunteers!D299</f>
        <v>11/20/2024</v>
      </c>
      <c r="G299" s="9" t="str">
        <f aca="false">PROPER(TRIM(Raw_Volunteers!E299))</f>
        <v>Holiday Box Packing</v>
      </c>
      <c r="H299" s="9" t="str">
        <f aca="false">Raw_Volunteers!F299</f>
        <v>Downtown Pantry</v>
      </c>
      <c r="I299" s="9" t="n">
        <f aca="false">IF(Raw_Volunteers!G299="",ROUND(AVERAGE(Raw_Volunteers!$G$2:$G$926),1),Raw_Volunteers!G299)</f>
        <v>3</v>
      </c>
    </row>
    <row r="300" customFormat="false" ht="15" hidden="false" customHeight="true" outlineLevel="0" collapsed="false">
      <c r="A300" s="9" t="str">
        <f aca="false">Raw_Volunteers!A300</f>
        <v>V2057</v>
      </c>
      <c r="B300" s="9" t="str">
        <f aca="false">IF(COUNTIFS(Raw_Volunteers!$A$2:$A$926,Raw_Volunteers!A300,Raw_Volunteers!$D$2:$D$926,Raw_Volunteers!D300,Raw_Volunteers!$E$2:$E$926,Raw_Volunteers!E300,Raw_Volunteers!$G$2:$G$926,Raw_Volunteers!G300)&gt;1,"Possible Duplicate","")</f>
        <v/>
      </c>
      <c r="C300" s="9" t="str">
        <f aca="false">Raw_Volunteers!B300</f>
        <v>D1349</v>
      </c>
      <c r="D300" s="9" t="str">
        <f aca="false">IF(C300="","No","Yes")</f>
        <v>Yes</v>
      </c>
      <c r="E300" s="9" t="str">
        <f aca="false">Raw_Volunteers!C300</f>
        <v>Sarah Lee</v>
      </c>
      <c r="F300" s="9" t="str">
        <f aca="false">Raw_Volunteers!D300</f>
        <v>01/19/2025</v>
      </c>
      <c r="G300" s="9" t="str">
        <f aca="false">PROPER(TRIM(Raw_Volunteers!E300))</f>
        <v>Pantry Stocking</v>
      </c>
      <c r="H300" s="9" t="str">
        <f aca="false">Raw_Volunteers!F300</f>
        <v>Mobile Unit - Route A</v>
      </c>
      <c r="I300" s="9" t="n">
        <f aca="false">IF(Raw_Volunteers!G300="",ROUND(AVERAGE(Raw_Volunteers!$G$2:$G$926),1),Raw_Volunteers!G300)</f>
        <v>3</v>
      </c>
    </row>
    <row r="301" customFormat="false" ht="15" hidden="false" customHeight="true" outlineLevel="0" collapsed="false">
      <c r="A301" s="9" t="str">
        <f aca="false">Raw_Volunteers!A301</f>
        <v>V2058</v>
      </c>
      <c r="B301" s="9" t="str">
        <f aca="false">IF(COUNTIFS(Raw_Volunteers!$A$2:$A$926,Raw_Volunteers!A301,Raw_Volunteers!$D$2:$D$926,Raw_Volunteers!D301,Raw_Volunteers!$E$2:$E$926,Raw_Volunteers!E301,Raw_Volunteers!$G$2:$G$926,Raw_Volunteers!G301)&gt;1,"Possible Duplicate","")</f>
        <v/>
      </c>
      <c r="C301" s="9" t="str">
        <f aca="false">Raw_Volunteers!B301</f>
        <v>D1382</v>
      </c>
      <c r="D301" s="9" t="str">
        <f aca="false">IF(C301="","No","Yes")</f>
        <v>Yes</v>
      </c>
      <c r="E301" s="9" t="str">
        <f aca="false">Raw_Volunteers!C301</f>
        <v>Mark Moore</v>
      </c>
      <c r="F301" s="9" t="str">
        <f aca="false">Raw_Volunteers!D301</f>
        <v>02/14/2025</v>
      </c>
      <c r="G301" s="9" t="str">
        <f aca="false">PROPER(TRIM(Raw_Volunteers!E301))</f>
        <v>Mobile Distribution Driver</v>
      </c>
      <c r="H301" s="9" t="str">
        <f aca="false">Raw_Volunteers!F301</f>
        <v>Mobile Unit - Route A</v>
      </c>
      <c r="I301" s="9" t="n">
        <f aca="false">IF(Raw_Volunteers!G301="",ROUND(AVERAGE(Raw_Volunteers!$G$2:$G$926),1),Raw_Volunteers!G301)</f>
        <v>2</v>
      </c>
    </row>
    <row r="302" customFormat="false" ht="15" hidden="false" customHeight="true" outlineLevel="0" collapsed="false">
      <c r="A302" s="9" t="str">
        <f aca="false">Raw_Volunteers!A302</f>
        <v>V2058</v>
      </c>
      <c r="B302" s="9" t="str">
        <f aca="false">IF(COUNTIFS(Raw_Volunteers!$A$2:$A$926,Raw_Volunteers!A302,Raw_Volunteers!$D$2:$D$926,Raw_Volunteers!D302,Raw_Volunteers!$E$2:$E$926,Raw_Volunteers!E302,Raw_Volunteers!$G$2:$G$926,Raw_Volunteers!G302)&gt;1,"Possible Duplicate","")</f>
        <v/>
      </c>
      <c r="C302" s="9" t="str">
        <f aca="false">Raw_Volunteers!B302</f>
        <v>D1382</v>
      </c>
      <c r="D302" s="9" t="str">
        <f aca="false">IF(C302="","No","Yes")</f>
        <v>Yes</v>
      </c>
      <c r="E302" s="9" t="str">
        <f aca="false">Raw_Volunteers!C302</f>
        <v>Mark Moore</v>
      </c>
      <c r="F302" s="9" t="str">
        <f aca="false">Raw_Volunteers!D302</f>
        <v>04/02/2026</v>
      </c>
      <c r="G302" s="9" t="str">
        <f aca="false">PROPER(TRIM(Raw_Volunteers!E302))</f>
        <v>Mobile Distribution Driver</v>
      </c>
      <c r="H302" s="9" t="str">
        <f aca="false">Raw_Volunteers!F302</f>
        <v>Mobile Unit - Route A</v>
      </c>
      <c r="I302" s="9" t="n">
        <f aca="false">IF(Raw_Volunteers!G302="",ROUND(AVERAGE(Raw_Volunteers!$G$2:$G$926),1),Raw_Volunteers!G302)</f>
        <v>3</v>
      </c>
    </row>
    <row r="303" customFormat="false" ht="15" hidden="false" customHeight="true" outlineLevel="0" collapsed="false">
      <c r="A303" s="9" t="str">
        <f aca="false">Raw_Volunteers!A303</f>
        <v>V2058</v>
      </c>
      <c r="B303" s="9" t="str">
        <f aca="false">IF(COUNTIFS(Raw_Volunteers!$A$2:$A$926,Raw_Volunteers!A303,Raw_Volunteers!$D$2:$D$926,Raw_Volunteers!D303,Raw_Volunteers!$E$2:$E$926,Raw_Volunteers!E303,Raw_Volunteers!$G$2:$G$926,Raw_Volunteers!G303)&gt;1,"Possible Duplicate","")</f>
        <v/>
      </c>
      <c r="C303" s="9" t="str">
        <f aca="false">Raw_Volunteers!B303</f>
        <v>D1382</v>
      </c>
      <c r="D303" s="9" t="str">
        <f aca="false">IF(C303="","No","Yes")</f>
        <v>Yes</v>
      </c>
      <c r="E303" s="9" t="str">
        <f aca="false">Raw_Volunteers!C303</f>
        <v>Mark Moore</v>
      </c>
      <c r="F303" s="9" t="str">
        <f aca="false">Raw_Volunteers!D303</f>
        <v>01/17/2026</v>
      </c>
      <c r="G303" s="9" t="str">
        <f aca="false">PROPER(TRIM(Raw_Volunteers!E303))</f>
        <v>Warehouse Loading</v>
      </c>
      <c r="H303" s="9" t="str">
        <f aca="false">Raw_Volunteers!F303</f>
        <v>Main Warehouse</v>
      </c>
      <c r="I303" s="9" t="n">
        <f aca="false">IF(Raw_Volunteers!G303="",ROUND(AVERAGE(Raw_Volunteers!$G$2:$G$926),1),Raw_Volunteers!G303)</f>
        <v>6</v>
      </c>
    </row>
    <row r="304" customFormat="false" ht="15" hidden="false" customHeight="true" outlineLevel="0" collapsed="false">
      <c r="A304" s="9" t="str">
        <f aca="false">Raw_Volunteers!A304</f>
        <v>V2058</v>
      </c>
      <c r="B304" s="9" t="str">
        <f aca="false">IF(COUNTIFS(Raw_Volunteers!$A$2:$A$926,Raw_Volunteers!A304,Raw_Volunteers!$D$2:$D$926,Raw_Volunteers!D304,Raw_Volunteers!$E$2:$E$926,Raw_Volunteers!E304,Raw_Volunteers!$G$2:$G$926,Raw_Volunteers!G304)&gt;1,"Possible Duplicate","")</f>
        <v/>
      </c>
      <c r="C304" s="9" t="str">
        <f aca="false">Raw_Volunteers!B304</f>
        <v>D1382</v>
      </c>
      <c r="D304" s="9" t="str">
        <f aca="false">IF(C304="","No","Yes")</f>
        <v>Yes</v>
      </c>
      <c r="E304" s="9" t="str">
        <f aca="false">Raw_Volunteers!C304</f>
        <v>Mark Moore</v>
      </c>
      <c r="F304" s="9" t="str">
        <f aca="false">Raw_Volunteers!D304</f>
        <v>05/24/2024</v>
      </c>
      <c r="G304" s="9" t="str">
        <f aca="false">PROPER(TRIM(Raw_Volunteers!E304))</f>
        <v>Client Intake Assistant</v>
      </c>
      <c r="H304" s="9" t="str">
        <f aca="false">Raw_Volunteers!F304</f>
        <v>Main Warehouse</v>
      </c>
      <c r="I304" s="9" t="n">
        <f aca="false">IF(Raw_Volunteers!G304="",ROUND(AVERAGE(Raw_Volunteers!$G$2:$G$926),1),Raw_Volunteers!G304)</f>
        <v>3</v>
      </c>
    </row>
    <row r="305" customFormat="false" ht="15" hidden="false" customHeight="true" outlineLevel="0" collapsed="false">
      <c r="A305" s="9" t="str">
        <f aca="false">Raw_Volunteers!A305</f>
        <v>V2058</v>
      </c>
      <c r="B305" s="9" t="str">
        <f aca="false">IF(COUNTIFS(Raw_Volunteers!$A$2:$A$926,Raw_Volunteers!A305,Raw_Volunteers!$D$2:$D$926,Raw_Volunteers!D305,Raw_Volunteers!$E$2:$E$926,Raw_Volunteers!E305,Raw_Volunteers!$G$2:$G$926,Raw_Volunteers!G305)&gt;1,"Possible Duplicate","")</f>
        <v/>
      </c>
      <c r="C305" s="9" t="str">
        <f aca="false">Raw_Volunteers!B305</f>
        <v>D1382</v>
      </c>
      <c r="D305" s="9" t="str">
        <f aca="false">IF(C305="","No","Yes")</f>
        <v>Yes</v>
      </c>
      <c r="E305" s="9" t="str">
        <f aca="false">Raw_Volunteers!C305</f>
        <v>Mark Moore</v>
      </c>
      <c r="F305" s="9" t="str">
        <f aca="false">Raw_Volunteers!D305</f>
        <v>09/06/2024</v>
      </c>
      <c r="G305" s="9" t="str">
        <f aca="false">PROPER(TRIM(Raw_Volunteers!E305))</f>
        <v>Food Sorting</v>
      </c>
      <c r="H305" s="9" t="str">
        <f aca="false">Raw_Volunteers!F305</f>
        <v>Mobile Unit - Route B</v>
      </c>
      <c r="I305" s="9" t="n">
        <f aca="false">IF(Raw_Volunteers!G305="",ROUND(AVERAGE(Raw_Volunteers!$G$2:$G$926),1),Raw_Volunteers!G305)</f>
        <v>2</v>
      </c>
    </row>
    <row r="306" customFormat="false" ht="15" hidden="false" customHeight="true" outlineLevel="0" collapsed="false">
      <c r="A306" s="9" t="str">
        <f aca="false">Raw_Volunteers!A306</f>
        <v>V2058</v>
      </c>
      <c r="B306" s="9" t="str">
        <f aca="false">IF(COUNTIFS(Raw_Volunteers!$A$2:$A$926,Raw_Volunteers!A306,Raw_Volunteers!$D$2:$D$926,Raw_Volunteers!D306,Raw_Volunteers!$E$2:$E$926,Raw_Volunteers!E306,Raw_Volunteers!$G$2:$G$926,Raw_Volunteers!G306)&gt;1,"Possible Duplicate","")</f>
        <v/>
      </c>
      <c r="C306" s="9" t="str">
        <f aca="false">Raw_Volunteers!B306</f>
        <v>D1382</v>
      </c>
      <c r="D306" s="9" t="str">
        <f aca="false">IF(C306="","No","Yes")</f>
        <v>Yes</v>
      </c>
      <c r="E306" s="9" t="str">
        <f aca="false">Raw_Volunteers!C306</f>
        <v>Mark Moore</v>
      </c>
      <c r="F306" s="9" t="str">
        <f aca="false">Raw_Volunteers!D306</f>
        <v>07/20/2025</v>
      </c>
      <c r="G306" s="9" t="str">
        <f aca="false">PROPER(TRIM(Raw_Volunteers!E306))</f>
        <v>Mobile Distribution Driver</v>
      </c>
      <c r="H306" s="9" t="str">
        <f aca="false">Raw_Volunteers!F306</f>
        <v>Community Center Site</v>
      </c>
      <c r="I306" s="9" t="n">
        <f aca="false">IF(Raw_Volunteers!G306="",ROUND(AVERAGE(Raw_Volunteers!$G$2:$G$926),1),Raw_Volunteers!G306)</f>
        <v>2</v>
      </c>
    </row>
    <row r="307" customFormat="false" ht="15" hidden="false" customHeight="true" outlineLevel="0" collapsed="false">
      <c r="A307" s="9" t="str">
        <f aca="false">Raw_Volunteers!A307</f>
        <v>V2058</v>
      </c>
      <c r="B307" s="9" t="str">
        <f aca="false">IF(COUNTIFS(Raw_Volunteers!$A$2:$A$926,Raw_Volunteers!A307,Raw_Volunteers!$D$2:$D$926,Raw_Volunteers!D307,Raw_Volunteers!$E$2:$E$926,Raw_Volunteers!E307,Raw_Volunteers!$G$2:$G$926,Raw_Volunteers!G307)&gt;1,"Possible Duplicate","")</f>
        <v/>
      </c>
      <c r="C307" s="9" t="str">
        <f aca="false">Raw_Volunteers!B307</f>
        <v>D1382</v>
      </c>
      <c r="D307" s="9" t="str">
        <f aca="false">IF(C307="","No","Yes")</f>
        <v>Yes</v>
      </c>
      <c r="E307" s="9" t="str">
        <f aca="false">Raw_Volunteers!C307</f>
        <v>Mark Moore</v>
      </c>
      <c r="F307" s="9" t="str">
        <f aca="false">Raw_Volunteers!D307</f>
        <v>01/01/2026</v>
      </c>
      <c r="G307" s="9" t="str">
        <f aca="false">PROPER(TRIM(Raw_Volunteers!E307))</f>
        <v>Holiday Box Packing</v>
      </c>
      <c r="H307" s="9" t="str">
        <f aca="false">Raw_Volunteers!F307</f>
        <v>Mobile Unit - Route B</v>
      </c>
      <c r="I307" s="9" t="n">
        <f aca="false">IF(Raw_Volunteers!G307="",ROUND(AVERAGE(Raw_Volunteers!$G$2:$G$926),1),Raw_Volunteers!G307)</f>
        <v>2</v>
      </c>
    </row>
    <row r="308" customFormat="false" ht="15" hidden="false" customHeight="true" outlineLevel="0" collapsed="false">
      <c r="A308" s="9" t="str">
        <f aca="false">Raw_Volunteers!A308</f>
        <v>V2058</v>
      </c>
      <c r="B308" s="9" t="str">
        <f aca="false">IF(COUNTIFS(Raw_Volunteers!$A$2:$A$926,Raw_Volunteers!A308,Raw_Volunteers!$D$2:$D$926,Raw_Volunteers!D308,Raw_Volunteers!$E$2:$E$926,Raw_Volunteers!E308,Raw_Volunteers!$G$2:$G$926,Raw_Volunteers!G308)&gt;1,"Possible Duplicate","")</f>
        <v/>
      </c>
      <c r="C308" s="9" t="str">
        <f aca="false">Raw_Volunteers!B308</f>
        <v>D1382</v>
      </c>
      <c r="D308" s="9" t="str">
        <f aca="false">IF(C308="","No","Yes")</f>
        <v>Yes</v>
      </c>
      <c r="E308" s="9" t="str">
        <f aca="false">Raw_Volunteers!C308</f>
        <v>Mark Moore</v>
      </c>
      <c r="F308" s="9" t="str">
        <f aca="false">Raw_Volunteers!D308</f>
        <v>10/08/2024</v>
      </c>
      <c r="G308" s="9" t="str">
        <f aca="false">PROPER(TRIM(Raw_Volunteers!E308))</f>
        <v>Front Desk Greeter</v>
      </c>
      <c r="H308" s="9" t="str">
        <f aca="false">Raw_Volunteers!F308</f>
        <v>Downtown Pantry</v>
      </c>
      <c r="I308" s="9" t="n">
        <f aca="false">IF(Raw_Volunteers!G308="",ROUND(AVERAGE(Raw_Volunteers!$G$2:$G$926),1),Raw_Volunteers!G308)</f>
        <v>3</v>
      </c>
    </row>
    <row r="309" customFormat="false" ht="15" hidden="false" customHeight="true" outlineLevel="0" collapsed="false">
      <c r="A309" s="9" t="str">
        <f aca="false">Raw_Volunteers!A309</f>
        <v>V2058</v>
      </c>
      <c r="B309" s="9" t="str">
        <f aca="false">IF(COUNTIFS(Raw_Volunteers!$A$2:$A$926,Raw_Volunteers!A309,Raw_Volunteers!$D$2:$D$926,Raw_Volunteers!D309,Raw_Volunteers!$E$2:$E$926,Raw_Volunteers!E309,Raw_Volunteers!$G$2:$G$926,Raw_Volunteers!G309)&gt;1,"Possible Duplicate","")</f>
        <v/>
      </c>
      <c r="C309" s="9" t="str">
        <f aca="false">Raw_Volunteers!B309</f>
        <v>D1382</v>
      </c>
      <c r="D309" s="9" t="str">
        <f aca="false">IF(C309="","No","Yes")</f>
        <v>Yes</v>
      </c>
      <c r="E309" s="9" t="str">
        <f aca="false">Raw_Volunteers!C309</f>
        <v>Mark Moore</v>
      </c>
      <c r="F309" s="9" t="str">
        <f aca="false">Raw_Volunteers!D309</f>
        <v>04/18/2026</v>
      </c>
      <c r="G309" s="9" t="str">
        <f aca="false">PROPER(TRIM(Raw_Volunteers!E309))</f>
        <v>Event Setup</v>
      </c>
      <c r="H309" s="9" t="str">
        <f aca="false">Raw_Volunteers!F309</f>
        <v>Community Center Site</v>
      </c>
      <c r="I309" s="9" t="n">
        <f aca="false">IF(Raw_Volunteers!G309="",ROUND(AVERAGE(Raw_Volunteers!$G$2:$G$926),1),Raw_Volunteers!G309)</f>
        <v>2</v>
      </c>
    </row>
    <row r="310" customFormat="false" ht="15" hidden="false" customHeight="true" outlineLevel="0" collapsed="false">
      <c r="A310" s="9" t="str">
        <f aca="false">Raw_Volunteers!A310</f>
        <v>V2058</v>
      </c>
      <c r="B310" s="9" t="str">
        <f aca="false">IF(COUNTIFS(Raw_Volunteers!$A$2:$A$926,Raw_Volunteers!A310,Raw_Volunteers!$D$2:$D$926,Raw_Volunteers!D310,Raw_Volunteers!$E$2:$E$926,Raw_Volunteers!E310,Raw_Volunteers!$G$2:$G$926,Raw_Volunteers!G310)&gt;1,"Possible Duplicate","")</f>
        <v/>
      </c>
      <c r="C310" s="9" t="str">
        <f aca="false">Raw_Volunteers!B310</f>
        <v>D1382</v>
      </c>
      <c r="D310" s="9" t="str">
        <f aca="false">IF(C310="","No","Yes")</f>
        <v>Yes</v>
      </c>
      <c r="E310" s="9" t="str">
        <f aca="false">Raw_Volunteers!C310</f>
        <v>Mark Moore</v>
      </c>
      <c r="F310" s="9" t="str">
        <f aca="false">Raw_Volunteers!D310</f>
        <v>08/28/2025</v>
      </c>
      <c r="G310" s="9" t="str">
        <f aca="false">PROPER(TRIM(Raw_Volunteers!E310))</f>
        <v>Event Setup</v>
      </c>
      <c r="H310" s="9" t="str">
        <f aca="false">Raw_Volunteers!F310</f>
        <v>Main Warehouse</v>
      </c>
      <c r="I310" s="9" t="n">
        <f aca="false">IF(Raw_Volunteers!G310="",ROUND(AVERAGE(Raw_Volunteers!$G$2:$G$926),1),Raw_Volunteers!G310)</f>
        <v>2</v>
      </c>
    </row>
    <row r="311" customFormat="false" ht="15" hidden="false" customHeight="true" outlineLevel="0" collapsed="false">
      <c r="A311" s="9" t="str">
        <f aca="false">Raw_Volunteers!A311</f>
        <v>V2059</v>
      </c>
      <c r="B311" s="9" t="str">
        <f aca="false">IF(COUNTIFS(Raw_Volunteers!$A$2:$A$926,Raw_Volunteers!A311,Raw_Volunteers!$D$2:$D$926,Raw_Volunteers!D311,Raw_Volunteers!$E$2:$E$926,Raw_Volunteers!E311,Raw_Volunteers!$G$2:$G$926,Raw_Volunteers!G311)&gt;1,"Possible Duplicate","")</f>
        <v/>
      </c>
      <c r="C311" s="9" t="str">
        <f aca="false">Raw_Volunteers!B311</f>
        <v>D1503</v>
      </c>
      <c r="D311" s="9" t="str">
        <f aca="false">IF(C311="","No","Yes")</f>
        <v>Yes</v>
      </c>
      <c r="E311" s="9" t="str">
        <f aca="false">Raw_Volunteers!C311</f>
        <v>William Hernandez</v>
      </c>
      <c r="F311" s="9" t="str">
        <f aca="false">Raw_Volunteers!D311</f>
        <v>10/14/2024</v>
      </c>
      <c r="G311" s="9" t="str">
        <f aca="false">PROPER(TRIM(Raw_Volunteers!E311))</f>
        <v>Pantry Stocking</v>
      </c>
      <c r="H311" s="9" t="str">
        <f aca="false">Raw_Volunteers!F311</f>
        <v>Community Center Site</v>
      </c>
      <c r="I311" s="9" t="n">
        <f aca="false">IF(Raw_Volunteers!G311="",ROUND(AVERAGE(Raw_Volunteers!$G$2:$G$926),1),Raw_Volunteers!G311)</f>
        <v>2</v>
      </c>
    </row>
    <row r="312" customFormat="false" ht="15" hidden="false" customHeight="true" outlineLevel="0" collapsed="false">
      <c r="A312" s="9" t="str">
        <f aca="false">Raw_Volunteers!A312</f>
        <v>V2059</v>
      </c>
      <c r="B312" s="9" t="str">
        <f aca="false">IF(COUNTIFS(Raw_Volunteers!$A$2:$A$926,Raw_Volunteers!A312,Raw_Volunteers!$D$2:$D$926,Raw_Volunteers!D312,Raw_Volunteers!$E$2:$E$926,Raw_Volunteers!E312,Raw_Volunteers!$G$2:$G$926,Raw_Volunteers!G312)&gt;1,"Possible Duplicate","")</f>
        <v/>
      </c>
      <c r="C312" s="9" t="str">
        <f aca="false">Raw_Volunteers!B312</f>
        <v>D1503</v>
      </c>
      <c r="D312" s="9" t="str">
        <f aca="false">IF(C312="","No","Yes")</f>
        <v>Yes</v>
      </c>
      <c r="E312" s="9" t="str">
        <f aca="false">Raw_Volunteers!C312</f>
        <v>William Hernandez</v>
      </c>
      <c r="F312" s="9" t="str">
        <f aca="false">Raw_Volunteers!D312</f>
        <v>03/04/2026</v>
      </c>
      <c r="G312" s="9" t="str">
        <f aca="false">PROPER(TRIM(Raw_Volunteers!E312))</f>
        <v>Warehouse Loading</v>
      </c>
      <c r="H312" s="9" t="str">
        <f aca="false">Raw_Volunteers!F312</f>
        <v>Downtown Pantry</v>
      </c>
      <c r="I312" s="9" t="n">
        <f aca="false">IF(Raw_Volunteers!G312="",ROUND(AVERAGE(Raw_Volunteers!$G$2:$G$926),1),Raw_Volunteers!G312)</f>
        <v>4</v>
      </c>
    </row>
    <row r="313" customFormat="false" ht="15" hidden="false" customHeight="true" outlineLevel="0" collapsed="false">
      <c r="A313" s="9" t="str">
        <f aca="false">Raw_Volunteers!A313</f>
        <v>V2059</v>
      </c>
      <c r="B313" s="9" t="str">
        <f aca="false">IF(COUNTIFS(Raw_Volunteers!$A$2:$A$926,Raw_Volunteers!A313,Raw_Volunteers!$D$2:$D$926,Raw_Volunteers!D313,Raw_Volunteers!$E$2:$E$926,Raw_Volunteers!E313,Raw_Volunteers!$G$2:$G$926,Raw_Volunteers!G313)&gt;1,"Possible Duplicate","")</f>
        <v/>
      </c>
      <c r="C313" s="9" t="str">
        <f aca="false">Raw_Volunteers!B313</f>
        <v>D1503</v>
      </c>
      <c r="D313" s="9" t="str">
        <f aca="false">IF(C313="","No","Yes")</f>
        <v>Yes</v>
      </c>
      <c r="E313" s="9" t="str">
        <f aca="false">Raw_Volunteers!C313</f>
        <v>William Hernandez</v>
      </c>
      <c r="F313" s="9" t="str">
        <f aca="false">Raw_Volunteers!D313</f>
        <v>07/20/2024</v>
      </c>
      <c r="G313" s="9" t="str">
        <f aca="false">PROPER(TRIM(Raw_Volunteers!E313))</f>
        <v>Front Desk Greeter</v>
      </c>
      <c r="H313" s="9" t="str">
        <f aca="false">Raw_Volunteers!F313</f>
        <v>Downtown Pantry</v>
      </c>
      <c r="I313" s="9" t="n">
        <f aca="false">IF(Raw_Volunteers!G313="",ROUND(AVERAGE(Raw_Volunteers!$G$2:$G$926),1),Raw_Volunteers!G313)</f>
        <v>2</v>
      </c>
    </row>
    <row r="314" customFormat="false" ht="15" hidden="false" customHeight="true" outlineLevel="0" collapsed="false">
      <c r="A314" s="9" t="str">
        <f aca="false">Raw_Volunteers!A314</f>
        <v>V2059</v>
      </c>
      <c r="B314" s="9" t="str">
        <f aca="false">IF(COUNTIFS(Raw_Volunteers!$A$2:$A$926,Raw_Volunteers!A314,Raw_Volunteers!$D$2:$D$926,Raw_Volunteers!D314,Raw_Volunteers!$E$2:$E$926,Raw_Volunteers!E314,Raw_Volunteers!$G$2:$G$926,Raw_Volunteers!G314)&gt;1,"Possible Duplicate","")</f>
        <v/>
      </c>
      <c r="C314" s="9" t="str">
        <f aca="false">Raw_Volunteers!B314</f>
        <v>D1503</v>
      </c>
      <c r="D314" s="9" t="str">
        <f aca="false">IF(C314="","No","Yes")</f>
        <v>Yes</v>
      </c>
      <c r="E314" s="9" t="str">
        <f aca="false">Raw_Volunteers!C314</f>
        <v>William Hernandez</v>
      </c>
      <c r="F314" s="9" t="str">
        <f aca="false">Raw_Volunteers!D314</f>
        <v>09/23/2024</v>
      </c>
      <c r="G314" s="9" t="str">
        <f aca="false">PROPER(TRIM(Raw_Volunteers!E314))</f>
        <v>Warehouse Loading</v>
      </c>
      <c r="H314" s="9" t="str">
        <f aca="false">Raw_Volunteers!F314</f>
        <v>Downtown Pantry</v>
      </c>
      <c r="I314" s="9" t="n">
        <f aca="false">IF(Raw_Volunteers!G314="",ROUND(AVERAGE(Raw_Volunteers!$G$2:$G$926),1),Raw_Volunteers!G314)</f>
        <v>3</v>
      </c>
    </row>
    <row r="315" customFormat="false" ht="15" hidden="false" customHeight="true" outlineLevel="0" collapsed="false">
      <c r="A315" s="9" t="str">
        <f aca="false">Raw_Volunteers!A315</f>
        <v>V2059</v>
      </c>
      <c r="B315" s="9" t="str">
        <f aca="false">IF(COUNTIFS(Raw_Volunteers!$A$2:$A$926,Raw_Volunteers!A315,Raw_Volunteers!$D$2:$D$926,Raw_Volunteers!D315,Raw_Volunteers!$E$2:$E$926,Raw_Volunteers!E315,Raw_Volunteers!$G$2:$G$926,Raw_Volunteers!G315)&gt;1,"Possible Duplicate","")</f>
        <v/>
      </c>
      <c r="C315" s="9" t="str">
        <f aca="false">Raw_Volunteers!B315</f>
        <v>D1503</v>
      </c>
      <c r="D315" s="9" t="str">
        <f aca="false">IF(C315="","No","Yes")</f>
        <v>Yes</v>
      </c>
      <c r="E315" s="9" t="str">
        <f aca="false">Raw_Volunteers!C315</f>
        <v>William Hernandez</v>
      </c>
      <c r="F315" s="9" t="str">
        <f aca="false">Raw_Volunteers!D315</f>
        <v>03/14/2026</v>
      </c>
      <c r="G315" s="9" t="str">
        <f aca="false">PROPER(TRIM(Raw_Volunteers!E315))</f>
        <v>Pantry Stocking</v>
      </c>
      <c r="H315" s="9" t="str">
        <f aca="false">Raw_Volunteers!F315</f>
        <v>Mobile Unit - Route A</v>
      </c>
      <c r="I315" s="9" t="n">
        <f aca="false">IF(Raw_Volunteers!G315="",ROUND(AVERAGE(Raw_Volunteers!$G$2:$G$926),1),Raw_Volunteers!G315)</f>
        <v>2</v>
      </c>
    </row>
    <row r="316" customFormat="false" ht="15" hidden="false" customHeight="true" outlineLevel="0" collapsed="false">
      <c r="A316" s="9" t="str">
        <f aca="false">Raw_Volunteers!A316</f>
        <v>V2059</v>
      </c>
      <c r="B316" s="9" t="str">
        <f aca="false">IF(COUNTIFS(Raw_Volunteers!$A$2:$A$926,Raw_Volunteers!A316,Raw_Volunteers!$D$2:$D$926,Raw_Volunteers!D316,Raw_Volunteers!$E$2:$E$926,Raw_Volunteers!E316,Raw_Volunteers!$G$2:$G$926,Raw_Volunteers!G316)&gt;1,"Possible Duplicate","")</f>
        <v/>
      </c>
      <c r="C316" s="9" t="str">
        <f aca="false">Raw_Volunteers!B316</f>
        <v>D1503</v>
      </c>
      <c r="D316" s="9" t="str">
        <f aca="false">IF(C316="","No","Yes")</f>
        <v>Yes</v>
      </c>
      <c r="E316" s="9" t="str">
        <f aca="false">Raw_Volunteers!C316</f>
        <v>William Hernandez</v>
      </c>
      <c r="F316" s="9" t="str">
        <f aca="false">Raw_Volunteers!D316</f>
        <v>02/01/2026</v>
      </c>
      <c r="G316" s="9" t="str">
        <f aca="false">PROPER(TRIM(Raw_Volunteers!E316))</f>
        <v>Food Sorting</v>
      </c>
      <c r="H316" s="9" t="str">
        <f aca="false">Raw_Volunteers!F316</f>
        <v>Mobile Unit - Route A</v>
      </c>
      <c r="I316" s="9" t="n">
        <f aca="false">IF(Raw_Volunteers!G316="",ROUND(AVERAGE(Raw_Volunteers!$G$2:$G$926),1),Raw_Volunteers!G316)</f>
        <v>2</v>
      </c>
    </row>
    <row r="317" customFormat="false" ht="15" hidden="false" customHeight="true" outlineLevel="0" collapsed="false">
      <c r="A317" s="9" t="str">
        <f aca="false">Raw_Volunteers!A317</f>
        <v>V2060</v>
      </c>
      <c r="B317" s="9" t="str">
        <f aca="false">IF(COUNTIFS(Raw_Volunteers!$A$2:$A$926,Raw_Volunteers!A317,Raw_Volunteers!$D$2:$D$926,Raw_Volunteers!D317,Raw_Volunteers!$E$2:$E$926,Raw_Volunteers!E317,Raw_Volunteers!$G$2:$G$926,Raw_Volunteers!G317)&gt;1,"Possible Duplicate","")</f>
        <v/>
      </c>
      <c r="C317" s="9" t="str">
        <f aca="false">Raw_Volunteers!B317</f>
        <v>D1166</v>
      </c>
      <c r="D317" s="9" t="str">
        <f aca="false">IF(C317="","No","Yes")</f>
        <v>Yes</v>
      </c>
      <c r="E317" s="9" t="str">
        <f aca="false">Raw_Volunteers!C317</f>
        <v>Amanda Torres</v>
      </c>
      <c r="F317" s="9" t="str">
        <f aca="false">Raw_Volunteers!D317</f>
        <v>11/07/2024</v>
      </c>
      <c r="G317" s="9" t="str">
        <f aca="false">PROPER(TRIM(Raw_Volunteers!E317))</f>
        <v>Food Sorting</v>
      </c>
      <c r="H317" s="9" t="str">
        <f aca="false">Raw_Volunteers!F317</f>
        <v>Mobile Unit - Route A</v>
      </c>
      <c r="I317" s="9" t="n">
        <f aca="false">IF(Raw_Volunteers!G317="",ROUND(AVERAGE(Raw_Volunteers!$G$2:$G$926),1),Raw_Volunteers!G317)</f>
        <v>3</v>
      </c>
    </row>
    <row r="318" customFormat="false" ht="15" hidden="false" customHeight="true" outlineLevel="0" collapsed="false">
      <c r="A318" s="9" t="str">
        <f aca="false">Raw_Volunteers!A318</f>
        <v>V2060</v>
      </c>
      <c r="B318" s="9" t="str">
        <f aca="false">IF(COUNTIFS(Raw_Volunteers!$A$2:$A$926,Raw_Volunteers!A318,Raw_Volunteers!$D$2:$D$926,Raw_Volunteers!D318,Raw_Volunteers!$E$2:$E$926,Raw_Volunteers!E318,Raw_Volunteers!$G$2:$G$926,Raw_Volunteers!G318)&gt;1,"Possible Duplicate","")</f>
        <v/>
      </c>
      <c r="C318" s="9" t="str">
        <f aca="false">Raw_Volunteers!B318</f>
        <v>D1166</v>
      </c>
      <c r="D318" s="9" t="str">
        <f aca="false">IF(C318="","No","Yes")</f>
        <v>Yes</v>
      </c>
      <c r="E318" s="9" t="str">
        <f aca="false">Raw_Volunteers!C318</f>
        <v>Amanda Torres</v>
      </c>
      <c r="F318" s="9" t="str">
        <f aca="false">Raw_Volunteers!D318</f>
        <v>02/10/2024</v>
      </c>
      <c r="G318" s="9" t="str">
        <f aca="false">PROPER(TRIM(Raw_Volunteers!E318))</f>
        <v>Warehouse Loading</v>
      </c>
      <c r="H318" s="9" t="str">
        <f aca="false">Raw_Volunteers!F318</f>
        <v>Mobile Unit - Route A</v>
      </c>
      <c r="I318" s="9" t="n">
        <f aca="false">IF(Raw_Volunteers!G318="",ROUND(AVERAGE(Raw_Volunteers!$G$2:$G$926),1),Raw_Volunteers!G318)</f>
        <v>2</v>
      </c>
    </row>
    <row r="319" customFormat="false" ht="15" hidden="false" customHeight="true" outlineLevel="0" collapsed="false">
      <c r="A319" s="9" t="str">
        <f aca="false">Raw_Volunteers!A319</f>
        <v>V2061</v>
      </c>
      <c r="B319" s="9" t="str">
        <f aca="false">IF(COUNTIFS(Raw_Volunteers!$A$2:$A$926,Raw_Volunteers!A319,Raw_Volunteers!$D$2:$D$926,Raw_Volunteers!D319,Raw_Volunteers!$E$2:$E$926,Raw_Volunteers!E319,Raw_Volunteers!$G$2:$G$926,Raw_Volunteers!G319)&gt;1,"Possible Duplicate","")</f>
        <v/>
      </c>
      <c r="C319" s="9" t="str">
        <f aca="false">Raw_Volunteers!B319</f>
        <v>D1196</v>
      </c>
      <c r="D319" s="9" t="str">
        <f aca="false">IF(C319="","No","Yes")</f>
        <v>Yes</v>
      </c>
      <c r="E319" s="9" t="str">
        <f aca="false">Raw_Volunteers!C319</f>
        <v>Donald Walker</v>
      </c>
      <c r="F319" s="9" t="str">
        <f aca="false">Raw_Volunteers!D319</f>
        <v>03/05/2025</v>
      </c>
      <c r="G319" s="9" t="str">
        <f aca="false">PROPER(TRIM(Raw_Volunteers!E319))</f>
        <v>Front Desk Greeter</v>
      </c>
      <c r="H319" s="9" t="str">
        <f aca="false">Raw_Volunteers!F319</f>
        <v>Mobile Unit - Route A</v>
      </c>
      <c r="I319" s="9" t="n">
        <f aca="false">IF(Raw_Volunteers!G319="",ROUND(AVERAGE(Raw_Volunteers!$G$2:$G$926),1),Raw_Volunteers!G319)</f>
        <v>3</v>
      </c>
    </row>
    <row r="320" customFormat="false" ht="15" hidden="false" customHeight="true" outlineLevel="0" collapsed="false">
      <c r="A320" s="9" t="str">
        <f aca="false">Raw_Volunteers!A320</f>
        <v>V2061</v>
      </c>
      <c r="B320" s="9" t="str">
        <f aca="false">IF(COUNTIFS(Raw_Volunteers!$A$2:$A$926,Raw_Volunteers!A320,Raw_Volunteers!$D$2:$D$926,Raw_Volunteers!D320,Raw_Volunteers!$E$2:$E$926,Raw_Volunteers!E320,Raw_Volunteers!$G$2:$G$926,Raw_Volunteers!G320)&gt;1,"Possible Duplicate","")</f>
        <v/>
      </c>
      <c r="C320" s="9" t="str">
        <f aca="false">Raw_Volunteers!B320</f>
        <v>D1196</v>
      </c>
      <c r="D320" s="9" t="str">
        <f aca="false">IF(C320="","No","Yes")</f>
        <v>Yes</v>
      </c>
      <c r="E320" s="9" t="str">
        <f aca="false">Raw_Volunteers!C320</f>
        <v>Donald Walker</v>
      </c>
      <c r="F320" s="9" t="str">
        <f aca="false">Raw_Volunteers!D320</f>
        <v>04/29/2026</v>
      </c>
      <c r="G320" s="9" t="str">
        <f aca="false">PROPER(TRIM(Raw_Volunteers!E320))</f>
        <v>Holiday Box Packing</v>
      </c>
      <c r="H320" s="9" t="str">
        <f aca="false">Raw_Volunteers!F320</f>
        <v>Mobile Unit - Route B</v>
      </c>
      <c r="I320" s="9" t="n">
        <f aca="false">IF(Raw_Volunteers!G320="",ROUND(AVERAGE(Raw_Volunteers!$G$2:$G$926),1),Raw_Volunteers!G320)</f>
        <v>4</v>
      </c>
    </row>
    <row r="321" customFormat="false" ht="15" hidden="false" customHeight="true" outlineLevel="0" collapsed="false">
      <c r="A321" s="9" t="str">
        <f aca="false">Raw_Volunteers!A321</f>
        <v>V2061</v>
      </c>
      <c r="B321" s="9" t="str">
        <f aca="false">IF(COUNTIFS(Raw_Volunteers!$A$2:$A$926,Raw_Volunteers!A321,Raw_Volunteers!$D$2:$D$926,Raw_Volunteers!D321,Raw_Volunteers!$E$2:$E$926,Raw_Volunteers!E321,Raw_Volunteers!$G$2:$G$926,Raw_Volunteers!G321)&gt;1,"Possible Duplicate","")</f>
        <v/>
      </c>
      <c r="C321" s="9" t="str">
        <f aca="false">Raw_Volunteers!B321</f>
        <v>D1196</v>
      </c>
      <c r="D321" s="9" t="str">
        <f aca="false">IF(C321="","No","Yes")</f>
        <v>Yes</v>
      </c>
      <c r="E321" s="9" t="str">
        <f aca="false">Raw_Volunteers!C321</f>
        <v>Donald Walker</v>
      </c>
      <c r="F321" s="9" t="str">
        <f aca="false">Raw_Volunteers!D321</f>
        <v>03/28/2025</v>
      </c>
      <c r="G321" s="9" t="str">
        <f aca="false">PROPER(TRIM(Raw_Volunteers!E321))</f>
        <v>Warehouse Loading</v>
      </c>
      <c r="H321" s="9" t="str">
        <f aca="false">Raw_Volunteers!F321</f>
        <v>Main Warehouse</v>
      </c>
      <c r="I321" s="9" t="n">
        <f aca="false">IF(Raw_Volunteers!G321="",ROUND(AVERAGE(Raw_Volunteers!$G$2:$G$926),1),Raw_Volunteers!G321)</f>
        <v>3</v>
      </c>
    </row>
    <row r="322" customFormat="false" ht="15" hidden="false" customHeight="true" outlineLevel="0" collapsed="false">
      <c r="A322" s="9" t="str">
        <f aca="false">Raw_Volunteers!A322</f>
        <v>V2061</v>
      </c>
      <c r="B322" s="9" t="str">
        <f aca="false">IF(COUNTIFS(Raw_Volunteers!$A$2:$A$926,Raw_Volunteers!A322,Raw_Volunteers!$D$2:$D$926,Raw_Volunteers!D322,Raw_Volunteers!$E$2:$E$926,Raw_Volunteers!E322,Raw_Volunteers!$G$2:$G$926,Raw_Volunteers!G322)&gt;1,"Possible Duplicate","")</f>
        <v/>
      </c>
      <c r="C322" s="9" t="str">
        <f aca="false">Raw_Volunteers!B322</f>
        <v>D1196</v>
      </c>
      <c r="D322" s="9" t="str">
        <f aca="false">IF(C322="","No","Yes")</f>
        <v>Yes</v>
      </c>
      <c r="E322" s="9" t="str">
        <f aca="false">Raw_Volunteers!C322</f>
        <v>Donald Walker</v>
      </c>
      <c r="F322" s="9" t="str">
        <f aca="false">Raw_Volunteers!D322</f>
        <v>05/20/2025</v>
      </c>
      <c r="G322" s="9" t="str">
        <f aca="false">PROPER(TRIM(Raw_Volunteers!E322))</f>
        <v>Event Setup</v>
      </c>
      <c r="H322" s="9" t="str">
        <f aca="false">Raw_Volunteers!F322</f>
        <v>Downtown Pantry</v>
      </c>
      <c r="I322" s="9" t="n">
        <f aca="false">IF(Raw_Volunteers!G322="",ROUND(AVERAGE(Raw_Volunteers!$G$2:$G$926),1),Raw_Volunteers!G322)</f>
        <v>2</v>
      </c>
    </row>
    <row r="323" customFormat="false" ht="15" hidden="false" customHeight="true" outlineLevel="0" collapsed="false">
      <c r="A323" s="9" t="str">
        <f aca="false">Raw_Volunteers!A323</f>
        <v>V2061</v>
      </c>
      <c r="B323" s="9" t="str">
        <f aca="false">IF(COUNTIFS(Raw_Volunteers!$A$2:$A$926,Raw_Volunteers!A323,Raw_Volunteers!$D$2:$D$926,Raw_Volunteers!D323,Raw_Volunteers!$E$2:$E$926,Raw_Volunteers!E323,Raw_Volunteers!$G$2:$G$926,Raw_Volunteers!G323)&gt;1,"Possible Duplicate","")</f>
        <v/>
      </c>
      <c r="C323" s="9" t="str">
        <f aca="false">Raw_Volunteers!B323</f>
        <v>D1196</v>
      </c>
      <c r="D323" s="9" t="str">
        <f aca="false">IF(C323="","No","Yes")</f>
        <v>Yes</v>
      </c>
      <c r="E323" s="9" t="str">
        <f aca="false">Raw_Volunteers!C323</f>
        <v>Donald Walker</v>
      </c>
      <c r="F323" s="9" t="str">
        <f aca="false">Raw_Volunteers!D323</f>
        <v>02/28/2025</v>
      </c>
      <c r="G323" s="9" t="str">
        <f aca="false">PROPER(TRIM(Raw_Volunteers!E323))</f>
        <v>Pantry Stocking</v>
      </c>
      <c r="H323" s="9" t="str">
        <f aca="false">Raw_Volunteers!F323</f>
        <v>Mobile Unit - Route B</v>
      </c>
      <c r="I323" s="9" t="n">
        <f aca="false">IF(Raw_Volunteers!G323="",ROUND(AVERAGE(Raw_Volunteers!$G$2:$G$926),1),Raw_Volunteers!G323)</f>
        <v>4</v>
      </c>
    </row>
    <row r="324" customFormat="false" ht="15" hidden="false" customHeight="true" outlineLevel="0" collapsed="false">
      <c r="A324" s="9" t="str">
        <f aca="false">Raw_Volunteers!A324</f>
        <v>V2061</v>
      </c>
      <c r="B324" s="9" t="str">
        <f aca="false">IF(COUNTIFS(Raw_Volunteers!$A$2:$A$926,Raw_Volunteers!A324,Raw_Volunteers!$D$2:$D$926,Raw_Volunteers!D324,Raw_Volunteers!$E$2:$E$926,Raw_Volunteers!E324,Raw_Volunteers!$G$2:$G$926,Raw_Volunteers!G324)&gt;1,"Possible Duplicate","")</f>
        <v/>
      </c>
      <c r="C324" s="9" t="str">
        <f aca="false">Raw_Volunteers!B324</f>
        <v>D1196</v>
      </c>
      <c r="D324" s="9" t="str">
        <f aca="false">IF(C324="","No","Yes")</f>
        <v>Yes</v>
      </c>
      <c r="E324" s="9" t="str">
        <f aca="false">Raw_Volunteers!C324</f>
        <v>Donald Walker</v>
      </c>
      <c r="F324" s="9" t="str">
        <f aca="false">Raw_Volunteers!D324</f>
        <v>05/12/2024</v>
      </c>
      <c r="G324" s="9" t="str">
        <f aca="false">PROPER(TRIM(Raw_Volunteers!E324))</f>
        <v>Front Desk Greeter</v>
      </c>
      <c r="H324" s="9" t="str">
        <f aca="false">Raw_Volunteers!F324</f>
        <v>Mobile Unit - Route B</v>
      </c>
      <c r="I324" s="9" t="n">
        <f aca="false">IF(Raw_Volunteers!G324="",ROUND(AVERAGE(Raw_Volunteers!$G$2:$G$926),1),Raw_Volunteers!G324)</f>
        <v>4</v>
      </c>
    </row>
    <row r="325" customFormat="false" ht="15" hidden="false" customHeight="true" outlineLevel="0" collapsed="false">
      <c r="A325" s="9" t="str">
        <f aca="false">Raw_Volunteers!A325</f>
        <v>V2061</v>
      </c>
      <c r="B325" s="9" t="str">
        <f aca="false">IF(COUNTIFS(Raw_Volunteers!$A$2:$A$926,Raw_Volunteers!A325,Raw_Volunteers!$D$2:$D$926,Raw_Volunteers!D325,Raw_Volunteers!$E$2:$E$926,Raw_Volunteers!E325,Raw_Volunteers!$G$2:$G$926,Raw_Volunteers!G325)&gt;1,"Possible Duplicate","")</f>
        <v/>
      </c>
      <c r="C325" s="9" t="str">
        <f aca="false">Raw_Volunteers!B325</f>
        <v>D1196</v>
      </c>
      <c r="D325" s="9" t="str">
        <f aca="false">IF(C325="","No","Yes")</f>
        <v>Yes</v>
      </c>
      <c r="E325" s="9" t="str">
        <f aca="false">Raw_Volunteers!C325</f>
        <v>Donald Walker</v>
      </c>
      <c r="F325" s="9" t="str">
        <f aca="false">Raw_Volunteers!D325</f>
        <v>08/23/2025</v>
      </c>
      <c r="G325" s="9" t="str">
        <f aca="false">PROPER(TRIM(Raw_Volunteers!E325))</f>
        <v>Pantry Stocking</v>
      </c>
      <c r="H325" s="9" t="str">
        <f aca="false">Raw_Volunteers!F325</f>
        <v>Mobile Unit - Route B</v>
      </c>
      <c r="I325" s="9" t="n">
        <f aca="false">IF(Raw_Volunteers!G325="",ROUND(AVERAGE(Raw_Volunteers!$G$2:$G$926),1),Raw_Volunteers!G325)</f>
        <v>2</v>
      </c>
    </row>
    <row r="326" customFormat="false" ht="15" hidden="false" customHeight="true" outlineLevel="0" collapsed="false">
      <c r="A326" s="9" t="str">
        <f aca="false">Raw_Volunteers!A326</f>
        <v>V2061</v>
      </c>
      <c r="B326" s="9" t="str">
        <f aca="false">IF(COUNTIFS(Raw_Volunteers!$A$2:$A$926,Raw_Volunteers!A326,Raw_Volunteers!$D$2:$D$926,Raw_Volunteers!D326,Raw_Volunteers!$E$2:$E$926,Raw_Volunteers!E326,Raw_Volunteers!$G$2:$G$926,Raw_Volunteers!G326)&gt;1,"Possible Duplicate","")</f>
        <v/>
      </c>
      <c r="C326" s="9" t="str">
        <f aca="false">Raw_Volunteers!B326</f>
        <v>D1196</v>
      </c>
      <c r="D326" s="9" t="str">
        <f aca="false">IF(C326="","No","Yes")</f>
        <v>Yes</v>
      </c>
      <c r="E326" s="9" t="str">
        <f aca="false">Raw_Volunteers!C326</f>
        <v>Donald Walker</v>
      </c>
      <c r="F326" s="9" t="str">
        <f aca="false">Raw_Volunteers!D326</f>
        <v>04/18/2025</v>
      </c>
      <c r="G326" s="9" t="str">
        <f aca="false">PROPER(TRIM(Raw_Volunteers!E326))</f>
        <v>Event Setup</v>
      </c>
      <c r="H326" s="9" t="str">
        <f aca="false">Raw_Volunteers!F326</f>
        <v>Downtown Pantry</v>
      </c>
      <c r="I326" s="9" t="n">
        <f aca="false">IF(Raw_Volunteers!G326="",ROUND(AVERAGE(Raw_Volunteers!$G$2:$G$926),1),Raw_Volunteers!G326)</f>
        <v>2</v>
      </c>
    </row>
    <row r="327" customFormat="false" ht="15" hidden="false" customHeight="true" outlineLevel="0" collapsed="false">
      <c r="A327" s="9" t="str">
        <f aca="false">Raw_Volunteers!A327</f>
        <v>V2061</v>
      </c>
      <c r="B327" s="9" t="str">
        <f aca="false">IF(COUNTIFS(Raw_Volunteers!$A$2:$A$926,Raw_Volunteers!A327,Raw_Volunteers!$D$2:$D$926,Raw_Volunteers!D327,Raw_Volunteers!$E$2:$E$926,Raw_Volunteers!E327,Raw_Volunteers!$G$2:$G$926,Raw_Volunteers!G327)&gt;1,"Possible Duplicate","")</f>
        <v/>
      </c>
      <c r="C327" s="9" t="str">
        <f aca="false">Raw_Volunteers!B327</f>
        <v>D1196</v>
      </c>
      <c r="D327" s="9" t="str">
        <f aca="false">IF(C327="","No","Yes")</f>
        <v>Yes</v>
      </c>
      <c r="E327" s="9" t="str">
        <f aca="false">Raw_Volunteers!C327</f>
        <v>Donald Walker</v>
      </c>
      <c r="F327" s="9" t="str">
        <f aca="false">Raw_Volunteers!D327</f>
        <v>11/16/2024</v>
      </c>
      <c r="G327" s="9" t="str">
        <f aca="false">PROPER(TRIM(Raw_Volunteers!E327))</f>
        <v>Event Setup</v>
      </c>
      <c r="H327" s="9" t="str">
        <f aca="false">Raw_Volunteers!F327</f>
        <v>Mobile Unit - Route A</v>
      </c>
      <c r="I327" s="9" t="n">
        <f aca="false">IF(Raw_Volunteers!G327="",ROUND(AVERAGE(Raw_Volunteers!$G$2:$G$926),1),Raw_Volunteers!G327)</f>
        <v>5</v>
      </c>
    </row>
    <row r="328" customFormat="false" ht="15" hidden="false" customHeight="true" outlineLevel="0" collapsed="false">
      <c r="A328" s="9" t="str">
        <f aca="false">Raw_Volunteers!A328</f>
        <v>V2061</v>
      </c>
      <c r="B328" s="9" t="str">
        <f aca="false">IF(COUNTIFS(Raw_Volunteers!$A$2:$A$926,Raw_Volunteers!A328,Raw_Volunteers!$D$2:$D$926,Raw_Volunteers!D328,Raw_Volunteers!$E$2:$E$926,Raw_Volunteers!E328,Raw_Volunteers!$G$2:$G$926,Raw_Volunteers!G328)&gt;1,"Possible Duplicate","")</f>
        <v/>
      </c>
      <c r="C328" s="9" t="str">
        <f aca="false">Raw_Volunteers!B328</f>
        <v>D1196</v>
      </c>
      <c r="D328" s="9" t="str">
        <f aca="false">IF(C328="","No","Yes")</f>
        <v>Yes</v>
      </c>
      <c r="E328" s="9" t="str">
        <f aca="false">Raw_Volunteers!C328</f>
        <v>Donald Walker</v>
      </c>
      <c r="F328" s="9" t="str">
        <f aca="false">Raw_Volunteers!D328</f>
        <v>04/26/2024</v>
      </c>
      <c r="G328" s="9" t="str">
        <f aca="false">PROPER(TRIM(Raw_Volunteers!E328))</f>
        <v>Client Intake Assistant</v>
      </c>
      <c r="H328" s="9" t="str">
        <f aca="false">Raw_Volunteers!F328</f>
        <v>Mobile Unit - Route B</v>
      </c>
      <c r="I328" s="9" t="n">
        <f aca="false">IF(Raw_Volunteers!G328="",ROUND(AVERAGE(Raw_Volunteers!$G$2:$G$926),1),Raw_Volunteers!G328)</f>
        <v>2</v>
      </c>
    </row>
    <row r="329" customFormat="false" ht="15" hidden="false" customHeight="true" outlineLevel="0" collapsed="false">
      <c r="A329" s="9" t="str">
        <f aca="false">Raw_Volunteers!A329</f>
        <v>V2061</v>
      </c>
      <c r="B329" s="9" t="str">
        <f aca="false">IF(COUNTIFS(Raw_Volunteers!$A$2:$A$926,Raw_Volunteers!A329,Raw_Volunteers!$D$2:$D$926,Raw_Volunteers!D329,Raw_Volunteers!$E$2:$E$926,Raw_Volunteers!E329,Raw_Volunteers!$G$2:$G$926,Raw_Volunteers!G329)&gt;1,"Possible Duplicate","")</f>
        <v/>
      </c>
      <c r="C329" s="9" t="str">
        <f aca="false">Raw_Volunteers!B329</f>
        <v>D1196</v>
      </c>
      <c r="D329" s="9" t="str">
        <f aca="false">IF(C329="","No","Yes")</f>
        <v>Yes</v>
      </c>
      <c r="E329" s="9" t="str">
        <f aca="false">Raw_Volunteers!C329</f>
        <v>Donald Walker</v>
      </c>
      <c r="F329" s="9" t="str">
        <f aca="false">Raw_Volunteers!D329</f>
        <v>10/04/2025</v>
      </c>
      <c r="G329" s="9" t="str">
        <f aca="false">PROPER(TRIM(Raw_Volunteers!E329))</f>
        <v>Event Setup</v>
      </c>
      <c r="H329" s="9" t="str">
        <f aca="false">Raw_Volunteers!F329</f>
        <v>Mobile Unit - Route B</v>
      </c>
      <c r="I329" s="9" t="n">
        <f aca="false">IF(Raw_Volunteers!G329="",ROUND(AVERAGE(Raw_Volunteers!$G$2:$G$926),1),Raw_Volunteers!G329)</f>
        <v>4</v>
      </c>
    </row>
    <row r="330" customFormat="false" ht="15" hidden="false" customHeight="true" outlineLevel="0" collapsed="false">
      <c r="A330" s="9" t="str">
        <f aca="false">Raw_Volunteers!A330</f>
        <v>V2061</v>
      </c>
      <c r="B330" s="9" t="str">
        <f aca="false">IF(COUNTIFS(Raw_Volunteers!$A$2:$A$926,Raw_Volunteers!A330,Raw_Volunteers!$D$2:$D$926,Raw_Volunteers!D330,Raw_Volunteers!$E$2:$E$926,Raw_Volunteers!E330,Raw_Volunteers!$G$2:$G$926,Raw_Volunteers!G330)&gt;1,"Possible Duplicate","")</f>
        <v/>
      </c>
      <c r="C330" s="9" t="str">
        <f aca="false">Raw_Volunteers!B330</f>
        <v>D1196</v>
      </c>
      <c r="D330" s="9" t="str">
        <f aca="false">IF(C330="","No","Yes")</f>
        <v>Yes</v>
      </c>
      <c r="E330" s="9" t="str">
        <f aca="false">Raw_Volunteers!C330</f>
        <v>Donald Walker</v>
      </c>
      <c r="F330" s="9" t="str">
        <f aca="false">Raw_Volunteers!D330</f>
        <v>06/15/2025</v>
      </c>
      <c r="G330" s="9" t="str">
        <f aca="false">PROPER(TRIM(Raw_Volunteers!E330))</f>
        <v>Pantry Stocking</v>
      </c>
      <c r="H330" s="9" t="str">
        <f aca="false">Raw_Volunteers!F330</f>
        <v>Mobile Unit - Route B</v>
      </c>
      <c r="I330" s="9" t="n">
        <f aca="false">IF(Raw_Volunteers!G330="",ROUND(AVERAGE(Raw_Volunteers!$G$2:$G$926),1),Raw_Volunteers!G330)</f>
        <v>4</v>
      </c>
    </row>
    <row r="331" customFormat="false" ht="15" hidden="false" customHeight="true" outlineLevel="0" collapsed="false">
      <c r="A331" s="9" t="str">
        <f aca="false">Raw_Volunteers!A331</f>
        <v>V2062</v>
      </c>
      <c r="B331" s="9" t="str">
        <f aca="false">IF(COUNTIFS(Raw_Volunteers!$A$2:$A$926,Raw_Volunteers!A331,Raw_Volunteers!$D$2:$D$926,Raw_Volunteers!D331,Raw_Volunteers!$E$2:$E$926,Raw_Volunteers!E331,Raw_Volunteers!$G$2:$G$926,Raw_Volunteers!G331)&gt;1,"Possible Duplicate","")</f>
        <v/>
      </c>
      <c r="C331" s="9" t="str">
        <f aca="false">Raw_Volunteers!B331</f>
        <v>D1331</v>
      </c>
      <c r="D331" s="9" t="str">
        <f aca="false">IF(C331="","No","Yes")</f>
        <v>Yes</v>
      </c>
      <c r="E331" s="9" t="str">
        <f aca="false">Raw_Volunteers!C331</f>
        <v>Michael Walker</v>
      </c>
      <c r="F331" s="9" t="str">
        <f aca="false">Raw_Volunteers!D331</f>
        <v>06/04/2024</v>
      </c>
      <c r="G331" s="9" t="str">
        <f aca="false">PROPER(TRIM(Raw_Volunteers!E331))</f>
        <v>Mobile Distribution Driver</v>
      </c>
      <c r="H331" s="9" t="str">
        <f aca="false">Raw_Volunteers!F331</f>
        <v>Downtown Pantry</v>
      </c>
      <c r="I331" s="9" t="n">
        <f aca="false">IF(Raw_Volunteers!G331="",ROUND(AVERAGE(Raw_Volunteers!$G$2:$G$926),1),Raw_Volunteers!G331)</f>
        <v>2</v>
      </c>
    </row>
    <row r="332" customFormat="false" ht="15" hidden="false" customHeight="true" outlineLevel="0" collapsed="false">
      <c r="A332" s="9" t="str">
        <f aca="false">Raw_Volunteers!A332</f>
        <v>V2062</v>
      </c>
      <c r="B332" s="9" t="str">
        <f aca="false">IF(COUNTIFS(Raw_Volunteers!$A$2:$A$926,Raw_Volunteers!A332,Raw_Volunteers!$D$2:$D$926,Raw_Volunteers!D332,Raw_Volunteers!$E$2:$E$926,Raw_Volunteers!E332,Raw_Volunteers!$G$2:$G$926,Raw_Volunteers!G332)&gt;1,"Possible Duplicate","")</f>
        <v/>
      </c>
      <c r="C332" s="9" t="str">
        <f aca="false">Raw_Volunteers!B332</f>
        <v>D1331</v>
      </c>
      <c r="D332" s="9" t="str">
        <f aca="false">IF(C332="","No","Yes")</f>
        <v>Yes</v>
      </c>
      <c r="E332" s="9" t="str">
        <f aca="false">Raw_Volunteers!C332</f>
        <v>Michael Walker</v>
      </c>
      <c r="F332" s="9" t="str">
        <f aca="false">Raw_Volunteers!D332</f>
        <v>07/06/2025</v>
      </c>
      <c r="G332" s="9" t="str">
        <f aca="false">PROPER(TRIM(Raw_Volunteers!E332))</f>
        <v>Mobile Distribution Driver</v>
      </c>
      <c r="H332" s="9" t="str">
        <f aca="false">Raw_Volunteers!F332</f>
        <v>Main Warehouse</v>
      </c>
      <c r="I332" s="9" t="n">
        <f aca="false">IF(Raw_Volunteers!G332="",ROUND(AVERAGE(Raw_Volunteers!$G$2:$G$926),1),Raw_Volunteers!G332)</f>
        <v>2</v>
      </c>
    </row>
    <row r="333" customFormat="false" ht="15" hidden="false" customHeight="true" outlineLevel="0" collapsed="false">
      <c r="A333" s="9" t="str">
        <f aca="false">Raw_Volunteers!A333</f>
        <v>V2062</v>
      </c>
      <c r="B333" s="9" t="str">
        <f aca="false">IF(COUNTIFS(Raw_Volunteers!$A$2:$A$926,Raw_Volunteers!A333,Raw_Volunteers!$D$2:$D$926,Raw_Volunteers!D333,Raw_Volunteers!$E$2:$E$926,Raw_Volunteers!E333,Raw_Volunteers!$G$2:$G$926,Raw_Volunteers!G333)&gt;1,"Possible Duplicate","")</f>
        <v/>
      </c>
      <c r="C333" s="9" t="str">
        <f aca="false">Raw_Volunteers!B333</f>
        <v>D1331</v>
      </c>
      <c r="D333" s="9" t="str">
        <f aca="false">IF(C333="","No","Yes")</f>
        <v>Yes</v>
      </c>
      <c r="E333" s="9" t="str">
        <f aca="false">Raw_Volunteers!C333</f>
        <v>Michael Walker</v>
      </c>
      <c r="F333" s="9" t="str">
        <f aca="false">Raw_Volunteers!D333</f>
        <v>08/29/2025</v>
      </c>
      <c r="G333" s="9" t="str">
        <f aca="false">PROPER(TRIM(Raw_Volunteers!E333))</f>
        <v>Front Desk Greeter</v>
      </c>
      <c r="H333" s="9" t="str">
        <f aca="false">Raw_Volunteers!F333</f>
        <v>Downtown Pantry</v>
      </c>
      <c r="I333" s="9" t="n">
        <f aca="false">IF(Raw_Volunteers!G333="",ROUND(AVERAGE(Raw_Volunteers!$G$2:$G$926),1),Raw_Volunteers!G333)</f>
        <v>3</v>
      </c>
    </row>
    <row r="334" customFormat="false" ht="15" hidden="false" customHeight="true" outlineLevel="0" collapsed="false">
      <c r="A334" s="9" t="str">
        <f aca="false">Raw_Volunteers!A334</f>
        <v>V2063</v>
      </c>
      <c r="B334" s="9" t="str">
        <f aca="false">IF(COUNTIFS(Raw_Volunteers!$A$2:$A$926,Raw_Volunteers!A334,Raw_Volunteers!$D$2:$D$926,Raw_Volunteers!D334,Raw_Volunteers!$E$2:$E$926,Raw_Volunteers!E334,Raw_Volunteers!$G$2:$G$926,Raw_Volunteers!G334)&gt;1,"Possible Duplicate","")</f>
        <v/>
      </c>
      <c r="C334" s="9" t="str">
        <f aca="false">Raw_Volunteers!B334</f>
        <v>D1735</v>
      </c>
      <c r="D334" s="9" t="str">
        <f aca="false">IF(C334="","No","Yes")</f>
        <v>Yes</v>
      </c>
      <c r="E334" s="9" t="str">
        <f aca="false">Raw_Volunteers!C334</f>
        <v>Melissa Young</v>
      </c>
      <c r="F334" s="9" t="str">
        <f aca="false">Raw_Volunteers!D334</f>
        <v>05/01/2026</v>
      </c>
      <c r="G334" s="9" t="str">
        <f aca="false">PROPER(TRIM(Raw_Volunteers!E334))</f>
        <v>Food Sorting</v>
      </c>
      <c r="H334" s="9" t="str">
        <f aca="false">Raw_Volunteers!F334</f>
        <v>Mobile Unit - Route A</v>
      </c>
      <c r="I334" s="9" t="n">
        <f aca="false">IF(Raw_Volunteers!G334="",ROUND(AVERAGE(Raw_Volunteers!$G$2:$G$926),1),Raw_Volunteers!G334)</f>
        <v>2</v>
      </c>
    </row>
    <row r="335" customFormat="false" ht="15" hidden="false" customHeight="true" outlineLevel="0" collapsed="false">
      <c r="A335" s="9" t="str">
        <f aca="false">Raw_Volunteers!A335</f>
        <v>V2063</v>
      </c>
      <c r="B335" s="9" t="str">
        <f aca="false">IF(COUNTIFS(Raw_Volunteers!$A$2:$A$926,Raw_Volunteers!A335,Raw_Volunteers!$D$2:$D$926,Raw_Volunteers!D335,Raw_Volunteers!$E$2:$E$926,Raw_Volunteers!E335,Raw_Volunteers!$G$2:$G$926,Raw_Volunteers!G335)&gt;1,"Possible Duplicate","")</f>
        <v/>
      </c>
      <c r="C335" s="9" t="str">
        <f aca="false">Raw_Volunteers!B335</f>
        <v>D1735</v>
      </c>
      <c r="D335" s="9" t="str">
        <f aca="false">IF(C335="","No","Yes")</f>
        <v>Yes</v>
      </c>
      <c r="E335" s="9" t="str">
        <f aca="false">Raw_Volunteers!C335</f>
        <v>Melissa Young</v>
      </c>
      <c r="F335" s="9" t="str">
        <f aca="false">Raw_Volunteers!D335</f>
        <v>11/12/2024</v>
      </c>
      <c r="G335" s="9" t="str">
        <f aca="false">PROPER(TRIM(Raw_Volunteers!E335))</f>
        <v>Holiday Box Packing</v>
      </c>
      <c r="H335" s="9" t="str">
        <f aca="false">Raw_Volunteers!F335</f>
        <v>Downtown Pantry</v>
      </c>
      <c r="I335" s="9" t="n">
        <f aca="false">IF(Raw_Volunteers!G335="",ROUND(AVERAGE(Raw_Volunteers!$G$2:$G$926),1),Raw_Volunteers!G335)</f>
        <v>3</v>
      </c>
    </row>
    <row r="336" customFormat="false" ht="15" hidden="false" customHeight="true" outlineLevel="0" collapsed="false">
      <c r="A336" s="9" t="str">
        <f aca="false">Raw_Volunteers!A336</f>
        <v>V2063</v>
      </c>
      <c r="B336" s="9" t="str">
        <f aca="false">IF(COUNTIFS(Raw_Volunteers!$A$2:$A$926,Raw_Volunteers!A336,Raw_Volunteers!$D$2:$D$926,Raw_Volunteers!D336,Raw_Volunteers!$E$2:$E$926,Raw_Volunteers!E336,Raw_Volunteers!$G$2:$G$926,Raw_Volunteers!G336)&gt;1,"Possible Duplicate","")</f>
        <v/>
      </c>
      <c r="C336" s="9" t="str">
        <f aca="false">Raw_Volunteers!B336</f>
        <v>D1735</v>
      </c>
      <c r="D336" s="9" t="str">
        <f aca="false">IF(C336="","No","Yes")</f>
        <v>Yes</v>
      </c>
      <c r="E336" s="9" t="str">
        <f aca="false">Raw_Volunteers!C336</f>
        <v>Melissa Young</v>
      </c>
      <c r="F336" s="9" t="str">
        <f aca="false">Raw_Volunteers!D336</f>
        <v>10/15/2025</v>
      </c>
      <c r="G336" s="9" t="str">
        <f aca="false">PROPER(TRIM(Raw_Volunteers!E336))</f>
        <v>Event Setup</v>
      </c>
      <c r="H336" s="9" t="str">
        <f aca="false">Raw_Volunteers!F336</f>
        <v>Main Warehouse</v>
      </c>
      <c r="I336" s="9" t="n">
        <f aca="false">IF(Raw_Volunteers!G336="",ROUND(AVERAGE(Raw_Volunteers!$G$2:$G$926),1),Raw_Volunteers!G336)</f>
        <v>3</v>
      </c>
    </row>
    <row r="337" customFormat="false" ht="15" hidden="false" customHeight="true" outlineLevel="0" collapsed="false">
      <c r="A337" s="9" t="str">
        <f aca="false">Raw_Volunteers!A337</f>
        <v>V2063</v>
      </c>
      <c r="B337" s="9" t="str">
        <f aca="false">IF(COUNTIFS(Raw_Volunteers!$A$2:$A$926,Raw_Volunteers!A337,Raw_Volunteers!$D$2:$D$926,Raw_Volunteers!D337,Raw_Volunteers!$E$2:$E$926,Raw_Volunteers!E337,Raw_Volunteers!$G$2:$G$926,Raw_Volunteers!G337)&gt;1,"Possible Duplicate","")</f>
        <v/>
      </c>
      <c r="C337" s="9" t="str">
        <f aca="false">Raw_Volunteers!B337</f>
        <v>D1735</v>
      </c>
      <c r="D337" s="9" t="str">
        <f aca="false">IF(C337="","No","Yes")</f>
        <v>Yes</v>
      </c>
      <c r="E337" s="9" t="str">
        <f aca="false">Raw_Volunteers!C337</f>
        <v>Melissa Young</v>
      </c>
      <c r="F337" s="9" t="str">
        <f aca="false">Raw_Volunteers!D337</f>
        <v>01/14/2025</v>
      </c>
      <c r="G337" s="9" t="str">
        <f aca="false">PROPER(TRIM(Raw_Volunteers!E337))</f>
        <v>Mobile Distribution Driver</v>
      </c>
      <c r="H337" s="9" t="str">
        <f aca="false">Raw_Volunteers!F337</f>
        <v>Main Warehouse</v>
      </c>
      <c r="I337" s="9" t="n">
        <f aca="false">IF(Raw_Volunteers!G337="",ROUND(AVERAGE(Raw_Volunteers!$G$2:$G$926),1),Raw_Volunteers!G337)</f>
        <v>3</v>
      </c>
    </row>
    <row r="338" customFormat="false" ht="15" hidden="false" customHeight="true" outlineLevel="0" collapsed="false">
      <c r="A338" s="9" t="str">
        <f aca="false">Raw_Volunteers!A338</f>
        <v>V2063</v>
      </c>
      <c r="B338" s="9" t="str">
        <f aca="false">IF(COUNTIFS(Raw_Volunteers!$A$2:$A$926,Raw_Volunteers!A338,Raw_Volunteers!$D$2:$D$926,Raw_Volunteers!D338,Raw_Volunteers!$E$2:$E$926,Raw_Volunteers!E338,Raw_Volunteers!$G$2:$G$926,Raw_Volunteers!G338)&gt;1,"Possible Duplicate","")</f>
        <v/>
      </c>
      <c r="C338" s="9" t="str">
        <f aca="false">Raw_Volunteers!B338</f>
        <v>D1735</v>
      </c>
      <c r="D338" s="9" t="str">
        <f aca="false">IF(C338="","No","Yes")</f>
        <v>Yes</v>
      </c>
      <c r="E338" s="9" t="str">
        <f aca="false">Raw_Volunteers!C338</f>
        <v>Melissa Young</v>
      </c>
      <c r="F338" s="9" t="str">
        <f aca="false">Raw_Volunteers!D338</f>
        <v>04/21/2024</v>
      </c>
      <c r="G338" s="9" t="str">
        <f aca="false">PROPER(TRIM(Raw_Volunteers!E338))</f>
        <v>Pantry Stocking</v>
      </c>
      <c r="H338" s="9" t="str">
        <f aca="false">Raw_Volunteers!F338</f>
        <v>Main Warehouse</v>
      </c>
      <c r="I338" s="9" t="n">
        <f aca="false">IF(Raw_Volunteers!G338="",ROUND(AVERAGE(Raw_Volunteers!$G$2:$G$926),1),Raw_Volunteers!G338)</f>
        <v>2</v>
      </c>
    </row>
    <row r="339" customFormat="false" ht="15" hidden="false" customHeight="true" outlineLevel="0" collapsed="false">
      <c r="A339" s="9" t="str">
        <f aca="false">Raw_Volunteers!A339</f>
        <v>V2064</v>
      </c>
      <c r="B339" s="9" t="str">
        <f aca="false">IF(COUNTIFS(Raw_Volunteers!$A$2:$A$926,Raw_Volunteers!A339,Raw_Volunteers!$D$2:$D$926,Raw_Volunteers!D339,Raw_Volunteers!$E$2:$E$926,Raw_Volunteers!E339,Raw_Volunteers!$G$2:$G$926,Raw_Volunteers!G339)&gt;1,"Possible Duplicate","")</f>
        <v/>
      </c>
      <c r="C339" s="9" t="str">
        <f aca="false">Raw_Volunteers!B339</f>
        <v>D1224</v>
      </c>
      <c r="D339" s="9" t="str">
        <f aca="false">IF(C339="","No","Yes")</f>
        <v>Yes</v>
      </c>
      <c r="E339" s="9" t="str">
        <f aca="false">Raw_Volunteers!C339</f>
        <v>Carol Garcia</v>
      </c>
      <c r="F339" s="9" t="str">
        <f aca="false">Raw_Volunteers!D339</f>
        <v>02/12/2025</v>
      </c>
      <c r="G339" s="9" t="str">
        <f aca="false">PROPER(TRIM(Raw_Volunteers!E339))</f>
        <v>Warehouse Loading</v>
      </c>
      <c r="H339" s="9" t="str">
        <f aca="false">Raw_Volunteers!F339</f>
        <v>Mobile Unit - Route A</v>
      </c>
      <c r="I339" s="9" t="n">
        <f aca="false">IF(Raw_Volunteers!G339="",ROUND(AVERAGE(Raw_Volunteers!$G$2:$G$926),1),Raw_Volunteers!G339)</f>
        <v>5</v>
      </c>
    </row>
    <row r="340" customFormat="false" ht="15" hidden="false" customHeight="true" outlineLevel="0" collapsed="false">
      <c r="A340" s="9" t="str">
        <f aca="false">Raw_Volunteers!A340</f>
        <v>V2064</v>
      </c>
      <c r="B340" s="9" t="str">
        <f aca="false">IF(COUNTIFS(Raw_Volunteers!$A$2:$A$926,Raw_Volunteers!A340,Raw_Volunteers!$D$2:$D$926,Raw_Volunteers!D340,Raw_Volunteers!$E$2:$E$926,Raw_Volunteers!E340,Raw_Volunteers!$G$2:$G$926,Raw_Volunteers!G340)&gt;1,"Possible Duplicate","")</f>
        <v/>
      </c>
      <c r="C340" s="9" t="str">
        <f aca="false">Raw_Volunteers!B340</f>
        <v>D1224</v>
      </c>
      <c r="D340" s="9" t="str">
        <f aca="false">IF(C340="","No","Yes")</f>
        <v>Yes</v>
      </c>
      <c r="E340" s="9" t="str">
        <f aca="false">Raw_Volunteers!C340</f>
        <v>Carol Garcia</v>
      </c>
      <c r="F340" s="9" t="str">
        <f aca="false">Raw_Volunteers!D340</f>
        <v>05/26/2024</v>
      </c>
      <c r="G340" s="9" t="str">
        <f aca="false">PROPER(TRIM(Raw_Volunteers!E340))</f>
        <v>Event Setup</v>
      </c>
      <c r="H340" s="9" t="str">
        <f aca="false">Raw_Volunteers!F340</f>
        <v>Downtown Pantry</v>
      </c>
      <c r="I340" s="9" t="n">
        <f aca="false">IF(Raw_Volunteers!G340="",ROUND(AVERAGE(Raw_Volunteers!$G$2:$G$926),1),Raw_Volunteers!G340)</f>
        <v>3</v>
      </c>
    </row>
    <row r="341" customFormat="false" ht="15" hidden="false" customHeight="true" outlineLevel="0" collapsed="false">
      <c r="A341" s="9" t="str">
        <f aca="false">Raw_Volunteers!A341</f>
        <v>V2064</v>
      </c>
      <c r="B341" s="9" t="str">
        <f aca="false">IF(COUNTIFS(Raw_Volunteers!$A$2:$A$926,Raw_Volunteers!A341,Raw_Volunteers!$D$2:$D$926,Raw_Volunteers!D341,Raw_Volunteers!$E$2:$E$926,Raw_Volunteers!E341,Raw_Volunteers!$G$2:$G$926,Raw_Volunteers!G341)&gt;1,"Possible Duplicate","")</f>
        <v/>
      </c>
      <c r="C341" s="9" t="str">
        <f aca="false">Raw_Volunteers!B341</f>
        <v>D1224</v>
      </c>
      <c r="D341" s="9" t="str">
        <f aca="false">IF(C341="","No","Yes")</f>
        <v>Yes</v>
      </c>
      <c r="E341" s="9" t="str">
        <f aca="false">Raw_Volunteers!C341</f>
        <v>Carol Garcia</v>
      </c>
      <c r="F341" s="9" t="str">
        <f aca="false">Raw_Volunteers!D341</f>
        <v>03/24/2024</v>
      </c>
      <c r="G341" s="9" t="str">
        <f aca="false">PROPER(TRIM(Raw_Volunteers!E341))</f>
        <v>Holiday Box Packing</v>
      </c>
      <c r="H341" s="9" t="str">
        <f aca="false">Raw_Volunteers!F341</f>
        <v>Main Warehouse</v>
      </c>
      <c r="I341" s="9" t="n">
        <f aca="false">IF(Raw_Volunteers!G341="",ROUND(AVERAGE(Raw_Volunteers!$G$2:$G$926),1),Raw_Volunteers!G341)</f>
        <v>2</v>
      </c>
    </row>
    <row r="342" customFormat="false" ht="15" hidden="false" customHeight="true" outlineLevel="0" collapsed="false">
      <c r="A342" s="9" t="str">
        <f aca="false">Raw_Volunteers!A342</f>
        <v>V2064</v>
      </c>
      <c r="B342" s="9" t="str">
        <f aca="false">IF(COUNTIFS(Raw_Volunteers!$A$2:$A$926,Raw_Volunteers!A342,Raw_Volunteers!$D$2:$D$926,Raw_Volunteers!D342,Raw_Volunteers!$E$2:$E$926,Raw_Volunteers!E342,Raw_Volunteers!$G$2:$G$926,Raw_Volunteers!G342)&gt;1,"Possible Duplicate","")</f>
        <v/>
      </c>
      <c r="C342" s="9" t="str">
        <f aca="false">Raw_Volunteers!B342</f>
        <v>D1224</v>
      </c>
      <c r="D342" s="9" t="str">
        <f aca="false">IF(C342="","No","Yes")</f>
        <v>Yes</v>
      </c>
      <c r="E342" s="9" t="str">
        <f aca="false">Raw_Volunteers!C342</f>
        <v>Carol Garcia</v>
      </c>
      <c r="F342" s="9" t="str">
        <f aca="false">Raw_Volunteers!D342</f>
        <v>04/06/2025</v>
      </c>
      <c r="G342" s="9" t="str">
        <f aca="false">PROPER(TRIM(Raw_Volunteers!E342))</f>
        <v>Client Intake Assistant</v>
      </c>
      <c r="H342" s="9" t="str">
        <f aca="false">Raw_Volunteers!F342</f>
        <v>Mobile Unit - Route A</v>
      </c>
      <c r="I342" s="9" t="n">
        <f aca="false">IF(Raw_Volunteers!G342="",ROUND(AVERAGE(Raw_Volunteers!$G$2:$G$926),1),Raw_Volunteers!G342)</f>
        <v>3</v>
      </c>
    </row>
    <row r="343" customFormat="false" ht="15" hidden="false" customHeight="true" outlineLevel="0" collapsed="false">
      <c r="A343" s="9" t="str">
        <f aca="false">Raw_Volunteers!A343</f>
        <v>V2064</v>
      </c>
      <c r="B343" s="9" t="str">
        <f aca="false">IF(COUNTIFS(Raw_Volunteers!$A$2:$A$926,Raw_Volunteers!A343,Raw_Volunteers!$D$2:$D$926,Raw_Volunteers!D343,Raw_Volunteers!$E$2:$E$926,Raw_Volunteers!E343,Raw_Volunteers!$G$2:$G$926,Raw_Volunteers!G343)&gt;1,"Possible Duplicate","")</f>
        <v/>
      </c>
      <c r="C343" s="9" t="str">
        <f aca="false">Raw_Volunteers!B343</f>
        <v>D1224</v>
      </c>
      <c r="D343" s="9" t="str">
        <f aca="false">IF(C343="","No","Yes")</f>
        <v>Yes</v>
      </c>
      <c r="E343" s="9" t="str">
        <f aca="false">Raw_Volunteers!C343</f>
        <v>Carol Garcia</v>
      </c>
      <c r="F343" s="9" t="str">
        <f aca="false">Raw_Volunteers!D343</f>
        <v>04/14/2026</v>
      </c>
      <c r="G343" s="9" t="str">
        <f aca="false">PROPER(TRIM(Raw_Volunteers!E343))</f>
        <v>Food Sorting</v>
      </c>
      <c r="H343" s="9" t="str">
        <f aca="false">Raw_Volunteers!F343</f>
        <v>Downtown Pantry</v>
      </c>
      <c r="I343" s="9" t="n">
        <f aca="false">IF(Raw_Volunteers!G343="",ROUND(AVERAGE(Raw_Volunteers!$G$2:$G$926),1),Raw_Volunteers!G343)</f>
        <v>2</v>
      </c>
    </row>
    <row r="344" customFormat="false" ht="15" hidden="false" customHeight="true" outlineLevel="0" collapsed="false">
      <c r="A344" s="9" t="str">
        <f aca="false">Raw_Volunteers!A344</f>
        <v>V2064</v>
      </c>
      <c r="B344" s="9" t="str">
        <f aca="false">IF(COUNTIFS(Raw_Volunteers!$A$2:$A$926,Raw_Volunteers!A344,Raw_Volunteers!$D$2:$D$926,Raw_Volunteers!D344,Raw_Volunteers!$E$2:$E$926,Raw_Volunteers!E344,Raw_Volunteers!$G$2:$G$926,Raw_Volunteers!G344)&gt;1,"Possible Duplicate","")</f>
        <v/>
      </c>
      <c r="C344" s="9" t="str">
        <f aca="false">Raw_Volunteers!B344</f>
        <v>D1224</v>
      </c>
      <c r="D344" s="9" t="str">
        <f aca="false">IF(C344="","No","Yes")</f>
        <v>Yes</v>
      </c>
      <c r="E344" s="9" t="str">
        <f aca="false">Raw_Volunteers!C344</f>
        <v>Carol Garcia</v>
      </c>
      <c r="F344" s="9" t="str">
        <f aca="false">Raw_Volunteers!D344</f>
        <v>03/30/2026</v>
      </c>
      <c r="G344" s="9" t="str">
        <f aca="false">PROPER(TRIM(Raw_Volunteers!E344))</f>
        <v>Holiday Box Packing</v>
      </c>
      <c r="H344" s="9" t="str">
        <f aca="false">Raw_Volunteers!F344</f>
        <v>Downtown Pantry</v>
      </c>
      <c r="I344" s="9" t="n">
        <f aca="false">IF(Raw_Volunteers!G344="",ROUND(AVERAGE(Raw_Volunteers!$G$2:$G$926),1),Raw_Volunteers!G344)</f>
        <v>3</v>
      </c>
    </row>
    <row r="345" customFormat="false" ht="15" hidden="false" customHeight="true" outlineLevel="0" collapsed="false">
      <c r="A345" s="9" t="str">
        <f aca="false">Raw_Volunteers!A345</f>
        <v>V2064</v>
      </c>
      <c r="B345" s="9" t="str">
        <f aca="false">IF(COUNTIFS(Raw_Volunteers!$A$2:$A$926,Raw_Volunteers!A345,Raw_Volunteers!$D$2:$D$926,Raw_Volunteers!D345,Raw_Volunteers!$E$2:$E$926,Raw_Volunteers!E345,Raw_Volunteers!$G$2:$G$926,Raw_Volunteers!G345)&gt;1,"Possible Duplicate","")</f>
        <v/>
      </c>
      <c r="C345" s="9" t="str">
        <f aca="false">Raw_Volunteers!B345</f>
        <v>D1224</v>
      </c>
      <c r="D345" s="9" t="str">
        <f aca="false">IF(C345="","No","Yes")</f>
        <v>Yes</v>
      </c>
      <c r="E345" s="9" t="str">
        <f aca="false">Raw_Volunteers!C345</f>
        <v>Carol Garcia</v>
      </c>
      <c r="F345" s="9" t="str">
        <f aca="false">Raw_Volunteers!D345</f>
        <v>03/06/2025</v>
      </c>
      <c r="G345" s="9" t="str">
        <f aca="false">PROPER(TRIM(Raw_Volunteers!E345))</f>
        <v>Food Sorting</v>
      </c>
      <c r="H345" s="9" t="str">
        <f aca="false">Raw_Volunteers!F345</f>
        <v>Mobile Unit - Route B</v>
      </c>
      <c r="I345" s="9" t="n">
        <f aca="false">IF(Raw_Volunteers!G345="",ROUND(AVERAGE(Raw_Volunteers!$G$2:$G$926),1),Raw_Volunteers!G345)</f>
        <v>2</v>
      </c>
    </row>
    <row r="346" customFormat="false" ht="15" hidden="false" customHeight="true" outlineLevel="0" collapsed="false">
      <c r="A346" s="9" t="str">
        <f aca="false">Raw_Volunteers!A346</f>
        <v>V2064</v>
      </c>
      <c r="B346" s="9" t="str">
        <f aca="false">IF(COUNTIFS(Raw_Volunteers!$A$2:$A$926,Raw_Volunteers!A346,Raw_Volunteers!$D$2:$D$926,Raw_Volunteers!D346,Raw_Volunteers!$E$2:$E$926,Raw_Volunteers!E346,Raw_Volunteers!$G$2:$G$926,Raw_Volunteers!G346)&gt;1,"Possible Duplicate","")</f>
        <v/>
      </c>
      <c r="C346" s="9" t="str">
        <f aca="false">Raw_Volunteers!B346</f>
        <v>D1224</v>
      </c>
      <c r="D346" s="9" t="str">
        <f aca="false">IF(C346="","No","Yes")</f>
        <v>Yes</v>
      </c>
      <c r="E346" s="9" t="str">
        <f aca="false">Raw_Volunteers!C346</f>
        <v>Carol Garcia</v>
      </c>
      <c r="F346" s="9" t="str">
        <f aca="false">Raw_Volunteers!D346</f>
        <v>07/10/2025</v>
      </c>
      <c r="G346" s="9" t="str">
        <f aca="false">PROPER(TRIM(Raw_Volunteers!E346))</f>
        <v>Client Intake Assistant</v>
      </c>
      <c r="H346" s="9" t="str">
        <f aca="false">Raw_Volunteers!F346</f>
        <v>Downtown Pantry</v>
      </c>
      <c r="I346" s="9" t="n">
        <f aca="false">IF(Raw_Volunteers!G346="",ROUND(AVERAGE(Raw_Volunteers!$G$2:$G$926),1),Raw_Volunteers!G346)</f>
        <v>6</v>
      </c>
    </row>
    <row r="347" customFormat="false" ht="15" hidden="false" customHeight="true" outlineLevel="0" collapsed="false">
      <c r="A347" s="9" t="str">
        <f aca="false">Raw_Volunteers!A347</f>
        <v>V2065</v>
      </c>
      <c r="B347" s="9" t="str">
        <f aca="false">IF(COUNTIFS(Raw_Volunteers!$A$2:$A$926,Raw_Volunteers!A347,Raw_Volunteers!$D$2:$D$926,Raw_Volunteers!D347,Raw_Volunteers!$E$2:$E$926,Raw_Volunteers!E347,Raw_Volunteers!$G$2:$G$926,Raw_Volunteers!G347)&gt;1,"Possible Duplicate","")</f>
        <v/>
      </c>
      <c r="C347" s="9" t="str">
        <f aca="false">Raw_Volunteers!B347</f>
        <v>D1695</v>
      </c>
      <c r="D347" s="9" t="str">
        <f aca="false">IF(C347="","No","Yes")</f>
        <v>Yes</v>
      </c>
      <c r="E347" s="9" t="str">
        <f aca="false">Raw_Volunteers!C347</f>
        <v>Linda Thomas</v>
      </c>
      <c r="F347" s="9" t="str">
        <f aca="false">Raw_Volunteers!D347</f>
        <v>03/01/2025</v>
      </c>
      <c r="G347" s="9" t="str">
        <f aca="false">PROPER(TRIM(Raw_Volunteers!E347))</f>
        <v>Pantry Stocking</v>
      </c>
      <c r="H347" s="9" t="str">
        <f aca="false">Raw_Volunteers!F347</f>
        <v>Community Center Site</v>
      </c>
      <c r="I347" s="9" t="n">
        <f aca="false">IF(Raw_Volunteers!G347="",ROUND(AVERAGE(Raw_Volunteers!$G$2:$G$926),1),Raw_Volunteers!G347)</f>
        <v>2</v>
      </c>
    </row>
    <row r="348" customFormat="false" ht="15" hidden="false" customHeight="true" outlineLevel="0" collapsed="false">
      <c r="A348" s="9" t="str">
        <f aca="false">Raw_Volunteers!A348</f>
        <v>V2065</v>
      </c>
      <c r="B348" s="9" t="str">
        <f aca="false">IF(COUNTIFS(Raw_Volunteers!$A$2:$A$926,Raw_Volunteers!A348,Raw_Volunteers!$D$2:$D$926,Raw_Volunteers!D348,Raw_Volunteers!$E$2:$E$926,Raw_Volunteers!E348,Raw_Volunteers!$G$2:$G$926,Raw_Volunteers!G348)&gt;1,"Possible Duplicate","")</f>
        <v/>
      </c>
      <c r="C348" s="9" t="str">
        <f aca="false">Raw_Volunteers!B348</f>
        <v>D1695</v>
      </c>
      <c r="D348" s="9" t="str">
        <f aca="false">IF(C348="","No","Yes")</f>
        <v>Yes</v>
      </c>
      <c r="E348" s="9" t="str">
        <f aca="false">Raw_Volunteers!C348</f>
        <v>Linda Thomas</v>
      </c>
      <c r="F348" s="9" t="str">
        <f aca="false">Raw_Volunteers!D348</f>
        <v>08/12/2025</v>
      </c>
      <c r="G348" s="9" t="str">
        <f aca="false">PROPER(TRIM(Raw_Volunteers!E348))</f>
        <v>Holiday Box Packing</v>
      </c>
      <c r="H348" s="9" t="str">
        <f aca="false">Raw_Volunteers!F348</f>
        <v>Mobile Unit - Route A</v>
      </c>
      <c r="I348" s="9" t="n">
        <f aca="false">IF(Raw_Volunteers!G348="",ROUND(AVERAGE(Raw_Volunteers!$G$2:$G$926),1),Raw_Volunteers!G348)</f>
        <v>2</v>
      </c>
    </row>
    <row r="349" customFormat="false" ht="15" hidden="false" customHeight="true" outlineLevel="0" collapsed="false">
      <c r="A349" s="9" t="str">
        <f aca="false">Raw_Volunteers!A349</f>
        <v>V2066</v>
      </c>
      <c r="B349" s="9" t="str">
        <f aca="false">IF(COUNTIFS(Raw_Volunteers!$A$2:$A$926,Raw_Volunteers!A349,Raw_Volunteers!$D$2:$D$926,Raw_Volunteers!D349,Raw_Volunteers!$E$2:$E$926,Raw_Volunteers!E349,Raw_Volunteers!$G$2:$G$926,Raw_Volunteers!G349)&gt;1,"Possible Duplicate","")</f>
        <v/>
      </c>
      <c r="C349" s="9" t="str">
        <f aca="false">Raw_Volunteers!B349</f>
        <v>D1209</v>
      </c>
      <c r="D349" s="9" t="str">
        <f aca="false">IF(C349="","No","Yes")</f>
        <v>Yes</v>
      </c>
      <c r="E349" s="9" t="str">
        <f aca="false">Raw_Volunteers!C349</f>
        <v>Patricia Davis</v>
      </c>
      <c r="F349" s="9" t="str">
        <f aca="false">Raw_Volunteers!D349</f>
        <v>04/30/2026</v>
      </c>
      <c r="G349" s="9" t="str">
        <f aca="false">PROPER(TRIM(Raw_Volunteers!E349))</f>
        <v>Event Setup</v>
      </c>
      <c r="H349" s="9" t="str">
        <f aca="false">Raw_Volunteers!F349</f>
        <v>Mobile Unit - Route A</v>
      </c>
      <c r="I349" s="9" t="n">
        <f aca="false">IF(Raw_Volunteers!G349="",ROUND(AVERAGE(Raw_Volunteers!$G$2:$G$926),1),Raw_Volunteers!G349)</f>
        <v>5</v>
      </c>
    </row>
    <row r="350" customFormat="false" ht="15" hidden="false" customHeight="true" outlineLevel="0" collapsed="false">
      <c r="A350" s="9" t="str">
        <f aca="false">Raw_Volunteers!A350</f>
        <v>V2066</v>
      </c>
      <c r="B350" s="9" t="str">
        <f aca="false">IF(COUNTIFS(Raw_Volunteers!$A$2:$A$926,Raw_Volunteers!A350,Raw_Volunteers!$D$2:$D$926,Raw_Volunteers!D350,Raw_Volunteers!$E$2:$E$926,Raw_Volunteers!E350,Raw_Volunteers!$G$2:$G$926,Raw_Volunteers!G350)&gt;1,"Possible Duplicate","")</f>
        <v/>
      </c>
      <c r="C350" s="9" t="str">
        <f aca="false">Raw_Volunteers!B350</f>
        <v>D1209</v>
      </c>
      <c r="D350" s="9" t="str">
        <f aca="false">IF(C350="","No","Yes")</f>
        <v>Yes</v>
      </c>
      <c r="E350" s="9" t="str">
        <f aca="false">Raw_Volunteers!C350</f>
        <v>Patricia Davis</v>
      </c>
      <c r="F350" s="9" t="str">
        <f aca="false">Raw_Volunteers!D350</f>
        <v>04/24/2024</v>
      </c>
      <c r="G350" s="9" t="str">
        <f aca="false">PROPER(TRIM(Raw_Volunteers!E350))</f>
        <v>Client Intake Assistant</v>
      </c>
      <c r="H350" s="9" t="str">
        <f aca="false">Raw_Volunteers!F350</f>
        <v>Mobile Unit - Route B</v>
      </c>
      <c r="I350" s="9" t="n">
        <f aca="false">IF(Raw_Volunteers!G350="",ROUND(AVERAGE(Raw_Volunteers!$G$2:$G$926),1),Raw_Volunteers!G350)</f>
        <v>2</v>
      </c>
    </row>
    <row r="351" customFormat="false" ht="15" hidden="false" customHeight="true" outlineLevel="0" collapsed="false">
      <c r="A351" s="9" t="str">
        <f aca="false">Raw_Volunteers!A351</f>
        <v>V2067</v>
      </c>
      <c r="B351" s="9" t="str">
        <f aca="false">IF(COUNTIFS(Raw_Volunteers!$A$2:$A$926,Raw_Volunteers!A351,Raw_Volunteers!$D$2:$D$926,Raw_Volunteers!D351,Raw_Volunteers!$E$2:$E$926,Raw_Volunteers!E351,Raw_Volunteers!$G$2:$G$926,Raw_Volunteers!G351)&gt;1,"Possible Duplicate","")</f>
        <v/>
      </c>
      <c r="C351" s="9" t="str">
        <f aca="false">Raw_Volunteers!B351</f>
        <v>D1641</v>
      </c>
      <c r="D351" s="9" t="str">
        <f aca="false">IF(C351="","No","Yes")</f>
        <v>Yes</v>
      </c>
      <c r="E351" s="9" t="str">
        <f aca="false">Raw_Volunteers!C351</f>
        <v>Karen Flores</v>
      </c>
      <c r="F351" s="9" t="str">
        <f aca="false">Raw_Volunteers!D351</f>
        <v>10/21/2024</v>
      </c>
      <c r="G351" s="9" t="str">
        <f aca="false">PROPER(TRIM(Raw_Volunteers!E351))</f>
        <v>Warehouse Loading</v>
      </c>
      <c r="H351" s="9" t="str">
        <f aca="false">Raw_Volunteers!F351</f>
        <v>Mobile Unit - Route A</v>
      </c>
      <c r="I351" s="9" t="n">
        <f aca="false">IF(Raw_Volunteers!G351="",ROUND(AVERAGE(Raw_Volunteers!$G$2:$G$926),1),Raw_Volunteers!G351)</f>
        <v>2</v>
      </c>
    </row>
    <row r="352" customFormat="false" ht="15" hidden="false" customHeight="true" outlineLevel="0" collapsed="false">
      <c r="A352" s="9" t="str">
        <f aca="false">Raw_Volunteers!A352</f>
        <v>V2067</v>
      </c>
      <c r="B352" s="9" t="str">
        <f aca="false">IF(COUNTIFS(Raw_Volunteers!$A$2:$A$926,Raw_Volunteers!A352,Raw_Volunteers!$D$2:$D$926,Raw_Volunteers!D352,Raw_Volunteers!$E$2:$E$926,Raw_Volunteers!E352,Raw_Volunteers!$G$2:$G$926,Raw_Volunteers!G352)&gt;1,"Possible Duplicate","")</f>
        <v/>
      </c>
      <c r="C352" s="9" t="str">
        <f aca="false">Raw_Volunteers!B352</f>
        <v>D1641</v>
      </c>
      <c r="D352" s="9" t="str">
        <f aca="false">IF(C352="","No","Yes")</f>
        <v>Yes</v>
      </c>
      <c r="E352" s="9" t="str">
        <f aca="false">Raw_Volunteers!C352</f>
        <v>Karen Flores</v>
      </c>
      <c r="F352" s="9" t="str">
        <f aca="false">Raw_Volunteers!D352</f>
        <v>09/20/2024</v>
      </c>
      <c r="G352" s="9" t="str">
        <f aca="false">PROPER(TRIM(Raw_Volunteers!E352))</f>
        <v>Holiday Box Packing</v>
      </c>
      <c r="H352" s="9" t="str">
        <f aca="false">Raw_Volunteers!F352</f>
        <v>Mobile Unit - Route A</v>
      </c>
      <c r="I352" s="9" t="n">
        <f aca="false">IF(Raw_Volunteers!G352="",ROUND(AVERAGE(Raw_Volunteers!$G$2:$G$926),1),Raw_Volunteers!G352)</f>
        <v>3</v>
      </c>
    </row>
    <row r="353" customFormat="false" ht="15" hidden="false" customHeight="true" outlineLevel="0" collapsed="false">
      <c r="A353" s="9" t="str">
        <f aca="false">Raw_Volunteers!A353</f>
        <v>V2067</v>
      </c>
      <c r="B353" s="9" t="str">
        <f aca="false">IF(COUNTIFS(Raw_Volunteers!$A$2:$A$926,Raw_Volunteers!A353,Raw_Volunteers!$D$2:$D$926,Raw_Volunteers!D353,Raw_Volunteers!$E$2:$E$926,Raw_Volunteers!E353,Raw_Volunteers!$G$2:$G$926,Raw_Volunteers!G353)&gt;1,"Possible Duplicate","")</f>
        <v/>
      </c>
      <c r="C353" s="9" t="str">
        <f aca="false">Raw_Volunteers!B353</f>
        <v>D1641</v>
      </c>
      <c r="D353" s="9" t="str">
        <f aca="false">IF(C353="","No","Yes")</f>
        <v>Yes</v>
      </c>
      <c r="E353" s="9" t="str">
        <f aca="false">Raw_Volunteers!C353</f>
        <v>Karen Flores</v>
      </c>
      <c r="F353" s="9" t="str">
        <f aca="false">Raw_Volunteers!D353</f>
        <v>07/26/2024</v>
      </c>
      <c r="G353" s="9" t="str">
        <f aca="false">PROPER(TRIM(Raw_Volunteers!E353))</f>
        <v>Food Sorting</v>
      </c>
      <c r="H353" s="9" t="str">
        <f aca="false">Raw_Volunteers!F353</f>
        <v>Main Warehouse</v>
      </c>
      <c r="I353" s="9" t="n">
        <f aca="false">IF(Raw_Volunteers!G353="",ROUND(AVERAGE(Raw_Volunteers!$G$2:$G$926),1),Raw_Volunteers!G353)</f>
        <v>3</v>
      </c>
    </row>
    <row r="354" customFormat="false" ht="15" hidden="false" customHeight="true" outlineLevel="0" collapsed="false">
      <c r="A354" s="9" t="str">
        <f aca="false">Raw_Volunteers!A354</f>
        <v>V2067</v>
      </c>
      <c r="B354" s="9" t="str">
        <f aca="false">IF(COUNTIFS(Raw_Volunteers!$A$2:$A$926,Raw_Volunteers!A354,Raw_Volunteers!$D$2:$D$926,Raw_Volunteers!D354,Raw_Volunteers!$E$2:$E$926,Raw_Volunteers!E354,Raw_Volunteers!$G$2:$G$926,Raw_Volunteers!G354)&gt;1,"Possible Duplicate","")</f>
        <v/>
      </c>
      <c r="C354" s="9" t="str">
        <f aca="false">Raw_Volunteers!B354</f>
        <v>D1641</v>
      </c>
      <c r="D354" s="9" t="str">
        <f aca="false">IF(C354="","No","Yes")</f>
        <v>Yes</v>
      </c>
      <c r="E354" s="9" t="str">
        <f aca="false">Raw_Volunteers!C354</f>
        <v>Karen Flores</v>
      </c>
      <c r="F354" s="9" t="str">
        <f aca="false">Raw_Volunteers!D354</f>
        <v>03/25/2024</v>
      </c>
      <c r="G354" s="9" t="str">
        <f aca="false">PROPER(TRIM(Raw_Volunteers!E354))</f>
        <v>Front Desk Greeter</v>
      </c>
      <c r="H354" s="9" t="str">
        <f aca="false">Raw_Volunteers!F354</f>
        <v>Downtown Pantry</v>
      </c>
      <c r="I354" s="9" t="n">
        <f aca="false">IF(Raw_Volunteers!G354="",ROUND(AVERAGE(Raw_Volunteers!$G$2:$G$926),1),Raw_Volunteers!G354)</f>
        <v>3</v>
      </c>
    </row>
    <row r="355" customFormat="false" ht="15" hidden="false" customHeight="true" outlineLevel="0" collapsed="false">
      <c r="A355" s="9" t="str">
        <f aca="false">Raw_Volunteers!A355</f>
        <v>V2067</v>
      </c>
      <c r="B355" s="9" t="str">
        <f aca="false">IF(COUNTIFS(Raw_Volunteers!$A$2:$A$926,Raw_Volunteers!A355,Raw_Volunteers!$D$2:$D$926,Raw_Volunteers!D355,Raw_Volunteers!$E$2:$E$926,Raw_Volunteers!E355,Raw_Volunteers!$G$2:$G$926,Raw_Volunteers!G355)&gt;1,"Possible Duplicate","")</f>
        <v/>
      </c>
      <c r="C355" s="9" t="str">
        <f aca="false">Raw_Volunteers!B355</f>
        <v>D1641</v>
      </c>
      <c r="D355" s="9" t="str">
        <f aca="false">IF(C355="","No","Yes")</f>
        <v>Yes</v>
      </c>
      <c r="E355" s="9" t="str">
        <f aca="false">Raw_Volunteers!C355</f>
        <v>Karen Flores</v>
      </c>
      <c r="F355" s="9" t="str">
        <f aca="false">Raw_Volunteers!D355</f>
        <v>08/12/2024</v>
      </c>
      <c r="G355" s="9" t="str">
        <f aca="false">PROPER(TRIM(Raw_Volunteers!E355))</f>
        <v>Mobile Distribution Driver</v>
      </c>
      <c r="H355" s="9" t="str">
        <f aca="false">Raw_Volunteers!F355</f>
        <v>Downtown Pantry</v>
      </c>
      <c r="I355" s="9" t="n">
        <f aca="false">IF(Raw_Volunteers!G355="",ROUND(AVERAGE(Raw_Volunteers!$G$2:$G$926),1),Raw_Volunteers!G355)</f>
        <v>3</v>
      </c>
    </row>
    <row r="356" customFormat="false" ht="15" hidden="false" customHeight="true" outlineLevel="0" collapsed="false">
      <c r="A356" s="9" t="str">
        <f aca="false">Raw_Volunteers!A356</f>
        <v>V2067</v>
      </c>
      <c r="B356" s="9" t="str">
        <f aca="false">IF(COUNTIFS(Raw_Volunteers!$A$2:$A$926,Raw_Volunteers!A356,Raw_Volunteers!$D$2:$D$926,Raw_Volunteers!D356,Raw_Volunteers!$E$2:$E$926,Raw_Volunteers!E356,Raw_Volunteers!$G$2:$G$926,Raw_Volunteers!G356)&gt;1,"Possible Duplicate","")</f>
        <v/>
      </c>
      <c r="C356" s="9" t="str">
        <f aca="false">Raw_Volunteers!B356</f>
        <v>D1641</v>
      </c>
      <c r="D356" s="9" t="str">
        <f aca="false">IF(C356="","No","Yes")</f>
        <v>Yes</v>
      </c>
      <c r="E356" s="9" t="str">
        <f aca="false">Raw_Volunteers!C356</f>
        <v>Karen Flores</v>
      </c>
      <c r="F356" s="9" t="str">
        <f aca="false">Raw_Volunteers!D356</f>
        <v>10/11/2025</v>
      </c>
      <c r="G356" s="9" t="str">
        <f aca="false">PROPER(TRIM(Raw_Volunteers!E356))</f>
        <v>Event Setup</v>
      </c>
      <c r="H356" s="9" t="str">
        <f aca="false">Raw_Volunteers!F356</f>
        <v>Downtown Pantry</v>
      </c>
      <c r="I356" s="9" t="n">
        <f aca="false">IF(Raw_Volunteers!G356="",ROUND(AVERAGE(Raw_Volunteers!$G$2:$G$926),1),Raw_Volunteers!G356)</f>
        <v>3</v>
      </c>
    </row>
    <row r="357" customFormat="false" ht="15" hidden="false" customHeight="true" outlineLevel="0" collapsed="false">
      <c r="A357" s="9" t="str">
        <f aca="false">Raw_Volunteers!A357</f>
        <v>V2067</v>
      </c>
      <c r="B357" s="9" t="str">
        <f aca="false">IF(COUNTIFS(Raw_Volunteers!$A$2:$A$926,Raw_Volunteers!A357,Raw_Volunteers!$D$2:$D$926,Raw_Volunteers!D357,Raw_Volunteers!$E$2:$E$926,Raw_Volunteers!E357,Raw_Volunteers!$G$2:$G$926,Raw_Volunteers!G357)&gt;1,"Possible Duplicate","")</f>
        <v/>
      </c>
      <c r="C357" s="9" t="str">
        <f aca="false">Raw_Volunteers!B357</f>
        <v>D1641</v>
      </c>
      <c r="D357" s="9" t="str">
        <f aca="false">IF(C357="","No","Yes")</f>
        <v>Yes</v>
      </c>
      <c r="E357" s="9" t="str">
        <f aca="false">Raw_Volunteers!C357</f>
        <v>Karen Flores</v>
      </c>
      <c r="F357" s="9" t="str">
        <f aca="false">Raw_Volunteers!D357</f>
        <v>11/28/2024</v>
      </c>
      <c r="G357" s="9" t="str">
        <f aca="false">PROPER(TRIM(Raw_Volunteers!E357))</f>
        <v>Food Sorting</v>
      </c>
      <c r="H357" s="9" t="str">
        <f aca="false">Raw_Volunteers!F357</f>
        <v>Mobile Unit - Route A</v>
      </c>
      <c r="I357" s="9" t="n">
        <f aca="false">IF(Raw_Volunteers!G357="",ROUND(AVERAGE(Raw_Volunteers!$G$2:$G$926),1),Raw_Volunteers!G357)</f>
        <v>2</v>
      </c>
    </row>
    <row r="358" customFormat="false" ht="15" hidden="false" customHeight="true" outlineLevel="0" collapsed="false">
      <c r="A358" s="9" t="str">
        <f aca="false">Raw_Volunteers!A358</f>
        <v>V2067</v>
      </c>
      <c r="B358" s="9" t="str">
        <f aca="false">IF(COUNTIFS(Raw_Volunteers!$A$2:$A$926,Raw_Volunteers!A358,Raw_Volunteers!$D$2:$D$926,Raw_Volunteers!D358,Raw_Volunteers!$E$2:$E$926,Raw_Volunteers!E358,Raw_Volunteers!$G$2:$G$926,Raw_Volunteers!G358)&gt;1,"Possible Duplicate","")</f>
        <v/>
      </c>
      <c r="C358" s="9" t="str">
        <f aca="false">Raw_Volunteers!B358</f>
        <v>D1641</v>
      </c>
      <c r="D358" s="9" t="str">
        <f aca="false">IF(C358="","No","Yes")</f>
        <v>Yes</v>
      </c>
      <c r="E358" s="9" t="str">
        <f aca="false">Raw_Volunteers!C358</f>
        <v>Karen Flores</v>
      </c>
      <c r="F358" s="9" t="str">
        <f aca="false">Raw_Volunteers!D358</f>
        <v>01/11/2024</v>
      </c>
      <c r="G358" s="9" t="str">
        <f aca="false">PROPER(TRIM(Raw_Volunteers!E358))</f>
        <v>Event Setup</v>
      </c>
      <c r="H358" s="9" t="str">
        <f aca="false">Raw_Volunteers!F358</f>
        <v>Mobile Unit - Route B</v>
      </c>
      <c r="I358" s="9" t="n">
        <f aca="false">IF(Raw_Volunteers!G358="",ROUND(AVERAGE(Raw_Volunteers!$G$2:$G$926),1),Raw_Volunteers!G358)</f>
        <v>4</v>
      </c>
    </row>
    <row r="359" customFormat="false" ht="15" hidden="false" customHeight="true" outlineLevel="0" collapsed="false">
      <c r="A359" s="9" t="str">
        <f aca="false">Raw_Volunteers!A359</f>
        <v>V2067</v>
      </c>
      <c r="B359" s="9" t="str">
        <f aca="false">IF(COUNTIFS(Raw_Volunteers!$A$2:$A$926,Raw_Volunteers!A359,Raw_Volunteers!$D$2:$D$926,Raw_Volunteers!D359,Raw_Volunteers!$E$2:$E$926,Raw_Volunteers!E359,Raw_Volunteers!$G$2:$G$926,Raw_Volunteers!G359)&gt;1,"Possible Duplicate","")</f>
        <v/>
      </c>
      <c r="C359" s="9" t="str">
        <f aca="false">Raw_Volunteers!B359</f>
        <v>D1641</v>
      </c>
      <c r="D359" s="9" t="str">
        <f aca="false">IF(C359="","No","Yes")</f>
        <v>Yes</v>
      </c>
      <c r="E359" s="9" t="str">
        <f aca="false">Raw_Volunteers!C359</f>
        <v>Karen Flores</v>
      </c>
      <c r="F359" s="9" t="str">
        <f aca="false">Raw_Volunteers!D359</f>
        <v>12/19/2024</v>
      </c>
      <c r="G359" s="9" t="str">
        <f aca="false">PROPER(TRIM(Raw_Volunteers!E359))</f>
        <v>Front Desk Greeter</v>
      </c>
      <c r="H359" s="9" t="str">
        <f aca="false">Raw_Volunteers!F359</f>
        <v>Main Warehouse</v>
      </c>
      <c r="I359" s="9" t="n">
        <f aca="false">IF(Raw_Volunteers!G359="",ROUND(AVERAGE(Raw_Volunteers!$G$2:$G$926),1),Raw_Volunteers!G359)</f>
        <v>2</v>
      </c>
    </row>
    <row r="360" customFormat="false" ht="15" hidden="false" customHeight="true" outlineLevel="0" collapsed="false">
      <c r="A360" s="9" t="str">
        <f aca="false">Raw_Volunteers!A360</f>
        <v>V2067</v>
      </c>
      <c r="B360" s="9" t="str">
        <f aca="false">IF(COUNTIFS(Raw_Volunteers!$A$2:$A$926,Raw_Volunteers!A360,Raw_Volunteers!$D$2:$D$926,Raw_Volunteers!D360,Raw_Volunteers!$E$2:$E$926,Raw_Volunteers!E360,Raw_Volunteers!$G$2:$G$926,Raw_Volunteers!G360)&gt;1,"Possible Duplicate","")</f>
        <v/>
      </c>
      <c r="C360" s="9" t="str">
        <f aca="false">Raw_Volunteers!B360</f>
        <v>D1641</v>
      </c>
      <c r="D360" s="9" t="str">
        <f aca="false">IF(C360="","No","Yes")</f>
        <v>Yes</v>
      </c>
      <c r="E360" s="9" t="str">
        <f aca="false">Raw_Volunteers!C360</f>
        <v>Karen Flores</v>
      </c>
      <c r="F360" s="9" t="str">
        <f aca="false">Raw_Volunteers!D360</f>
        <v>10/08/2024</v>
      </c>
      <c r="G360" s="9" t="str">
        <f aca="false">PROPER(TRIM(Raw_Volunteers!E360))</f>
        <v>Event Setup</v>
      </c>
      <c r="H360" s="9" t="str">
        <f aca="false">Raw_Volunteers!F360</f>
        <v>Community Center Site</v>
      </c>
      <c r="I360" s="9" t="n">
        <f aca="false">IF(Raw_Volunteers!G360="",ROUND(AVERAGE(Raw_Volunteers!$G$2:$G$926),1),Raw_Volunteers!G360)</f>
        <v>3</v>
      </c>
    </row>
    <row r="361" customFormat="false" ht="15" hidden="false" customHeight="true" outlineLevel="0" collapsed="false">
      <c r="A361" s="9" t="str">
        <f aca="false">Raw_Volunteers!A361</f>
        <v>V2068</v>
      </c>
      <c r="B361" s="9" t="str">
        <f aca="false">IF(COUNTIFS(Raw_Volunteers!$A$2:$A$926,Raw_Volunteers!A361,Raw_Volunteers!$D$2:$D$926,Raw_Volunteers!D361,Raw_Volunteers!$E$2:$E$926,Raw_Volunteers!E361,Raw_Volunteers!$G$2:$G$926,Raw_Volunteers!G361)&gt;1,"Possible Duplicate","")</f>
        <v/>
      </c>
      <c r="C361" s="9" t="str">
        <f aca="false">Raw_Volunteers!B361</f>
        <v>D1552</v>
      </c>
      <c r="D361" s="9" t="str">
        <f aca="false">IF(C361="","No","Yes")</f>
        <v>Yes</v>
      </c>
      <c r="E361" s="9" t="str">
        <f aca="false">Raw_Volunteers!C361</f>
        <v>Donald Clark</v>
      </c>
      <c r="F361" s="9" t="str">
        <f aca="false">Raw_Volunteers!D361</f>
        <v>11/14/2025</v>
      </c>
      <c r="G361" s="9" t="str">
        <f aca="false">PROPER(TRIM(Raw_Volunteers!E361))</f>
        <v>Holiday Box Packing</v>
      </c>
      <c r="H361" s="9" t="str">
        <f aca="false">Raw_Volunteers!F361</f>
        <v>Main Warehouse</v>
      </c>
      <c r="I361" s="9" t="n">
        <f aca="false">IF(Raw_Volunteers!G361="",ROUND(AVERAGE(Raw_Volunteers!$G$2:$G$926),1),Raw_Volunteers!G361)</f>
        <v>6</v>
      </c>
    </row>
    <row r="362" customFormat="false" ht="15" hidden="false" customHeight="true" outlineLevel="0" collapsed="false">
      <c r="A362" s="9" t="str">
        <f aca="false">Raw_Volunteers!A362</f>
        <v>V2068</v>
      </c>
      <c r="B362" s="9" t="str">
        <f aca="false">IF(COUNTIFS(Raw_Volunteers!$A$2:$A$926,Raw_Volunteers!A362,Raw_Volunteers!$D$2:$D$926,Raw_Volunteers!D362,Raw_Volunteers!$E$2:$E$926,Raw_Volunteers!E362,Raw_Volunteers!$G$2:$G$926,Raw_Volunteers!G362)&gt;1,"Possible Duplicate","")</f>
        <v/>
      </c>
      <c r="C362" s="9" t="str">
        <f aca="false">Raw_Volunteers!B362</f>
        <v>D1552</v>
      </c>
      <c r="D362" s="9" t="str">
        <f aca="false">IF(C362="","No","Yes")</f>
        <v>Yes</v>
      </c>
      <c r="E362" s="9" t="str">
        <f aca="false">Raw_Volunteers!C362</f>
        <v>Donald Clark</v>
      </c>
      <c r="F362" s="9" t="str">
        <f aca="false">Raw_Volunteers!D362</f>
        <v>05/23/2024</v>
      </c>
      <c r="G362" s="9" t="str">
        <f aca="false">PROPER(TRIM(Raw_Volunteers!E362))</f>
        <v>Food Sorting</v>
      </c>
      <c r="H362" s="9" t="str">
        <f aca="false">Raw_Volunteers!F362</f>
        <v>Community Center Site</v>
      </c>
      <c r="I362" s="9" t="n">
        <f aca="false">IF(Raw_Volunteers!G362="",ROUND(AVERAGE(Raw_Volunteers!$G$2:$G$926),1),Raw_Volunteers!G362)</f>
        <v>3</v>
      </c>
    </row>
    <row r="363" customFormat="false" ht="15" hidden="false" customHeight="true" outlineLevel="0" collapsed="false">
      <c r="A363" s="9" t="str">
        <f aca="false">Raw_Volunteers!A363</f>
        <v>V2069</v>
      </c>
      <c r="B363" s="9" t="str">
        <f aca="false">IF(COUNTIFS(Raw_Volunteers!$A$2:$A$926,Raw_Volunteers!A363,Raw_Volunteers!$D$2:$D$926,Raw_Volunteers!D363,Raw_Volunteers!$E$2:$E$926,Raw_Volunteers!E363,Raw_Volunteers!$G$2:$G$926,Raw_Volunteers!G363)&gt;1,"Possible Duplicate","")</f>
        <v/>
      </c>
      <c r="C363" s="9" t="str">
        <f aca="false">Raw_Volunteers!B363</f>
        <v>D1316</v>
      </c>
      <c r="D363" s="9" t="str">
        <f aca="false">IF(C363="","No","Yes")</f>
        <v>Yes</v>
      </c>
      <c r="E363" s="9" t="str">
        <f aca="false">Raw_Volunteers!C363</f>
        <v>Christopher Hill</v>
      </c>
      <c r="F363" s="9" t="str">
        <f aca="false">Raw_Volunteers!D363</f>
        <v>02/08/2026</v>
      </c>
      <c r="G363" s="9" t="str">
        <f aca="false">PROPER(TRIM(Raw_Volunteers!E363))</f>
        <v>Client Intake Assistant</v>
      </c>
      <c r="H363" s="9" t="str">
        <f aca="false">Raw_Volunteers!F363</f>
        <v>Mobile Unit - Route B</v>
      </c>
      <c r="I363" s="9" t="n">
        <f aca="false">IF(Raw_Volunteers!G363="",ROUND(AVERAGE(Raw_Volunteers!$G$2:$G$926),1),Raw_Volunteers!G363)</f>
        <v>2</v>
      </c>
    </row>
    <row r="364" customFormat="false" ht="15" hidden="false" customHeight="true" outlineLevel="0" collapsed="false">
      <c r="A364" s="9" t="str">
        <f aca="false">Raw_Volunteers!A364</f>
        <v>V2069</v>
      </c>
      <c r="B364" s="9" t="str">
        <f aca="false">IF(COUNTIFS(Raw_Volunteers!$A$2:$A$926,Raw_Volunteers!A364,Raw_Volunteers!$D$2:$D$926,Raw_Volunteers!D364,Raw_Volunteers!$E$2:$E$926,Raw_Volunteers!E364,Raw_Volunteers!$G$2:$G$926,Raw_Volunteers!G364)&gt;1,"Possible Duplicate","")</f>
        <v/>
      </c>
      <c r="C364" s="9" t="str">
        <f aca="false">Raw_Volunteers!B364</f>
        <v>D1316</v>
      </c>
      <c r="D364" s="9" t="str">
        <f aca="false">IF(C364="","No","Yes")</f>
        <v>Yes</v>
      </c>
      <c r="E364" s="9" t="str">
        <f aca="false">Raw_Volunteers!C364</f>
        <v>Christopher Hill</v>
      </c>
      <c r="F364" s="9" t="str">
        <f aca="false">Raw_Volunteers!D364</f>
        <v>11/27/2025</v>
      </c>
      <c r="G364" s="9" t="str">
        <f aca="false">PROPER(TRIM(Raw_Volunteers!E364))</f>
        <v>Warehouse Loading</v>
      </c>
      <c r="H364" s="9" t="str">
        <f aca="false">Raw_Volunteers!F364</f>
        <v>Main Warehouse</v>
      </c>
      <c r="I364" s="9" t="n">
        <f aca="false">IF(Raw_Volunteers!G364="",ROUND(AVERAGE(Raw_Volunteers!$G$2:$G$926),1),Raw_Volunteers!G364)</f>
        <v>6</v>
      </c>
    </row>
    <row r="365" customFormat="false" ht="15" hidden="false" customHeight="true" outlineLevel="0" collapsed="false">
      <c r="A365" s="9" t="str">
        <f aca="false">Raw_Volunteers!A365</f>
        <v>V2069</v>
      </c>
      <c r="B365" s="9" t="str">
        <f aca="false">IF(COUNTIFS(Raw_Volunteers!$A$2:$A$926,Raw_Volunteers!A365,Raw_Volunteers!$D$2:$D$926,Raw_Volunteers!D365,Raw_Volunteers!$E$2:$E$926,Raw_Volunteers!E365,Raw_Volunteers!$G$2:$G$926,Raw_Volunteers!G365)&gt;1,"Possible Duplicate","")</f>
        <v/>
      </c>
      <c r="C365" s="9" t="str">
        <f aca="false">Raw_Volunteers!B365</f>
        <v>D1316</v>
      </c>
      <c r="D365" s="9" t="str">
        <f aca="false">IF(C365="","No","Yes")</f>
        <v>Yes</v>
      </c>
      <c r="E365" s="9" t="str">
        <f aca="false">Raw_Volunteers!C365</f>
        <v>Christopher Hill</v>
      </c>
      <c r="F365" s="9" t="str">
        <f aca="false">Raw_Volunteers!D365</f>
        <v>01/11/2024</v>
      </c>
      <c r="G365" s="9" t="str">
        <f aca="false">PROPER(TRIM(Raw_Volunteers!E365))</f>
        <v>Mobile Distribution Driver</v>
      </c>
      <c r="H365" s="9" t="str">
        <f aca="false">Raw_Volunteers!F365</f>
        <v>Mobile Unit - Route A</v>
      </c>
      <c r="I365" s="9" t="n">
        <f aca="false">IF(Raw_Volunteers!G365="",ROUND(AVERAGE(Raw_Volunteers!$G$2:$G$926),1),Raw_Volunteers!G365)</f>
        <v>2</v>
      </c>
    </row>
    <row r="366" customFormat="false" ht="15" hidden="false" customHeight="true" outlineLevel="0" collapsed="false">
      <c r="A366" s="9" t="str">
        <f aca="false">Raw_Volunteers!A366</f>
        <v>V2070</v>
      </c>
      <c r="B366" s="9" t="str">
        <f aca="false">IF(COUNTIFS(Raw_Volunteers!$A$2:$A$926,Raw_Volunteers!A366,Raw_Volunteers!$D$2:$D$926,Raw_Volunteers!D366,Raw_Volunteers!$E$2:$E$926,Raw_Volunteers!E366,Raw_Volunteers!$G$2:$G$926,Raw_Volunteers!G366)&gt;1,"Possible Duplicate","")</f>
        <v/>
      </c>
      <c r="C366" s="9" t="str">
        <f aca="false">Raw_Volunteers!B366</f>
        <v>D1458</v>
      </c>
      <c r="D366" s="9" t="str">
        <f aca="false">IF(C366="","No","Yes")</f>
        <v>Yes</v>
      </c>
      <c r="E366" s="9" t="str">
        <f aca="false">Raw_Volunteers!C366</f>
        <v>William Flores</v>
      </c>
      <c r="F366" s="9" t="str">
        <f aca="false">Raw_Volunteers!D366</f>
        <v>08/02/2025</v>
      </c>
      <c r="G366" s="9" t="str">
        <f aca="false">PROPER(TRIM(Raw_Volunteers!E366))</f>
        <v>Front Desk Greeter</v>
      </c>
      <c r="H366" s="9" t="str">
        <f aca="false">Raw_Volunteers!F366</f>
        <v>Downtown Pantry</v>
      </c>
      <c r="I366" s="9" t="n">
        <f aca="false">IF(Raw_Volunteers!G366="",ROUND(AVERAGE(Raw_Volunteers!$G$2:$G$926),1),Raw_Volunteers!G366)</f>
        <v>3</v>
      </c>
    </row>
    <row r="367" customFormat="false" ht="15" hidden="false" customHeight="true" outlineLevel="0" collapsed="false">
      <c r="A367" s="9" t="str">
        <f aca="false">Raw_Volunteers!A367</f>
        <v>V2070</v>
      </c>
      <c r="B367" s="9" t="str">
        <f aca="false">IF(COUNTIFS(Raw_Volunteers!$A$2:$A$926,Raw_Volunteers!A367,Raw_Volunteers!$D$2:$D$926,Raw_Volunteers!D367,Raw_Volunteers!$E$2:$E$926,Raw_Volunteers!E367,Raw_Volunteers!$G$2:$G$926,Raw_Volunteers!G367)&gt;1,"Possible Duplicate","")</f>
        <v/>
      </c>
      <c r="C367" s="9" t="str">
        <f aca="false">Raw_Volunteers!B367</f>
        <v>D1458</v>
      </c>
      <c r="D367" s="9" t="str">
        <f aca="false">IF(C367="","No","Yes")</f>
        <v>Yes</v>
      </c>
      <c r="E367" s="9" t="str">
        <f aca="false">Raw_Volunteers!C367</f>
        <v>William Flores</v>
      </c>
      <c r="F367" s="9" t="str">
        <f aca="false">Raw_Volunteers!D367</f>
        <v>03/03/2026</v>
      </c>
      <c r="G367" s="9" t="str">
        <f aca="false">PROPER(TRIM(Raw_Volunteers!E367))</f>
        <v>Warehouse Loading</v>
      </c>
      <c r="H367" s="9" t="str">
        <f aca="false">Raw_Volunteers!F367</f>
        <v>Mobile Unit - Route A</v>
      </c>
      <c r="I367" s="9" t="n">
        <f aca="false">IF(Raw_Volunteers!G367="",ROUND(AVERAGE(Raw_Volunteers!$G$2:$G$926),1),Raw_Volunteers!G367)</f>
        <v>2</v>
      </c>
    </row>
    <row r="368" customFormat="false" ht="15" hidden="false" customHeight="true" outlineLevel="0" collapsed="false">
      <c r="A368" s="9" t="str">
        <f aca="false">Raw_Volunteers!A368</f>
        <v>V2071</v>
      </c>
      <c r="B368" s="9" t="str">
        <f aca="false">IF(COUNTIFS(Raw_Volunteers!$A$2:$A$926,Raw_Volunteers!A368,Raw_Volunteers!$D$2:$D$926,Raw_Volunteers!D368,Raw_Volunteers!$E$2:$E$926,Raw_Volunteers!E368,Raw_Volunteers!$G$2:$G$926,Raw_Volunteers!G368)&gt;1,"Possible Duplicate","")</f>
        <v/>
      </c>
      <c r="C368" s="9" t="str">
        <f aca="false">Raw_Volunteers!B368</f>
        <v>D1723</v>
      </c>
      <c r="D368" s="9" t="str">
        <f aca="false">IF(C368="","No","Yes")</f>
        <v>Yes</v>
      </c>
      <c r="E368" s="9" t="str">
        <f aca="false">Raw_Volunteers!C368</f>
        <v>William Wright</v>
      </c>
      <c r="F368" s="9" t="str">
        <f aca="false">Raw_Volunteers!D368</f>
        <v>03/31/2025</v>
      </c>
      <c r="G368" s="9" t="str">
        <f aca="false">PROPER(TRIM(Raw_Volunteers!E368))</f>
        <v>Front Desk Greeter</v>
      </c>
      <c r="H368" s="9" t="str">
        <f aca="false">Raw_Volunteers!F368</f>
        <v>Community Center Site</v>
      </c>
      <c r="I368" s="9" t="n">
        <f aca="false">IF(Raw_Volunteers!G368="",ROUND(AVERAGE(Raw_Volunteers!$G$2:$G$926),1),Raw_Volunteers!G368)</f>
        <v>3</v>
      </c>
    </row>
    <row r="369" customFormat="false" ht="15" hidden="false" customHeight="true" outlineLevel="0" collapsed="false">
      <c r="A369" s="9" t="str">
        <f aca="false">Raw_Volunteers!A369</f>
        <v>V2071</v>
      </c>
      <c r="B369" s="9" t="str">
        <f aca="false">IF(COUNTIFS(Raw_Volunteers!$A$2:$A$926,Raw_Volunteers!A369,Raw_Volunteers!$D$2:$D$926,Raw_Volunteers!D369,Raw_Volunteers!$E$2:$E$926,Raw_Volunteers!E369,Raw_Volunteers!$G$2:$G$926,Raw_Volunteers!G369)&gt;1,"Possible Duplicate","")</f>
        <v/>
      </c>
      <c r="C369" s="9" t="str">
        <f aca="false">Raw_Volunteers!B369</f>
        <v>D1723</v>
      </c>
      <c r="D369" s="9" t="str">
        <f aca="false">IF(C369="","No","Yes")</f>
        <v>Yes</v>
      </c>
      <c r="E369" s="9" t="str">
        <f aca="false">Raw_Volunteers!C369</f>
        <v>William Wright</v>
      </c>
      <c r="F369" s="9" t="str">
        <f aca="false">Raw_Volunteers!D369</f>
        <v>12/08/2024</v>
      </c>
      <c r="G369" s="9" t="str">
        <f aca="false">PROPER(TRIM(Raw_Volunteers!E369))</f>
        <v>Holiday Box Packing</v>
      </c>
      <c r="H369" s="9" t="str">
        <f aca="false">Raw_Volunteers!F369</f>
        <v>Main Warehouse</v>
      </c>
      <c r="I369" s="9" t="n">
        <f aca="false">IF(Raw_Volunteers!G369="",ROUND(AVERAGE(Raw_Volunteers!$G$2:$G$926),1),Raw_Volunteers!G369)</f>
        <v>3</v>
      </c>
    </row>
    <row r="370" customFormat="false" ht="15" hidden="false" customHeight="true" outlineLevel="0" collapsed="false">
      <c r="A370" s="9" t="str">
        <f aca="false">Raw_Volunteers!A370</f>
        <v>V2072</v>
      </c>
      <c r="B370" s="9" t="str">
        <f aca="false">IF(COUNTIFS(Raw_Volunteers!$A$2:$A$926,Raw_Volunteers!A370,Raw_Volunteers!$D$2:$D$926,Raw_Volunteers!D370,Raw_Volunteers!$E$2:$E$926,Raw_Volunteers!E370,Raw_Volunteers!$G$2:$G$926,Raw_Volunteers!G370)&gt;1,"Possible Duplicate","")</f>
        <v/>
      </c>
      <c r="C370" s="9" t="str">
        <f aca="false">Raw_Volunteers!B370</f>
        <v>D1170</v>
      </c>
      <c r="D370" s="9" t="str">
        <f aca="false">IF(C370="","No","Yes")</f>
        <v>Yes</v>
      </c>
      <c r="E370" s="9" t="str">
        <f aca="false">Raw_Volunteers!C370</f>
        <v>Deborah Jackson</v>
      </c>
      <c r="F370" s="9" t="str">
        <f aca="false">Raw_Volunteers!D370</f>
        <v>02/24/2026</v>
      </c>
      <c r="G370" s="9" t="str">
        <f aca="false">PROPER(TRIM(Raw_Volunteers!E370))</f>
        <v>Holiday Box Packing</v>
      </c>
      <c r="H370" s="9" t="str">
        <f aca="false">Raw_Volunteers!F370</f>
        <v>Mobile Unit - Route B</v>
      </c>
      <c r="I370" s="9" t="n">
        <f aca="false">IF(Raw_Volunteers!G370="",ROUND(AVERAGE(Raw_Volunteers!$G$2:$G$926),1),Raw_Volunteers!G370)</f>
        <v>2</v>
      </c>
    </row>
    <row r="371" customFormat="false" ht="15" hidden="false" customHeight="true" outlineLevel="0" collapsed="false">
      <c r="A371" s="9" t="str">
        <f aca="false">Raw_Volunteers!A371</f>
        <v>V2072</v>
      </c>
      <c r="B371" s="9" t="str">
        <f aca="false">IF(COUNTIFS(Raw_Volunteers!$A$2:$A$926,Raw_Volunteers!A371,Raw_Volunteers!$D$2:$D$926,Raw_Volunteers!D371,Raw_Volunteers!$E$2:$E$926,Raw_Volunteers!E371,Raw_Volunteers!$G$2:$G$926,Raw_Volunteers!G371)&gt;1,"Possible Duplicate","")</f>
        <v/>
      </c>
      <c r="C371" s="9" t="str">
        <f aca="false">Raw_Volunteers!B371</f>
        <v>D1170</v>
      </c>
      <c r="D371" s="9" t="str">
        <f aca="false">IF(C371="","No","Yes")</f>
        <v>Yes</v>
      </c>
      <c r="E371" s="9" t="str">
        <f aca="false">Raw_Volunteers!C371</f>
        <v>Deborah Jackson</v>
      </c>
      <c r="F371" s="9" t="str">
        <f aca="false">Raw_Volunteers!D371</f>
        <v>05/09/2026</v>
      </c>
      <c r="G371" s="9" t="str">
        <f aca="false">PROPER(TRIM(Raw_Volunteers!E371))</f>
        <v>Pantry Stocking</v>
      </c>
      <c r="H371" s="9" t="str">
        <f aca="false">Raw_Volunteers!F371</f>
        <v>Mobile Unit - Route B</v>
      </c>
      <c r="I371" s="9" t="n">
        <f aca="false">IF(Raw_Volunteers!G371="",ROUND(AVERAGE(Raw_Volunteers!$G$2:$G$926),1),Raw_Volunteers!G371)</f>
        <v>2</v>
      </c>
    </row>
    <row r="372" customFormat="false" ht="15" hidden="false" customHeight="true" outlineLevel="0" collapsed="false">
      <c r="A372" s="9" t="str">
        <f aca="false">Raw_Volunteers!A372</f>
        <v>V2072</v>
      </c>
      <c r="B372" s="9" t="str">
        <f aca="false">IF(COUNTIFS(Raw_Volunteers!$A$2:$A$926,Raw_Volunteers!A372,Raw_Volunteers!$D$2:$D$926,Raw_Volunteers!D372,Raw_Volunteers!$E$2:$E$926,Raw_Volunteers!E372,Raw_Volunteers!$G$2:$G$926,Raw_Volunteers!G372)&gt;1,"Possible Duplicate","")</f>
        <v/>
      </c>
      <c r="C372" s="9" t="str">
        <f aca="false">Raw_Volunteers!B372</f>
        <v>D1170</v>
      </c>
      <c r="D372" s="9" t="str">
        <f aca="false">IF(C372="","No","Yes")</f>
        <v>Yes</v>
      </c>
      <c r="E372" s="9" t="str">
        <f aca="false">Raw_Volunteers!C372</f>
        <v>Deborah Jackson</v>
      </c>
      <c r="F372" s="9" t="str">
        <f aca="false">Raw_Volunteers!D372</f>
        <v>02/16/2026</v>
      </c>
      <c r="G372" s="9" t="str">
        <f aca="false">PROPER(TRIM(Raw_Volunteers!E372))</f>
        <v>Mobile Distribution Driver</v>
      </c>
      <c r="H372" s="9" t="str">
        <f aca="false">Raw_Volunteers!F372</f>
        <v>Downtown Pantry</v>
      </c>
      <c r="I372" s="9" t="n">
        <f aca="false">IF(Raw_Volunteers!G372="",ROUND(AVERAGE(Raw_Volunteers!$G$2:$G$926),1),Raw_Volunteers!G372)</f>
        <v>4</v>
      </c>
    </row>
    <row r="373" customFormat="false" ht="15" hidden="false" customHeight="true" outlineLevel="0" collapsed="false">
      <c r="A373" s="9" t="str">
        <f aca="false">Raw_Volunteers!A373</f>
        <v>V2072</v>
      </c>
      <c r="B373" s="9" t="str">
        <f aca="false">IF(COUNTIFS(Raw_Volunteers!$A$2:$A$926,Raw_Volunteers!A373,Raw_Volunteers!$D$2:$D$926,Raw_Volunteers!D373,Raw_Volunteers!$E$2:$E$926,Raw_Volunteers!E373,Raw_Volunteers!$G$2:$G$926,Raw_Volunteers!G373)&gt;1,"Possible Duplicate","")</f>
        <v/>
      </c>
      <c r="C373" s="9" t="str">
        <f aca="false">Raw_Volunteers!B373</f>
        <v>D1170</v>
      </c>
      <c r="D373" s="9" t="str">
        <f aca="false">IF(C373="","No","Yes")</f>
        <v>Yes</v>
      </c>
      <c r="E373" s="9" t="str">
        <f aca="false">Raw_Volunteers!C373</f>
        <v>Deborah Jackson</v>
      </c>
      <c r="F373" s="9" t="str">
        <f aca="false">Raw_Volunteers!D373</f>
        <v>06/27/2024</v>
      </c>
      <c r="G373" s="9" t="str">
        <f aca="false">PROPER(TRIM(Raw_Volunteers!E373))</f>
        <v>Warehouse Loading</v>
      </c>
      <c r="H373" s="9" t="str">
        <f aca="false">Raw_Volunteers!F373</f>
        <v>Main Warehouse</v>
      </c>
      <c r="I373" s="9" t="n">
        <f aca="false">IF(Raw_Volunteers!G373="",ROUND(AVERAGE(Raw_Volunteers!$G$2:$G$926),1),Raw_Volunteers!G373)</f>
        <v>2</v>
      </c>
    </row>
    <row r="374" customFormat="false" ht="15" hidden="false" customHeight="true" outlineLevel="0" collapsed="false">
      <c r="A374" s="9" t="str">
        <f aca="false">Raw_Volunteers!A374</f>
        <v>V2073</v>
      </c>
      <c r="B374" s="9" t="str">
        <f aca="false">IF(COUNTIFS(Raw_Volunteers!$A$2:$A$926,Raw_Volunteers!A374,Raw_Volunteers!$D$2:$D$926,Raw_Volunteers!D374,Raw_Volunteers!$E$2:$E$926,Raw_Volunteers!E374,Raw_Volunteers!$G$2:$G$926,Raw_Volunteers!G374)&gt;1,"Possible Duplicate","")</f>
        <v/>
      </c>
      <c r="C374" s="9" t="str">
        <f aca="false">Raw_Volunteers!B374</f>
        <v>D1586</v>
      </c>
      <c r="D374" s="9" t="str">
        <f aca="false">IF(C374="","No","Yes")</f>
        <v>Yes</v>
      </c>
      <c r="E374" s="9" t="str">
        <f aca="false">Raw_Volunteers!C374</f>
        <v>Mary Lewis</v>
      </c>
      <c r="F374" s="9" t="str">
        <f aca="false">Raw_Volunteers!D374</f>
        <v>02/03/2024</v>
      </c>
      <c r="G374" s="9" t="str">
        <f aca="false">PROPER(TRIM(Raw_Volunteers!E374))</f>
        <v>Front Desk Greeter</v>
      </c>
      <c r="H374" s="9" t="str">
        <f aca="false">Raw_Volunteers!F374</f>
        <v>Downtown Pantry</v>
      </c>
      <c r="I374" s="9" t="n">
        <f aca="false">IF(Raw_Volunteers!G374="",ROUND(AVERAGE(Raw_Volunteers!$G$2:$G$926),1),Raw_Volunteers!G374)</f>
        <v>3</v>
      </c>
    </row>
    <row r="375" customFormat="false" ht="15" hidden="false" customHeight="true" outlineLevel="0" collapsed="false">
      <c r="A375" s="9" t="str">
        <f aca="false">Raw_Volunteers!A375</f>
        <v>V2073</v>
      </c>
      <c r="B375" s="9" t="str">
        <f aca="false">IF(COUNTIFS(Raw_Volunteers!$A$2:$A$926,Raw_Volunteers!A375,Raw_Volunteers!$D$2:$D$926,Raw_Volunteers!D375,Raw_Volunteers!$E$2:$E$926,Raw_Volunteers!E375,Raw_Volunteers!$G$2:$G$926,Raw_Volunteers!G375)&gt;1,"Possible Duplicate","")</f>
        <v/>
      </c>
      <c r="C375" s="9" t="str">
        <f aca="false">Raw_Volunteers!B375</f>
        <v>D1586</v>
      </c>
      <c r="D375" s="9" t="str">
        <f aca="false">IF(C375="","No","Yes")</f>
        <v>Yes</v>
      </c>
      <c r="E375" s="9" t="str">
        <f aca="false">Raw_Volunteers!C375</f>
        <v>Mary Lewis</v>
      </c>
      <c r="F375" s="9" t="str">
        <f aca="false">Raw_Volunteers!D375</f>
        <v>01/03/2025</v>
      </c>
      <c r="G375" s="9" t="str">
        <f aca="false">PROPER(TRIM(Raw_Volunteers!E375))</f>
        <v>Warehouse Loading</v>
      </c>
      <c r="H375" s="9" t="str">
        <f aca="false">Raw_Volunteers!F375</f>
        <v>Downtown Pantry</v>
      </c>
      <c r="I375" s="9" t="n">
        <f aca="false">IF(Raw_Volunteers!G375="",ROUND(AVERAGE(Raw_Volunteers!$G$2:$G$926),1),Raw_Volunteers!G375)</f>
        <v>3</v>
      </c>
    </row>
    <row r="376" customFormat="false" ht="15" hidden="false" customHeight="true" outlineLevel="0" collapsed="false">
      <c r="A376" s="9" t="str">
        <f aca="false">Raw_Volunteers!A376</f>
        <v>V2073</v>
      </c>
      <c r="B376" s="9" t="str">
        <f aca="false">IF(COUNTIFS(Raw_Volunteers!$A$2:$A$926,Raw_Volunteers!A376,Raw_Volunteers!$D$2:$D$926,Raw_Volunteers!D376,Raw_Volunteers!$E$2:$E$926,Raw_Volunteers!E376,Raw_Volunteers!$G$2:$G$926,Raw_Volunteers!G376)&gt;1,"Possible Duplicate","")</f>
        <v/>
      </c>
      <c r="C376" s="9" t="str">
        <f aca="false">Raw_Volunteers!B376</f>
        <v>D1586</v>
      </c>
      <c r="D376" s="9" t="str">
        <f aca="false">IF(C376="","No","Yes")</f>
        <v>Yes</v>
      </c>
      <c r="E376" s="9" t="str">
        <f aca="false">Raw_Volunteers!C376</f>
        <v>Mary Lewis</v>
      </c>
      <c r="F376" s="9" t="str">
        <f aca="false">Raw_Volunteers!D376</f>
        <v>11/05/2025</v>
      </c>
      <c r="G376" s="9" t="str">
        <f aca="false">PROPER(TRIM(Raw_Volunteers!E376))</f>
        <v>Event Setup</v>
      </c>
      <c r="H376" s="9" t="str">
        <f aca="false">Raw_Volunteers!F376</f>
        <v>Downtown Pantry</v>
      </c>
      <c r="I376" s="9" t="n">
        <f aca="false">IF(Raw_Volunteers!G376="",ROUND(AVERAGE(Raw_Volunteers!$G$2:$G$926),1),Raw_Volunteers!G376)</f>
        <v>2</v>
      </c>
    </row>
    <row r="377" customFormat="false" ht="15" hidden="false" customHeight="true" outlineLevel="0" collapsed="false">
      <c r="A377" s="9" t="str">
        <f aca="false">Raw_Volunteers!A377</f>
        <v>V2073</v>
      </c>
      <c r="B377" s="9" t="str">
        <f aca="false">IF(COUNTIFS(Raw_Volunteers!$A$2:$A$926,Raw_Volunteers!A377,Raw_Volunteers!$D$2:$D$926,Raw_Volunteers!D377,Raw_Volunteers!$E$2:$E$926,Raw_Volunteers!E377,Raw_Volunteers!$G$2:$G$926,Raw_Volunteers!G377)&gt;1,"Possible Duplicate","")</f>
        <v/>
      </c>
      <c r="C377" s="9" t="str">
        <f aca="false">Raw_Volunteers!B377</f>
        <v>D1586</v>
      </c>
      <c r="D377" s="9" t="str">
        <f aca="false">IF(C377="","No","Yes")</f>
        <v>Yes</v>
      </c>
      <c r="E377" s="9" t="str">
        <f aca="false">Raw_Volunteers!C377</f>
        <v>Mary Lewis</v>
      </c>
      <c r="F377" s="9" t="str">
        <f aca="false">Raw_Volunteers!D377</f>
        <v>05/02/2025</v>
      </c>
      <c r="G377" s="9" t="str">
        <f aca="false">PROPER(TRIM(Raw_Volunteers!E377))</f>
        <v>Pantry Stocking</v>
      </c>
      <c r="H377" s="9" t="str">
        <f aca="false">Raw_Volunteers!F377</f>
        <v>Mobile Unit - Route A</v>
      </c>
      <c r="I377" s="9" t="n">
        <f aca="false">IF(Raw_Volunteers!G377="",ROUND(AVERAGE(Raw_Volunteers!$G$2:$G$926),1),Raw_Volunteers!G377)</f>
        <v>2</v>
      </c>
    </row>
    <row r="378" customFormat="false" ht="15" hidden="false" customHeight="true" outlineLevel="0" collapsed="false">
      <c r="A378" s="9" t="str">
        <f aca="false">Raw_Volunteers!A378</f>
        <v>V2073</v>
      </c>
      <c r="B378" s="9" t="str">
        <f aca="false">IF(COUNTIFS(Raw_Volunteers!$A$2:$A$926,Raw_Volunteers!A378,Raw_Volunteers!$D$2:$D$926,Raw_Volunteers!D378,Raw_Volunteers!$E$2:$E$926,Raw_Volunteers!E378,Raw_Volunteers!$G$2:$G$926,Raw_Volunteers!G378)&gt;1,"Possible Duplicate","")</f>
        <v/>
      </c>
      <c r="C378" s="9" t="str">
        <f aca="false">Raw_Volunteers!B378</f>
        <v>D1586</v>
      </c>
      <c r="D378" s="9" t="str">
        <f aca="false">IF(C378="","No","Yes")</f>
        <v>Yes</v>
      </c>
      <c r="E378" s="9" t="str">
        <f aca="false">Raw_Volunteers!C378</f>
        <v>Mary Lewis</v>
      </c>
      <c r="F378" s="9" t="str">
        <f aca="false">Raw_Volunteers!D378</f>
        <v>10/10/2025</v>
      </c>
      <c r="G378" s="9" t="str">
        <f aca="false">PROPER(TRIM(Raw_Volunteers!E378))</f>
        <v>Mobile Distribution Driver</v>
      </c>
      <c r="H378" s="9" t="str">
        <f aca="false">Raw_Volunteers!F378</f>
        <v>Mobile Unit - Route B</v>
      </c>
      <c r="I378" s="9" t="n">
        <f aca="false">IF(Raw_Volunteers!G378="",ROUND(AVERAGE(Raw_Volunteers!$G$2:$G$926),1),Raw_Volunteers!G378)</f>
        <v>2</v>
      </c>
    </row>
    <row r="379" customFormat="false" ht="15" hidden="false" customHeight="true" outlineLevel="0" collapsed="false">
      <c r="A379" s="9" t="str">
        <f aca="false">Raw_Volunteers!A379</f>
        <v>V2073</v>
      </c>
      <c r="B379" s="9" t="str">
        <f aca="false">IF(COUNTIFS(Raw_Volunteers!$A$2:$A$926,Raw_Volunteers!A379,Raw_Volunteers!$D$2:$D$926,Raw_Volunteers!D379,Raw_Volunteers!$E$2:$E$926,Raw_Volunteers!E379,Raw_Volunteers!$G$2:$G$926,Raw_Volunteers!G379)&gt;1,"Possible Duplicate","")</f>
        <v/>
      </c>
      <c r="C379" s="9" t="str">
        <f aca="false">Raw_Volunteers!B379</f>
        <v>D1586</v>
      </c>
      <c r="D379" s="9" t="str">
        <f aca="false">IF(C379="","No","Yes")</f>
        <v>Yes</v>
      </c>
      <c r="E379" s="9" t="str">
        <f aca="false">Raw_Volunteers!C379</f>
        <v>Mary Lewis</v>
      </c>
      <c r="F379" s="9" t="str">
        <f aca="false">Raw_Volunteers!D379</f>
        <v>04/05/2026</v>
      </c>
      <c r="G379" s="9" t="str">
        <f aca="false">PROPER(TRIM(Raw_Volunteers!E379))</f>
        <v>Pantry Stocking</v>
      </c>
      <c r="H379" s="9" t="str">
        <f aca="false">Raw_Volunteers!F379</f>
        <v>Mobile Unit - Route B</v>
      </c>
      <c r="I379" s="9" t="n">
        <f aca="false">IF(Raw_Volunteers!G379="",ROUND(AVERAGE(Raw_Volunteers!$G$2:$G$926),1),Raw_Volunteers!G379)</f>
        <v>2</v>
      </c>
    </row>
    <row r="380" customFormat="false" ht="15" hidden="false" customHeight="true" outlineLevel="0" collapsed="false">
      <c r="A380" s="9" t="str">
        <f aca="false">Raw_Volunteers!A380</f>
        <v>V2073</v>
      </c>
      <c r="B380" s="9" t="str">
        <f aca="false">IF(COUNTIFS(Raw_Volunteers!$A$2:$A$926,Raw_Volunteers!A380,Raw_Volunteers!$D$2:$D$926,Raw_Volunteers!D380,Raw_Volunteers!$E$2:$E$926,Raw_Volunteers!E380,Raw_Volunteers!$G$2:$G$926,Raw_Volunteers!G380)&gt;1,"Possible Duplicate","")</f>
        <v/>
      </c>
      <c r="C380" s="9" t="str">
        <f aca="false">Raw_Volunteers!B380</f>
        <v>D1586</v>
      </c>
      <c r="D380" s="9" t="str">
        <f aca="false">IF(C380="","No","Yes")</f>
        <v>Yes</v>
      </c>
      <c r="E380" s="9" t="str">
        <f aca="false">Raw_Volunteers!C380</f>
        <v>Mary Lewis</v>
      </c>
      <c r="F380" s="9" t="str">
        <f aca="false">Raw_Volunteers!D380</f>
        <v>02/25/2024</v>
      </c>
      <c r="G380" s="9" t="str">
        <f aca="false">PROPER(TRIM(Raw_Volunteers!E380))</f>
        <v>Mobile Distribution Driver</v>
      </c>
      <c r="H380" s="9" t="str">
        <f aca="false">Raw_Volunteers!F380</f>
        <v>Community Center Site</v>
      </c>
      <c r="I380" s="9" t="n">
        <f aca="false">IF(Raw_Volunteers!G380="",ROUND(AVERAGE(Raw_Volunteers!$G$2:$G$926),1),Raw_Volunteers!G380)</f>
        <v>2.9</v>
      </c>
    </row>
    <row r="381" customFormat="false" ht="15" hidden="false" customHeight="true" outlineLevel="0" collapsed="false">
      <c r="A381" s="9" t="str">
        <f aca="false">Raw_Volunteers!A381</f>
        <v>V2073</v>
      </c>
      <c r="B381" s="9" t="str">
        <f aca="false">IF(COUNTIFS(Raw_Volunteers!$A$2:$A$926,Raw_Volunteers!A381,Raw_Volunteers!$D$2:$D$926,Raw_Volunteers!D381,Raw_Volunteers!$E$2:$E$926,Raw_Volunteers!E381,Raw_Volunteers!$G$2:$G$926,Raw_Volunteers!G381)&gt;1,"Possible Duplicate","")</f>
        <v/>
      </c>
      <c r="C381" s="9" t="str">
        <f aca="false">Raw_Volunteers!B381</f>
        <v>D1586</v>
      </c>
      <c r="D381" s="9" t="str">
        <f aca="false">IF(C381="","No","Yes")</f>
        <v>Yes</v>
      </c>
      <c r="E381" s="9" t="str">
        <f aca="false">Raw_Volunteers!C381</f>
        <v>Mary Lewis</v>
      </c>
      <c r="F381" s="9" t="str">
        <f aca="false">Raw_Volunteers!D381</f>
        <v>03/15/2025</v>
      </c>
      <c r="G381" s="9" t="str">
        <f aca="false">PROPER(TRIM(Raw_Volunteers!E381))</f>
        <v>Food Sorting</v>
      </c>
      <c r="H381" s="9" t="str">
        <f aca="false">Raw_Volunteers!F381</f>
        <v>Downtown Pantry</v>
      </c>
      <c r="I381" s="9" t="n">
        <f aca="false">IF(Raw_Volunteers!G381="",ROUND(AVERAGE(Raw_Volunteers!$G$2:$G$926),1),Raw_Volunteers!G381)</f>
        <v>3</v>
      </c>
    </row>
    <row r="382" customFormat="false" ht="15" hidden="false" customHeight="true" outlineLevel="0" collapsed="false">
      <c r="A382" s="9" t="str">
        <f aca="false">Raw_Volunteers!A382</f>
        <v>V2073</v>
      </c>
      <c r="B382" s="9" t="str">
        <f aca="false">IF(COUNTIFS(Raw_Volunteers!$A$2:$A$926,Raw_Volunteers!A382,Raw_Volunteers!$D$2:$D$926,Raw_Volunteers!D382,Raw_Volunteers!$E$2:$E$926,Raw_Volunteers!E382,Raw_Volunteers!$G$2:$G$926,Raw_Volunteers!G382)&gt;1,"Possible Duplicate","")</f>
        <v/>
      </c>
      <c r="C382" s="9" t="str">
        <f aca="false">Raw_Volunteers!B382</f>
        <v>D1586</v>
      </c>
      <c r="D382" s="9" t="str">
        <f aca="false">IF(C382="","No","Yes")</f>
        <v>Yes</v>
      </c>
      <c r="E382" s="9" t="str">
        <f aca="false">Raw_Volunteers!C382</f>
        <v>Mary Lewis</v>
      </c>
      <c r="F382" s="9" t="str">
        <f aca="false">Raw_Volunteers!D382</f>
        <v>11/10/2024</v>
      </c>
      <c r="G382" s="9" t="str">
        <f aca="false">PROPER(TRIM(Raw_Volunteers!E382))</f>
        <v>Mobile Distribution Driver</v>
      </c>
      <c r="H382" s="9" t="str">
        <f aca="false">Raw_Volunteers!F382</f>
        <v>Main Warehouse</v>
      </c>
      <c r="I382" s="9" t="n">
        <f aca="false">IF(Raw_Volunteers!G382="",ROUND(AVERAGE(Raw_Volunteers!$G$2:$G$926),1),Raw_Volunteers!G382)</f>
        <v>4</v>
      </c>
    </row>
    <row r="383" customFormat="false" ht="15" hidden="false" customHeight="true" outlineLevel="0" collapsed="false">
      <c r="A383" s="9" t="str">
        <f aca="false">Raw_Volunteers!A383</f>
        <v>V2073</v>
      </c>
      <c r="B383" s="9" t="str">
        <f aca="false">IF(COUNTIFS(Raw_Volunteers!$A$2:$A$926,Raw_Volunteers!A383,Raw_Volunteers!$D$2:$D$926,Raw_Volunteers!D383,Raw_Volunteers!$E$2:$E$926,Raw_Volunteers!E383,Raw_Volunteers!$G$2:$G$926,Raw_Volunteers!G383)&gt;1,"Possible Duplicate","")</f>
        <v/>
      </c>
      <c r="C383" s="9" t="str">
        <f aca="false">Raw_Volunteers!B383</f>
        <v>D1586</v>
      </c>
      <c r="D383" s="9" t="str">
        <f aca="false">IF(C383="","No","Yes")</f>
        <v>Yes</v>
      </c>
      <c r="E383" s="9" t="str">
        <f aca="false">Raw_Volunteers!C383</f>
        <v>Mary Lewis</v>
      </c>
      <c r="F383" s="9" t="str">
        <f aca="false">Raw_Volunteers!D383</f>
        <v>08/30/2025</v>
      </c>
      <c r="G383" s="9" t="str">
        <f aca="false">PROPER(TRIM(Raw_Volunteers!E383))</f>
        <v>Pantry Stocking</v>
      </c>
      <c r="H383" s="9" t="str">
        <f aca="false">Raw_Volunteers!F383</f>
        <v>Mobile Unit - Route A</v>
      </c>
      <c r="I383" s="9" t="n">
        <f aca="false">IF(Raw_Volunteers!G383="",ROUND(AVERAGE(Raw_Volunteers!$G$2:$G$926),1),Raw_Volunteers!G383)</f>
        <v>2</v>
      </c>
    </row>
    <row r="384" customFormat="false" ht="15" hidden="false" customHeight="true" outlineLevel="0" collapsed="false">
      <c r="A384" s="9" t="str">
        <f aca="false">Raw_Volunteers!A384</f>
        <v>V2074</v>
      </c>
      <c r="B384" s="9" t="str">
        <f aca="false">IF(COUNTIFS(Raw_Volunteers!$A$2:$A$926,Raw_Volunteers!A384,Raw_Volunteers!$D$2:$D$926,Raw_Volunteers!D384,Raw_Volunteers!$E$2:$E$926,Raw_Volunteers!E384,Raw_Volunteers!$G$2:$G$926,Raw_Volunteers!G384)&gt;1,"Possible Duplicate","")</f>
        <v/>
      </c>
      <c r="C384" s="9" t="str">
        <f aca="false">Raw_Volunteers!B384</f>
        <v>D1291</v>
      </c>
      <c r="D384" s="9" t="str">
        <f aca="false">IF(C384="","No","Yes")</f>
        <v>Yes</v>
      </c>
      <c r="E384" s="9" t="str">
        <f aca="false">Raw_Volunteers!C384</f>
        <v>Christopher Moore</v>
      </c>
      <c r="F384" s="9" t="str">
        <f aca="false">Raw_Volunteers!D384</f>
        <v>03/08/2026</v>
      </c>
      <c r="G384" s="9" t="str">
        <f aca="false">PROPER(TRIM(Raw_Volunteers!E384))</f>
        <v>Pantry Stocking</v>
      </c>
      <c r="H384" s="9" t="str">
        <f aca="false">Raw_Volunteers!F384</f>
        <v>Main Warehouse</v>
      </c>
      <c r="I384" s="9" t="n">
        <f aca="false">IF(Raw_Volunteers!G384="",ROUND(AVERAGE(Raw_Volunteers!$G$2:$G$926),1),Raw_Volunteers!G384)</f>
        <v>4</v>
      </c>
    </row>
    <row r="385" customFormat="false" ht="15" hidden="false" customHeight="true" outlineLevel="0" collapsed="false">
      <c r="A385" s="9" t="str">
        <f aca="false">Raw_Volunteers!A385</f>
        <v>V2074</v>
      </c>
      <c r="B385" s="9" t="str">
        <f aca="false">IF(COUNTIFS(Raw_Volunteers!$A$2:$A$926,Raw_Volunteers!A385,Raw_Volunteers!$D$2:$D$926,Raw_Volunteers!D385,Raw_Volunteers!$E$2:$E$926,Raw_Volunteers!E385,Raw_Volunteers!$G$2:$G$926,Raw_Volunteers!G385)&gt;1,"Possible Duplicate","")</f>
        <v/>
      </c>
      <c r="C385" s="9" t="str">
        <f aca="false">Raw_Volunteers!B385</f>
        <v>D1291</v>
      </c>
      <c r="D385" s="9" t="str">
        <f aca="false">IF(C385="","No","Yes")</f>
        <v>Yes</v>
      </c>
      <c r="E385" s="9" t="str">
        <f aca="false">Raw_Volunteers!C385</f>
        <v>Christopher Moore</v>
      </c>
      <c r="F385" s="9" t="str">
        <f aca="false">Raw_Volunteers!D385</f>
        <v>08/11/2025</v>
      </c>
      <c r="G385" s="9" t="str">
        <f aca="false">PROPER(TRIM(Raw_Volunteers!E385))</f>
        <v>Holiday Box Packing</v>
      </c>
      <c r="H385" s="9" t="str">
        <f aca="false">Raw_Volunteers!F385</f>
        <v>Community Center Site</v>
      </c>
      <c r="I385" s="9" t="n">
        <f aca="false">IF(Raw_Volunteers!G385="",ROUND(AVERAGE(Raw_Volunteers!$G$2:$G$926),1),Raw_Volunteers!G385)</f>
        <v>3</v>
      </c>
    </row>
    <row r="386" customFormat="false" ht="15" hidden="false" customHeight="true" outlineLevel="0" collapsed="false">
      <c r="A386" s="9" t="str">
        <f aca="false">Raw_Volunteers!A386</f>
        <v>V2074</v>
      </c>
      <c r="B386" s="9" t="str">
        <f aca="false">IF(COUNTIFS(Raw_Volunteers!$A$2:$A$926,Raw_Volunteers!A386,Raw_Volunteers!$D$2:$D$926,Raw_Volunteers!D386,Raw_Volunteers!$E$2:$E$926,Raw_Volunteers!E386,Raw_Volunteers!$G$2:$G$926,Raw_Volunteers!G386)&gt;1,"Possible Duplicate","")</f>
        <v/>
      </c>
      <c r="C386" s="9" t="str">
        <f aca="false">Raw_Volunteers!B386</f>
        <v>D1291</v>
      </c>
      <c r="D386" s="9" t="str">
        <f aca="false">IF(C386="","No","Yes")</f>
        <v>Yes</v>
      </c>
      <c r="E386" s="9" t="str">
        <f aca="false">Raw_Volunteers!C386</f>
        <v>Christopher Moore</v>
      </c>
      <c r="F386" s="9" t="str">
        <f aca="false">Raw_Volunteers!D386</f>
        <v>02/10/2024</v>
      </c>
      <c r="G386" s="9" t="str">
        <f aca="false">PROPER(TRIM(Raw_Volunteers!E386))</f>
        <v>Food Sorting</v>
      </c>
      <c r="H386" s="9" t="str">
        <f aca="false">Raw_Volunteers!F386</f>
        <v>Community Center Site</v>
      </c>
      <c r="I386" s="9" t="n">
        <f aca="false">IF(Raw_Volunteers!G386="",ROUND(AVERAGE(Raw_Volunteers!$G$2:$G$926),1),Raw_Volunteers!G386)</f>
        <v>3</v>
      </c>
    </row>
    <row r="387" customFormat="false" ht="15" hidden="false" customHeight="true" outlineLevel="0" collapsed="false">
      <c r="A387" s="9" t="str">
        <f aca="false">Raw_Volunteers!A387</f>
        <v>V2074</v>
      </c>
      <c r="B387" s="9" t="str">
        <f aca="false">IF(COUNTIFS(Raw_Volunteers!$A$2:$A$926,Raw_Volunteers!A387,Raw_Volunteers!$D$2:$D$926,Raw_Volunteers!D387,Raw_Volunteers!$E$2:$E$926,Raw_Volunteers!E387,Raw_Volunteers!$G$2:$G$926,Raw_Volunteers!G387)&gt;1,"Possible Duplicate","")</f>
        <v/>
      </c>
      <c r="C387" s="9" t="str">
        <f aca="false">Raw_Volunteers!B387</f>
        <v>D1291</v>
      </c>
      <c r="D387" s="9" t="str">
        <f aca="false">IF(C387="","No","Yes")</f>
        <v>Yes</v>
      </c>
      <c r="E387" s="9" t="str">
        <f aca="false">Raw_Volunteers!C387</f>
        <v>Christopher Moore</v>
      </c>
      <c r="F387" s="9" t="str">
        <f aca="false">Raw_Volunteers!D387</f>
        <v>05/10/2024</v>
      </c>
      <c r="G387" s="9" t="str">
        <f aca="false">PROPER(TRIM(Raw_Volunteers!E387))</f>
        <v>Mobile Distribution Driver</v>
      </c>
      <c r="H387" s="9" t="str">
        <f aca="false">Raw_Volunteers!F387</f>
        <v>Community Center Site</v>
      </c>
      <c r="I387" s="9" t="n">
        <f aca="false">IF(Raw_Volunteers!G387="",ROUND(AVERAGE(Raw_Volunteers!$G$2:$G$926),1),Raw_Volunteers!G387)</f>
        <v>2</v>
      </c>
    </row>
    <row r="388" customFormat="false" ht="15" hidden="false" customHeight="true" outlineLevel="0" collapsed="false">
      <c r="A388" s="9" t="str">
        <f aca="false">Raw_Volunteers!A388</f>
        <v>V2074</v>
      </c>
      <c r="B388" s="9" t="str">
        <f aca="false">IF(COUNTIFS(Raw_Volunteers!$A$2:$A$926,Raw_Volunteers!A388,Raw_Volunteers!$D$2:$D$926,Raw_Volunteers!D388,Raw_Volunteers!$E$2:$E$926,Raw_Volunteers!E388,Raw_Volunteers!$G$2:$G$926,Raw_Volunteers!G388)&gt;1,"Possible Duplicate","")</f>
        <v/>
      </c>
      <c r="C388" s="9" t="str">
        <f aca="false">Raw_Volunteers!B388</f>
        <v>D1291</v>
      </c>
      <c r="D388" s="9" t="str">
        <f aca="false">IF(C388="","No","Yes")</f>
        <v>Yes</v>
      </c>
      <c r="E388" s="9" t="str">
        <f aca="false">Raw_Volunteers!C388</f>
        <v>Christopher Moore</v>
      </c>
      <c r="F388" s="9" t="str">
        <f aca="false">Raw_Volunteers!D388</f>
        <v>09/09/2024</v>
      </c>
      <c r="G388" s="9" t="str">
        <f aca="false">PROPER(TRIM(Raw_Volunteers!E388))</f>
        <v>Warehouse Loading</v>
      </c>
      <c r="H388" s="9" t="str">
        <f aca="false">Raw_Volunteers!F388</f>
        <v>Mobile Unit - Route A</v>
      </c>
      <c r="I388" s="9" t="n">
        <f aca="false">IF(Raw_Volunteers!G388="",ROUND(AVERAGE(Raw_Volunteers!$G$2:$G$926),1),Raw_Volunteers!G388)</f>
        <v>3</v>
      </c>
    </row>
    <row r="389" customFormat="false" ht="15" hidden="false" customHeight="true" outlineLevel="0" collapsed="false">
      <c r="A389" s="9" t="str">
        <f aca="false">Raw_Volunteers!A389</f>
        <v>V2075</v>
      </c>
      <c r="B389" s="9" t="str">
        <f aca="false">IF(COUNTIFS(Raw_Volunteers!$A$2:$A$926,Raw_Volunteers!A389,Raw_Volunteers!$D$2:$D$926,Raw_Volunteers!D389,Raw_Volunteers!$E$2:$E$926,Raw_Volunteers!E389,Raw_Volunteers!$G$2:$G$926,Raw_Volunteers!G389)&gt;1,"Possible Duplicate","")</f>
        <v/>
      </c>
      <c r="C389" s="9" t="str">
        <f aca="false">Raw_Volunteers!B389</f>
        <v>D1390</v>
      </c>
      <c r="D389" s="9" t="str">
        <f aca="false">IF(C389="","No","Yes")</f>
        <v>Yes</v>
      </c>
      <c r="E389" s="9" t="str">
        <f aca="false">Raw_Volunteers!C389</f>
        <v>Donna Hill</v>
      </c>
      <c r="F389" s="9" t="str">
        <f aca="false">Raw_Volunteers!D389</f>
        <v>01/25/2026</v>
      </c>
      <c r="G389" s="9" t="str">
        <f aca="false">PROPER(TRIM(Raw_Volunteers!E389))</f>
        <v>Food Sorting</v>
      </c>
      <c r="H389" s="9" t="str">
        <f aca="false">Raw_Volunteers!F389</f>
        <v>Community Center Site</v>
      </c>
      <c r="I389" s="9" t="n">
        <f aca="false">IF(Raw_Volunteers!G389="",ROUND(AVERAGE(Raw_Volunteers!$G$2:$G$926),1),Raw_Volunteers!G389)</f>
        <v>2</v>
      </c>
    </row>
    <row r="390" customFormat="false" ht="15" hidden="false" customHeight="true" outlineLevel="0" collapsed="false">
      <c r="A390" s="9" t="str">
        <f aca="false">Raw_Volunteers!A390</f>
        <v>V2075</v>
      </c>
      <c r="B390" s="9" t="str">
        <f aca="false">IF(COUNTIFS(Raw_Volunteers!$A$2:$A$926,Raw_Volunteers!A390,Raw_Volunteers!$D$2:$D$926,Raw_Volunteers!D390,Raw_Volunteers!$E$2:$E$926,Raw_Volunteers!E390,Raw_Volunteers!$G$2:$G$926,Raw_Volunteers!G390)&gt;1,"Possible Duplicate","")</f>
        <v/>
      </c>
      <c r="C390" s="9" t="str">
        <f aca="false">Raw_Volunteers!B390</f>
        <v>D1390</v>
      </c>
      <c r="D390" s="9" t="str">
        <f aca="false">IF(C390="","No","Yes")</f>
        <v>Yes</v>
      </c>
      <c r="E390" s="9" t="str">
        <f aca="false">Raw_Volunteers!C390</f>
        <v>Donna Hill</v>
      </c>
      <c r="F390" s="9" t="str">
        <f aca="false">Raw_Volunteers!D390</f>
        <v>01/04/2024</v>
      </c>
      <c r="G390" s="9" t="str">
        <f aca="false">PROPER(TRIM(Raw_Volunteers!E390))</f>
        <v>Front Desk Greeter</v>
      </c>
      <c r="H390" s="9" t="str">
        <f aca="false">Raw_Volunteers!F390</f>
        <v>Community Center Site</v>
      </c>
      <c r="I390" s="9" t="n">
        <f aca="false">IF(Raw_Volunteers!G390="",ROUND(AVERAGE(Raw_Volunteers!$G$2:$G$926),1),Raw_Volunteers!G390)</f>
        <v>2</v>
      </c>
    </row>
    <row r="391" customFormat="false" ht="15" hidden="false" customHeight="true" outlineLevel="0" collapsed="false">
      <c r="A391" s="9" t="str">
        <f aca="false">Raw_Volunteers!A391</f>
        <v>V2075</v>
      </c>
      <c r="B391" s="9" t="str">
        <f aca="false">IF(COUNTIFS(Raw_Volunteers!$A$2:$A$926,Raw_Volunteers!A391,Raw_Volunteers!$D$2:$D$926,Raw_Volunteers!D391,Raw_Volunteers!$E$2:$E$926,Raw_Volunteers!E391,Raw_Volunteers!$G$2:$G$926,Raw_Volunteers!G391)&gt;1,"Possible Duplicate","")</f>
        <v/>
      </c>
      <c r="C391" s="9" t="str">
        <f aca="false">Raw_Volunteers!B391</f>
        <v>D1390</v>
      </c>
      <c r="D391" s="9" t="str">
        <f aca="false">IF(C391="","No","Yes")</f>
        <v>Yes</v>
      </c>
      <c r="E391" s="9" t="str">
        <f aca="false">Raw_Volunteers!C391</f>
        <v>Donna Hill</v>
      </c>
      <c r="F391" s="9" t="str">
        <f aca="false">Raw_Volunteers!D391</f>
        <v>03/05/2024</v>
      </c>
      <c r="G391" s="9" t="str">
        <f aca="false">PROPER(TRIM(Raw_Volunteers!E391))</f>
        <v>Holiday Box Packing</v>
      </c>
      <c r="H391" s="9" t="str">
        <f aca="false">Raw_Volunteers!F391</f>
        <v>Mobile Unit - Route A</v>
      </c>
      <c r="I391" s="9" t="n">
        <f aca="false">IF(Raw_Volunteers!G391="",ROUND(AVERAGE(Raw_Volunteers!$G$2:$G$926),1),Raw_Volunteers!G391)</f>
        <v>3</v>
      </c>
    </row>
    <row r="392" customFormat="false" ht="15" hidden="false" customHeight="true" outlineLevel="0" collapsed="false">
      <c r="A392" s="9" t="str">
        <f aca="false">Raw_Volunteers!A392</f>
        <v>V2076</v>
      </c>
      <c r="B392" s="9" t="str">
        <f aca="false">IF(COUNTIFS(Raw_Volunteers!$A$2:$A$926,Raw_Volunteers!A392,Raw_Volunteers!$D$2:$D$926,Raw_Volunteers!D392,Raw_Volunteers!$E$2:$E$926,Raw_Volunteers!E392,Raw_Volunteers!$G$2:$G$926,Raw_Volunteers!G392)&gt;1,"Possible Duplicate","")</f>
        <v/>
      </c>
      <c r="C392" s="9" t="str">
        <f aca="false">Raw_Volunteers!B392</f>
        <v>D1205</v>
      </c>
      <c r="D392" s="9" t="str">
        <f aca="false">IF(C392="","No","Yes")</f>
        <v>Yes</v>
      </c>
      <c r="E392" s="9" t="str">
        <f aca="false">Raw_Volunteers!C392</f>
        <v>Amanda Hill</v>
      </c>
      <c r="F392" s="9" t="str">
        <f aca="false">Raw_Volunteers!D392</f>
        <v>01/27/2025</v>
      </c>
      <c r="G392" s="9" t="str">
        <f aca="false">PROPER(TRIM(Raw_Volunteers!E392))</f>
        <v>Mobile Distribution Driver</v>
      </c>
      <c r="H392" s="9" t="str">
        <f aca="false">Raw_Volunteers!F392</f>
        <v>Mobile Unit - Route B</v>
      </c>
      <c r="I392" s="9" t="n">
        <f aca="false">IF(Raw_Volunteers!G392="",ROUND(AVERAGE(Raw_Volunteers!$G$2:$G$926),1),Raw_Volunteers!G392)</f>
        <v>2</v>
      </c>
    </row>
    <row r="393" customFormat="false" ht="15" hidden="false" customHeight="true" outlineLevel="0" collapsed="false">
      <c r="A393" s="9" t="str">
        <f aca="false">Raw_Volunteers!A393</f>
        <v>V2076</v>
      </c>
      <c r="B393" s="9" t="str">
        <f aca="false">IF(COUNTIFS(Raw_Volunteers!$A$2:$A$926,Raw_Volunteers!A393,Raw_Volunteers!$D$2:$D$926,Raw_Volunteers!D393,Raw_Volunteers!$E$2:$E$926,Raw_Volunteers!E393,Raw_Volunteers!$G$2:$G$926,Raw_Volunteers!G393)&gt;1,"Possible Duplicate","")</f>
        <v/>
      </c>
      <c r="C393" s="9" t="str">
        <f aca="false">Raw_Volunteers!B393</f>
        <v>D1205</v>
      </c>
      <c r="D393" s="9" t="str">
        <f aca="false">IF(C393="","No","Yes")</f>
        <v>Yes</v>
      </c>
      <c r="E393" s="9" t="str">
        <f aca="false">Raw_Volunteers!C393</f>
        <v>Amanda Hill</v>
      </c>
      <c r="F393" s="9" t="str">
        <f aca="false">Raw_Volunteers!D393</f>
        <v>04/29/2024</v>
      </c>
      <c r="G393" s="9" t="str">
        <f aca="false">PROPER(TRIM(Raw_Volunteers!E393))</f>
        <v>Warehouse Loading</v>
      </c>
      <c r="H393" s="9" t="str">
        <f aca="false">Raw_Volunteers!F393</f>
        <v>Mobile Unit - Route A</v>
      </c>
      <c r="I393" s="9" t="n">
        <f aca="false">IF(Raw_Volunteers!G393="",ROUND(AVERAGE(Raw_Volunteers!$G$2:$G$926),1),Raw_Volunteers!G393)</f>
        <v>3</v>
      </c>
    </row>
    <row r="394" customFormat="false" ht="15" hidden="false" customHeight="true" outlineLevel="0" collapsed="false">
      <c r="A394" s="9" t="str">
        <f aca="false">Raw_Volunteers!A394</f>
        <v>V2076</v>
      </c>
      <c r="B394" s="9" t="str">
        <f aca="false">IF(COUNTIFS(Raw_Volunteers!$A$2:$A$926,Raw_Volunteers!A394,Raw_Volunteers!$D$2:$D$926,Raw_Volunteers!D394,Raw_Volunteers!$E$2:$E$926,Raw_Volunteers!E394,Raw_Volunteers!$G$2:$G$926,Raw_Volunteers!G394)&gt;1,"Possible Duplicate","")</f>
        <v/>
      </c>
      <c r="C394" s="9" t="str">
        <f aca="false">Raw_Volunteers!B394</f>
        <v>D1205</v>
      </c>
      <c r="D394" s="9" t="str">
        <f aca="false">IF(C394="","No","Yes")</f>
        <v>Yes</v>
      </c>
      <c r="E394" s="9" t="str">
        <f aca="false">Raw_Volunteers!C394</f>
        <v>Amanda Hill</v>
      </c>
      <c r="F394" s="9" t="str">
        <f aca="false">Raw_Volunteers!D394</f>
        <v>06/21/2024</v>
      </c>
      <c r="G394" s="9" t="str">
        <f aca="false">PROPER(TRIM(Raw_Volunteers!E394))</f>
        <v>Pantry Stocking</v>
      </c>
      <c r="H394" s="9" t="str">
        <f aca="false">Raw_Volunteers!F394</f>
        <v>Downtown Pantry</v>
      </c>
      <c r="I394" s="9" t="n">
        <f aca="false">IF(Raw_Volunteers!G394="",ROUND(AVERAGE(Raw_Volunteers!$G$2:$G$926),1),Raw_Volunteers!G394)</f>
        <v>3</v>
      </c>
    </row>
    <row r="395" customFormat="false" ht="15" hidden="false" customHeight="true" outlineLevel="0" collapsed="false">
      <c r="A395" s="9" t="str">
        <f aca="false">Raw_Volunteers!A395</f>
        <v>V2076</v>
      </c>
      <c r="B395" s="9" t="str">
        <f aca="false">IF(COUNTIFS(Raw_Volunteers!$A$2:$A$926,Raw_Volunteers!A395,Raw_Volunteers!$D$2:$D$926,Raw_Volunteers!D395,Raw_Volunteers!$E$2:$E$926,Raw_Volunteers!E395,Raw_Volunteers!$G$2:$G$926,Raw_Volunteers!G395)&gt;1,"Possible Duplicate","")</f>
        <v/>
      </c>
      <c r="C395" s="9" t="str">
        <f aca="false">Raw_Volunteers!B395</f>
        <v>D1205</v>
      </c>
      <c r="D395" s="9" t="str">
        <f aca="false">IF(C395="","No","Yes")</f>
        <v>Yes</v>
      </c>
      <c r="E395" s="9" t="str">
        <f aca="false">Raw_Volunteers!C395</f>
        <v>Amanda Hill</v>
      </c>
      <c r="F395" s="9" t="str">
        <f aca="false">Raw_Volunteers!D395</f>
        <v>01/05/2026</v>
      </c>
      <c r="G395" s="9" t="str">
        <f aca="false">PROPER(TRIM(Raw_Volunteers!E395))</f>
        <v>Client Intake Assistant</v>
      </c>
      <c r="H395" s="9" t="str">
        <f aca="false">Raw_Volunteers!F395</f>
        <v>Community Center Site</v>
      </c>
      <c r="I395" s="9" t="n">
        <f aca="false">IF(Raw_Volunteers!G395="",ROUND(AVERAGE(Raw_Volunteers!$G$2:$G$926),1),Raw_Volunteers!G395)</f>
        <v>6</v>
      </c>
    </row>
    <row r="396" customFormat="false" ht="15" hidden="false" customHeight="true" outlineLevel="0" collapsed="false">
      <c r="A396" s="9" t="str">
        <f aca="false">Raw_Volunteers!A396</f>
        <v>V2076</v>
      </c>
      <c r="B396" s="9" t="str">
        <f aca="false">IF(COUNTIFS(Raw_Volunteers!$A$2:$A$926,Raw_Volunteers!A396,Raw_Volunteers!$D$2:$D$926,Raw_Volunteers!D396,Raw_Volunteers!$E$2:$E$926,Raw_Volunteers!E396,Raw_Volunteers!$G$2:$G$926,Raw_Volunteers!G396)&gt;1,"Possible Duplicate","")</f>
        <v/>
      </c>
      <c r="C396" s="9" t="str">
        <f aca="false">Raw_Volunteers!B396</f>
        <v>D1205</v>
      </c>
      <c r="D396" s="9" t="str">
        <f aca="false">IF(C396="","No","Yes")</f>
        <v>Yes</v>
      </c>
      <c r="E396" s="9" t="str">
        <f aca="false">Raw_Volunteers!C396</f>
        <v>Amanda Hill</v>
      </c>
      <c r="F396" s="9" t="str">
        <f aca="false">Raw_Volunteers!D396</f>
        <v>04/05/2025</v>
      </c>
      <c r="G396" s="9" t="str">
        <f aca="false">PROPER(TRIM(Raw_Volunteers!E396))</f>
        <v>Front Desk Greeter</v>
      </c>
      <c r="H396" s="9" t="str">
        <f aca="false">Raw_Volunteers!F396</f>
        <v>Mobile Unit - Route B</v>
      </c>
      <c r="I396" s="9" t="n">
        <f aca="false">IF(Raw_Volunteers!G396="",ROUND(AVERAGE(Raw_Volunteers!$G$2:$G$926),1),Raw_Volunteers!G396)</f>
        <v>5</v>
      </c>
    </row>
    <row r="397" customFormat="false" ht="15" hidden="false" customHeight="true" outlineLevel="0" collapsed="false">
      <c r="A397" s="9" t="str">
        <f aca="false">Raw_Volunteers!A397</f>
        <v>V2077</v>
      </c>
      <c r="B397" s="9" t="str">
        <f aca="false">IF(COUNTIFS(Raw_Volunteers!$A$2:$A$926,Raw_Volunteers!A397,Raw_Volunteers!$D$2:$D$926,Raw_Volunteers!D397,Raw_Volunteers!$E$2:$E$926,Raw_Volunteers!E397,Raw_Volunteers!$G$2:$G$926,Raw_Volunteers!G397)&gt;1,"Possible Duplicate","")</f>
        <v/>
      </c>
      <c r="C397" s="9" t="str">
        <f aca="false">Raw_Volunteers!B397</f>
        <v>D1024</v>
      </c>
      <c r="D397" s="9" t="str">
        <f aca="false">IF(C397="","No","Yes")</f>
        <v>Yes</v>
      </c>
      <c r="E397" s="9" t="str">
        <f aca="false">Raw_Volunteers!C397</f>
        <v>Thomas Lopez</v>
      </c>
      <c r="F397" s="9" t="str">
        <f aca="false">Raw_Volunteers!D397</f>
        <v>03/17/2026</v>
      </c>
      <c r="G397" s="9" t="str">
        <f aca="false">PROPER(TRIM(Raw_Volunteers!E397))</f>
        <v>Client Intake Assistant</v>
      </c>
      <c r="H397" s="9" t="str">
        <f aca="false">Raw_Volunteers!F397</f>
        <v>Mobile Unit - Route B</v>
      </c>
      <c r="I397" s="9" t="n">
        <f aca="false">IF(Raw_Volunteers!G397="",ROUND(AVERAGE(Raw_Volunteers!$G$2:$G$926),1),Raw_Volunteers!G397)</f>
        <v>2</v>
      </c>
    </row>
    <row r="398" customFormat="false" ht="15" hidden="false" customHeight="true" outlineLevel="0" collapsed="false">
      <c r="A398" s="9" t="str">
        <f aca="false">Raw_Volunteers!A398</f>
        <v>V2077</v>
      </c>
      <c r="B398" s="9" t="str">
        <f aca="false">IF(COUNTIFS(Raw_Volunteers!$A$2:$A$926,Raw_Volunteers!A398,Raw_Volunteers!$D$2:$D$926,Raw_Volunteers!D398,Raw_Volunteers!$E$2:$E$926,Raw_Volunteers!E398,Raw_Volunteers!$G$2:$G$926,Raw_Volunteers!G398)&gt;1,"Possible Duplicate","")</f>
        <v/>
      </c>
      <c r="C398" s="9" t="str">
        <f aca="false">Raw_Volunteers!B398</f>
        <v>D1024</v>
      </c>
      <c r="D398" s="9" t="str">
        <f aca="false">IF(C398="","No","Yes")</f>
        <v>Yes</v>
      </c>
      <c r="E398" s="9" t="str">
        <f aca="false">Raw_Volunteers!C398</f>
        <v>Thomas Lopez</v>
      </c>
      <c r="F398" s="9" t="str">
        <f aca="false">Raw_Volunteers!D398</f>
        <v>04/26/2026</v>
      </c>
      <c r="G398" s="9" t="str">
        <f aca="false">PROPER(TRIM(Raw_Volunteers!E398))</f>
        <v>Client Intake Assistant</v>
      </c>
      <c r="H398" s="9" t="str">
        <f aca="false">Raw_Volunteers!F398</f>
        <v>Main Warehouse</v>
      </c>
      <c r="I398" s="9" t="n">
        <f aca="false">IF(Raw_Volunteers!G398="",ROUND(AVERAGE(Raw_Volunteers!$G$2:$G$926),1),Raw_Volunteers!G398)</f>
        <v>3</v>
      </c>
    </row>
    <row r="399" customFormat="false" ht="15" hidden="false" customHeight="true" outlineLevel="0" collapsed="false">
      <c r="A399" s="9" t="str">
        <f aca="false">Raw_Volunteers!A399</f>
        <v>V2077</v>
      </c>
      <c r="B399" s="9" t="str">
        <f aca="false">IF(COUNTIFS(Raw_Volunteers!$A$2:$A$926,Raw_Volunteers!A399,Raw_Volunteers!$D$2:$D$926,Raw_Volunteers!D399,Raw_Volunteers!$E$2:$E$926,Raw_Volunteers!E399,Raw_Volunteers!$G$2:$G$926,Raw_Volunteers!G399)&gt;1,"Possible Duplicate","")</f>
        <v/>
      </c>
      <c r="C399" s="9" t="str">
        <f aca="false">Raw_Volunteers!B399</f>
        <v>D1024</v>
      </c>
      <c r="D399" s="9" t="str">
        <f aca="false">IF(C399="","No","Yes")</f>
        <v>Yes</v>
      </c>
      <c r="E399" s="9" t="str">
        <f aca="false">Raw_Volunteers!C399</f>
        <v>Thomas Lopez</v>
      </c>
      <c r="F399" s="9" t="str">
        <f aca="false">Raw_Volunteers!D399</f>
        <v>01/25/2024</v>
      </c>
      <c r="G399" s="9" t="str">
        <f aca="false">PROPER(TRIM(Raw_Volunteers!E399))</f>
        <v>Front Desk Greeter</v>
      </c>
      <c r="H399" s="9" t="str">
        <f aca="false">Raw_Volunteers!F399</f>
        <v>Community Center Site</v>
      </c>
      <c r="I399" s="9" t="n">
        <f aca="false">IF(Raw_Volunteers!G399="",ROUND(AVERAGE(Raw_Volunteers!$G$2:$G$926),1),Raw_Volunteers!G399)</f>
        <v>3</v>
      </c>
    </row>
    <row r="400" customFormat="false" ht="15" hidden="false" customHeight="true" outlineLevel="0" collapsed="false">
      <c r="A400" s="9" t="str">
        <f aca="false">Raw_Volunteers!A400</f>
        <v>V2077</v>
      </c>
      <c r="B400" s="9" t="str">
        <f aca="false">IF(COUNTIFS(Raw_Volunteers!$A$2:$A$926,Raw_Volunteers!A400,Raw_Volunteers!$D$2:$D$926,Raw_Volunteers!D400,Raw_Volunteers!$E$2:$E$926,Raw_Volunteers!E400,Raw_Volunteers!$G$2:$G$926,Raw_Volunteers!G400)&gt;1,"Possible Duplicate","")</f>
        <v/>
      </c>
      <c r="C400" s="9" t="str">
        <f aca="false">Raw_Volunteers!B400</f>
        <v>D1024</v>
      </c>
      <c r="D400" s="9" t="str">
        <f aca="false">IF(C400="","No","Yes")</f>
        <v>Yes</v>
      </c>
      <c r="E400" s="9" t="str">
        <f aca="false">Raw_Volunteers!C400</f>
        <v>Thomas Lopez</v>
      </c>
      <c r="F400" s="9" t="str">
        <f aca="false">Raw_Volunteers!D400</f>
        <v>03/11/2024</v>
      </c>
      <c r="G400" s="9" t="str">
        <f aca="false">PROPER(TRIM(Raw_Volunteers!E400))</f>
        <v>Pantry Stocking</v>
      </c>
      <c r="H400" s="9" t="str">
        <f aca="false">Raw_Volunteers!F400</f>
        <v>Mobile Unit - Route B</v>
      </c>
      <c r="I400" s="9" t="n">
        <f aca="false">IF(Raw_Volunteers!G400="",ROUND(AVERAGE(Raw_Volunteers!$G$2:$G$926),1),Raw_Volunteers!G400)</f>
        <v>6</v>
      </c>
    </row>
    <row r="401" customFormat="false" ht="15" hidden="false" customHeight="true" outlineLevel="0" collapsed="false">
      <c r="A401" s="9" t="str">
        <f aca="false">Raw_Volunteers!A401</f>
        <v>V2078</v>
      </c>
      <c r="B401" s="9" t="str">
        <f aca="false">IF(COUNTIFS(Raw_Volunteers!$A$2:$A$926,Raw_Volunteers!A401,Raw_Volunteers!$D$2:$D$926,Raw_Volunteers!D401,Raw_Volunteers!$E$2:$E$926,Raw_Volunteers!E401,Raw_Volunteers!$G$2:$G$926,Raw_Volunteers!G401)&gt;1,"Possible Duplicate","")</f>
        <v/>
      </c>
      <c r="C401" s="9" t="str">
        <f aca="false">Raw_Volunteers!B401</f>
        <v>D1070</v>
      </c>
      <c r="D401" s="9" t="str">
        <f aca="false">IF(C401="","No","Yes")</f>
        <v>Yes</v>
      </c>
      <c r="E401" s="9" t="str">
        <f aca="false">Raw_Volunteers!C401</f>
        <v>Joshua Thomas</v>
      </c>
      <c r="F401" s="9" t="str">
        <f aca="false">Raw_Volunteers!D401</f>
        <v>02/01/2025</v>
      </c>
      <c r="G401" s="9" t="str">
        <f aca="false">PROPER(TRIM(Raw_Volunteers!E401))</f>
        <v>Client Intake Assistant</v>
      </c>
      <c r="H401" s="9" t="str">
        <f aca="false">Raw_Volunteers!F401</f>
        <v>Mobile Unit - Route B</v>
      </c>
      <c r="I401" s="9" t="n">
        <f aca="false">IF(Raw_Volunteers!G401="",ROUND(AVERAGE(Raw_Volunteers!$G$2:$G$926),1),Raw_Volunteers!G401)</f>
        <v>2</v>
      </c>
    </row>
    <row r="402" customFormat="false" ht="15" hidden="false" customHeight="true" outlineLevel="0" collapsed="false">
      <c r="A402" s="9" t="str">
        <f aca="false">Raw_Volunteers!A402</f>
        <v>V2078</v>
      </c>
      <c r="B402" s="9" t="str">
        <f aca="false">IF(COUNTIFS(Raw_Volunteers!$A$2:$A$926,Raw_Volunteers!A402,Raw_Volunteers!$D$2:$D$926,Raw_Volunteers!D402,Raw_Volunteers!$E$2:$E$926,Raw_Volunteers!E402,Raw_Volunteers!$G$2:$G$926,Raw_Volunteers!G402)&gt;1,"Possible Duplicate","")</f>
        <v/>
      </c>
      <c r="C402" s="9" t="str">
        <f aca="false">Raw_Volunteers!B402</f>
        <v>D1070</v>
      </c>
      <c r="D402" s="9" t="str">
        <f aca="false">IF(C402="","No","Yes")</f>
        <v>Yes</v>
      </c>
      <c r="E402" s="9" t="str">
        <f aca="false">Raw_Volunteers!C402</f>
        <v>Joshua Thomas</v>
      </c>
      <c r="F402" s="9" t="str">
        <f aca="false">Raw_Volunteers!D402</f>
        <v>04/10/2025</v>
      </c>
      <c r="G402" s="9" t="str">
        <f aca="false">PROPER(TRIM(Raw_Volunteers!E402))</f>
        <v>Warehouse Loading</v>
      </c>
      <c r="H402" s="9" t="str">
        <f aca="false">Raw_Volunteers!F402</f>
        <v>Main Warehouse</v>
      </c>
      <c r="I402" s="9" t="n">
        <f aca="false">IF(Raw_Volunteers!G402="",ROUND(AVERAGE(Raw_Volunteers!$G$2:$G$926),1),Raw_Volunteers!G402)</f>
        <v>3</v>
      </c>
    </row>
    <row r="403" customFormat="false" ht="15" hidden="false" customHeight="true" outlineLevel="0" collapsed="false">
      <c r="A403" s="9" t="str">
        <f aca="false">Raw_Volunteers!A403</f>
        <v>V2078</v>
      </c>
      <c r="B403" s="9" t="str">
        <f aca="false">IF(COUNTIFS(Raw_Volunteers!$A$2:$A$926,Raw_Volunteers!A403,Raw_Volunteers!$D$2:$D$926,Raw_Volunteers!D403,Raw_Volunteers!$E$2:$E$926,Raw_Volunteers!E403,Raw_Volunteers!$G$2:$G$926,Raw_Volunteers!G403)&gt;1,"Possible Duplicate","")</f>
        <v/>
      </c>
      <c r="C403" s="9" t="str">
        <f aca="false">Raw_Volunteers!B403</f>
        <v>D1070</v>
      </c>
      <c r="D403" s="9" t="str">
        <f aca="false">IF(C403="","No","Yes")</f>
        <v>Yes</v>
      </c>
      <c r="E403" s="9" t="str">
        <f aca="false">Raw_Volunteers!C403</f>
        <v>Joshua Thomas</v>
      </c>
      <c r="F403" s="9" t="str">
        <f aca="false">Raw_Volunteers!D403</f>
        <v>12/26/2025</v>
      </c>
      <c r="G403" s="9" t="str">
        <f aca="false">PROPER(TRIM(Raw_Volunteers!E403))</f>
        <v>Food Sorting</v>
      </c>
      <c r="H403" s="9" t="str">
        <f aca="false">Raw_Volunteers!F403</f>
        <v>Downtown Pantry</v>
      </c>
      <c r="I403" s="9" t="n">
        <f aca="false">IF(Raw_Volunteers!G403="",ROUND(AVERAGE(Raw_Volunteers!$G$2:$G$926),1),Raw_Volunteers!G403)</f>
        <v>3</v>
      </c>
    </row>
    <row r="404" customFormat="false" ht="15" hidden="false" customHeight="true" outlineLevel="0" collapsed="false">
      <c r="A404" s="9" t="str">
        <f aca="false">Raw_Volunteers!A404</f>
        <v>V2078</v>
      </c>
      <c r="B404" s="9" t="str">
        <f aca="false">IF(COUNTIFS(Raw_Volunteers!$A$2:$A$926,Raw_Volunteers!A404,Raw_Volunteers!$D$2:$D$926,Raw_Volunteers!D404,Raw_Volunteers!$E$2:$E$926,Raw_Volunteers!E404,Raw_Volunteers!$G$2:$G$926,Raw_Volunteers!G404)&gt;1,"Possible Duplicate","")</f>
        <v/>
      </c>
      <c r="C404" s="9" t="str">
        <f aca="false">Raw_Volunteers!B404</f>
        <v>D1070</v>
      </c>
      <c r="D404" s="9" t="str">
        <f aca="false">IF(C404="","No","Yes")</f>
        <v>Yes</v>
      </c>
      <c r="E404" s="9" t="str">
        <f aca="false">Raw_Volunteers!C404</f>
        <v>Joshua Thomas</v>
      </c>
      <c r="F404" s="9" t="str">
        <f aca="false">Raw_Volunteers!D404</f>
        <v>04/24/2024</v>
      </c>
      <c r="G404" s="9" t="str">
        <f aca="false">PROPER(TRIM(Raw_Volunteers!E404))</f>
        <v>Front Desk Greeter</v>
      </c>
      <c r="H404" s="9" t="str">
        <f aca="false">Raw_Volunteers!F404</f>
        <v>Mobile Unit - Route B</v>
      </c>
      <c r="I404" s="9" t="n">
        <f aca="false">IF(Raw_Volunteers!G404="",ROUND(AVERAGE(Raw_Volunteers!$G$2:$G$926),1),Raw_Volunteers!G404)</f>
        <v>2</v>
      </c>
    </row>
    <row r="405" customFormat="false" ht="15" hidden="false" customHeight="true" outlineLevel="0" collapsed="false">
      <c r="A405" s="9" t="str">
        <f aca="false">Raw_Volunteers!A405</f>
        <v>V2078</v>
      </c>
      <c r="B405" s="9" t="str">
        <f aca="false">IF(COUNTIFS(Raw_Volunteers!$A$2:$A$926,Raw_Volunteers!A405,Raw_Volunteers!$D$2:$D$926,Raw_Volunteers!D405,Raw_Volunteers!$E$2:$E$926,Raw_Volunteers!E405,Raw_Volunteers!$G$2:$G$926,Raw_Volunteers!G405)&gt;1,"Possible Duplicate","")</f>
        <v/>
      </c>
      <c r="C405" s="9" t="str">
        <f aca="false">Raw_Volunteers!B405</f>
        <v>D1070</v>
      </c>
      <c r="D405" s="9" t="str">
        <f aca="false">IF(C405="","No","Yes")</f>
        <v>Yes</v>
      </c>
      <c r="E405" s="9" t="str">
        <f aca="false">Raw_Volunteers!C405</f>
        <v>Joshua Thomas</v>
      </c>
      <c r="F405" s="9" t="str">
        <f aca="false">Raw_Volunteers!D405</f>
        <v>10/22/2025</v>
      </c>
      <c r="G405" s="9" t="str">
        <f aca="false">PROPER(TRIM(Raw_Volunteers!E405))</f>
        <v>Event Setup</v>
      </c>
      <c r="H405" s="9" t="str">
        <f aca="false">Raw_Volunteers!F405</f>
        <v>Community Center Site</v>
      </c>
      <c r="I405" s="9" t="n">
        <f aca="false">IF(Raw_Volunteers!G405="",ROUND(AVERAGE(Raw_Volunteers!$G$2:$G$926),1),Raw_Volunteers!G405)</f>
        <v>2</v>
      </c>
    </row>
    <row r="406" customFormat="false" ht="15" hidden="false" customHeight="true" outlineLevel="0" collapsed="false">
      <c r="A406" s="9" t="str">
        <f aca="false">Raw_Volunteers!A406</f>
        <v>V2078</v>
      </c>
      <c r="B406" s="9" t="str">
        <f aca="false">IF(COUNTIFS(Raw_Volunteers!$A$2:$A$926,Raw_Volunteers!A406,Raw_Volunteers!$D$2:$D$926,Raw_Volunteers!D406,Raw_Volunteers!$E$2:$E$926,Raw_Volunteers!E406,Raw_Volunteers!$G$2:$G$926,Raw_Volunteers!G406)&gt;1,"Possible Duplicate","")</f>
        <v/>
      </c>
      <c r="C406" s="9" t="str">
        <f aca="false">Raw_Volunteers!B406</f>
        <v>D1070</v>
      </c>
      <c r="D406" s="9" t="str">
        <f aca="false">IF(C406="","No","Yes")</f>
        <v>Yes</v>
      </c>
      <c r="E406" s="9" t="str">
        <f aca="false">Raw_Volunteers!C406</f>
        <v>Joshua Thomas</v>
      </c>
      <c r="F406" s="9" t="str">
        <f aca="false">Raw_Volunteers!D406</f>
        <v>05/31/2025</v>
      </c>
      <c r="G406" s="9" t="str">
        <f aca="false">PROPER(TRIM(Raw_Volunteers!E406))</f>
        <v>Front Desk Greeter</v>
      </c>
      <c r="H406" s="9" t="str">
        <f aca="false">Raw_Volunteers!F406</f>
        <v>Community Center Site</v>
      </c>
      <c r="I406" s="9" t="n">
        <f aca="false">IF(Raw_Volunteers!G406="",ROUND(AVERAGE(Raw_Volunteers!$G$2:$G$926),1),Raw_Volunteers!G406)</f>
        <v>3</v>
      </c>
    </row>
    <row r="407" customFormat="false" ht="15" hidden="false" customHeight="true" outlineLevel="0" collapsed="false">
      <c r="A407" s="9" t="str">
        <f aca="false">Raw_Volunteers!A407</f>
        <v>V2078</v>
      </c>
      <c r="B407" s="9" t="str">
        <f aca="false">IF(COUNTIFS(Raw_Volunteers!$A$2:$A$926,Raw_Volunteers!A407,Raw_Volunteers!$D$2:$D$926,Raw_Volunteers!D407,Raw_Volunteers!$E$2:$E$926,Raw_Volunteers!E407,Raw_Volunteers!$G$2:$G$926,Raw_Volunteers!G407)&gt;1,"Possible Duplicate","")</f>
        <v/>
      </c>
      <c r="C407" s="9" t="str">
        <f aca="false">Raw_Volunteers!B407</f>
        <v>D1070</v>
      </c>
      <c r="D407" s="9" t="str">
        <f aca="false">IF(C407="","No","Yes")</f>
        <v>Yes</v>
      </c>
      <c r="E407" s="9" t="str">
        <f aca="false">Raw_Volunteers!C407</f>
        <v>Joshua Thomas</v>
      </c>
      <c r="F407" s="9" t="str">
        <f aca="false">Raw_Volunteers!D407</f>
        <v>01/05/2024</v>
      </c>
      <c r="G407" s="9" t="str">
        <f aca="false">PROPER(TRIM(Raw_Volunteers!E407))</f>
        <v>Front Desk Greeter</v>
      </c>
      <c r="H407" s="9" t="str">
        <f aca="false">Raw_Volunteers!F407</f>
        <v>Mobile Unit - Route B</v>
      </c>
      <c r="I407" s="9" t="n">
        <f aca="false">IF(Raw_Volunteers!G407="",ROUND(AVERAGE(Raw_Volunteers!$G$2:$G$926),1),Raw_Volunteers!G407)</f>
        <v>2</v>
      </c>
    </row>
    <row r="408" customFormat="false" ht="15" hidden="false" customHeight="true" outlineLevel="0" collapsed="false">
      <c r="A408" s="9" t="str">
        <f aca="false">Raw_Volunteers!A408</f>
        <v>V2078</v>
      </c>
      <c r="B408" s="9" t="str">
        <f aca="false">IF(COUNTIFS(Raw_Volunteers!$A$2:$A$926,Raw_Volunteers!A408,Raw_Volunteers!$D$2:$D$926,Raw_Volunteers!D408,Raw_Volunteers!$E$2:$E$926,Raw_Volunteers!E408,Raw_Volunteers!$G$2:$G$926,Raw_Volunteers!G408)&gt;1,"Possible Duplicate","")</f>
        <v/>
      </c>
      <c r="C408" s="9" t="str">
        <f aca="false">Raw_Volunteers!B408</f>
        <v>D1070</v>
      </c>
      <c r="D408" s="9" t="str">
        <f aca="false">IF(C408="","No","Yes")</f>
        <v>Yes</v>
      </c>
      <c r="E408" s="9" t="str">
        <f aca="false">Raw_Volunteers!C408</f>
        <v>Joshua Thomas</v>
      </c>
      <c r="F408" s="9" t="str">
        <f aca="false">Raw_Volunteers!D408</f>
        <v>05/02/2024</v>
      </c>
      <c r="G408" s="9" t="str">
        <f aca="false">PROPER(TRIM(Raw_Volunteers!E408))</f>
        <v>Front Desk Greeter</v>
      </c>
      <c r="H408" s="9" t="str">
        <f aca="false">Raw_Volunteers!F408</f>
        <v>Downtown Pantry</v>
      </c>
      <c r="I408" s="9" t="n">
        <f aca="false">IF(Raw_Volunteers!G408="",ROUND(AVERAGE(Raw_Volunteers!$G$2:$G$926),1),Raw_Volunteers!G408)</f>
        <v>3</v>
      </c>
    </row>
    <row r="409" customFormat="false" ht="15" hidden="false" customHeight="true" outlineLevel="0" collapsed="false">
      <c r="A409" s="9" t="str">
        <f aca="false">Raw_Volunteers!A409</f>
        <v>V2078</v>
      </c>
      <c r="B409" s="9" t="str">
        <f aca="false">IF(COUNTIFS(Raw_Volunteers!$A$2:$A$926,Raw_Volunteers!A409,Raw_Volunteers!$D$2:$D$926,Raw_Volunteers!D409,Raw_Volunteers!$E$2:$E$926,Raw_Volunteers!E409,Raw_Volunteers!$G$2:$G$926,Raw_Volunteers!G409)&gt;1,"Possible Duplicate","")</f>
        <v/>
      </c>
      <c r="C409" s="9" t="str">
        <f aca="false">Raw_Volunteers!B409</f>
        <v>D1070</v>
      </c>
      <c r="D409" s="9" t="str">
        <f aca="false">IF(C409="","No","Yes")</f>
        <v>Yes</v>
      </c>
      <c r="E409" s="9" t="str">
        <f aca="false">Raw_Volunteers!C409</f>
        <v>Joshua Thomas</v>
      </c>
      <c r="F409" s="9" t="str">
        <f aca="false">Raw_Volunteers!D409</f>
        <v>03/23/2024</v>
      </c>
      <c r="G409" s="9" t="str">
        <f aca="false">PROPER(TRIM(Raw_Volunteers!E409))</f>
        <v>Pantry Stocking</v>
      </c>
      <c r="H409" s="9" t="str">
        <f aca="false">Raw_Volunteers!F409</f>
        <v>Mobile Unit - Route A</v>
      </c>
      <c r="I409" s="9" t="n">
        <f aca="false">IF(Raw_Volunteers!G409="",ROUND(AVERAGE(Raw_Volunteers!$G$2:$G$926),1),Raw_Volunteers!G409)</f>
        <v>4</v>
      </c>
    </row>
    <row r="410" customFormat="false" ht="15" hidden="false" customHeight="true" outlineLevel="0" collapsed="false">
      <c r="A410" s="9" t="str">
        <f aca="false">Raw_Volunteers!A410</f>
        <v>V2078</v>
      </c>
      <c r="B410" s="9" t="str">
        <f aca="false">IF(COUNTIFS(Raw_Volunteers!$A$2:$A$926,Raw_Volunteers!A410,Raw_Volunteers!$D$2:$D$926,Raw_Volunteers!D410,Raw_Volunteers!$E$2:$E$926,Raw_Volunteers!E410,Raw_Volunteers!$G$2:$G$926,Raw_Volunteers!G410)&gt;1,"Possible Duplicate","")</f>
        <v/>
      </c>
      <c r="C410" s="9" t="str">
        <f aca="false">Raw_Volunteers!B410</f>
        <v>D1070</v>
      </c>
      <c r="D410" s="9" t="str">
        <f aca="false">IF(C410="","No","Yes")</f>
        <v>Yes</v>
      </c>
      <c r="E410" s="9" t="str">
        <f aca="false">Raw_Volunteers!C410</f>
        <v>Joshua Thomas</v>
      </c>
      <c r="F410" s="9" t="str">
        <f aca="false">Raw_Volunteers!D410</f>
        <v>07/10/2024</v>
      </c>
      <c r="G410" s="9" t="str">
        <f aca="false">PROPER(TRIM(Raw_Volunteers!E410))</f>
        <v>Pantry Stocking</v>
      </c>
      <c r="H410" s="9" t="str">
        <f aca="false">Raw_Volunteers!F410</f>
        <v>Downtown Pantry</v>
      </c>
      <c r="I410" s="9" t="n">
        <f aca="false">IF(Raw_Volunteers!G410="",ROUND(AVERAGE(Raw_Volunteers!$G$2:$G$926),1),Raw_Volunteers!G410)</f>
        <v>2</v>
      </c>
    </row>
    <row r="411" customFormat="false" ht="15" hidden="false" customHeight="true" outlineLevel="0" collapsed="false">
      <c r="A411" s="9" t="str">
        <f aca="false">Raw_Volunteers!A411</f>
        <v>V2078</v>
      </c>
      <c r="B411" s="9" t="str">
        <f aca="false">IF(COUNTIFS(Raw_Volunteers!$A$2:$A$926,Raw_Volunteers!A411,Raw_Volunteers!$D$2:$D$926,Raw_Volunteers!D411,Raw_Volunteers!$E$2:$E$926,Raw_Volunteers!E411,Raw_Volunteers!$G$2:$G$926,Raw_Volunteers!G411)&gt;1,"Possible Duplicate","")</f>
        <v/>
      </c>
      <c r="C411" s="9" t="str">
        <f aca="false">Raw_Volunteers!B411</f>
        <v>D1070</v>
      </c>
      <c r="D411" s="9" t="str">
        <f aca="false">IF(C411="","No","Yes")</f>
        <v>Yes</v>
      </c>
      <c r="E411" s="9" t="str">
        <f aca="false">Raw_Volunteers!C411</f>
        <v>Joshua Thomas</v>
      </c>
      <c r="F411" s="9" t="str">
        <f aca="false">Raw_Volunteers!D411</f>
        <v>05/23/2026</v>
      </c>
      <c r="G411" s="9" t="str">
        <f aca="false">PROPER(TRIM(Raw_Volunteers!E411))</f>
        <v>Warehouse Loading</v>
      </c>
      <c r="H411" s="9" t="str">
        <f aca="false">Raw_Volunteers!F411</f>
        <v>Community Center Site</v>
      </c>
      <c r="I411" s="9" t="n">
        <f aca="false">IF(Raw_Volunteers!G411="",ROUND(AVERAGE(Raw_Volunteers!$G$2:$G$926),1),Raw_Volunteers!G411)</f>
        <v>3</v>
      </c>
    </row>
    <row r="412" customFormat="false" ht="15" hidden="false" customHeight="true" outlineLevel="0" collapsed="false">
      <c r="A412" s="9" t="str">
        <f aca="false">Raw_Volunteers!A412</f>
        <v>V2078</v>
      </c>
      <c r="B412" s="9" t="str">
        <f aca="false">IF(COUNTIFS(Raw_Volunteers!$A$2:$A$926,Raw_Volunteers!A412,Raw_Volunteers!$D$2:$D$926,Raw_Volunteers!D412,Raw_Volunteers!$E$2:$E$926,Raw_Volunteers!E412,Raw_Volunteers!$G$2:$G$926,Raw_Volunteers!G412)&gt;1,"Possible Duplicate","")</f>
        <v/>
      </c>
      <c r="C412" s="9" t="str">
        <f aca="false">Raw_Volunteers!B412</f>
        <v>D1070</v>
      </c>
      <c r="D412" s="9" t="str">
        <f aca="false">IF(C412="","No","Yes")</f>
        <v>Yes</v>
      </c>
      <c r="E412" s="9" t="str">
        <f aca="false">Raw_Volunteers!C412</f>
        <v>Joshua Thomas</v>
      </c>
      <c r="F412" s="9" t="str">
        <f aca="false">Raw_Volunteers!D412</f>
        <v>01/29/2024</v>
      </c>
      <c r="G412" s="9" t="str">
        <f aca="false">PROPER(TRIM(Raw_Volunteers!E412))</f>
        <v>Event Setup</v>
      </c>
      <c r="H412" s="9" t="str">
        <f aca="false">Raw_Volunteers!F412</f>
        <v>Main Warehouse</v>
      </c>
      <c r="I412" s="9" t="n">
        <f aca="false">IF(Raw_Volunteers!G412="",ROUND(AVERAGE(Raw_Volunteers!$G$2:$G$926),1),Raw_Volunteers!G412)</f>
        <v>5</v>
      </c>
    </row>
    <row r="413" customFormat="false" ht="15" hidden="false" customHeight="true" outlineLevel="0" collapsed="false">
      <c r="A413" s="9" t="str">
        <f aca="false">Raw_Volunteers!A413</f>
        <v>V2079</v>
      </c>
      <c r="B413" s="9" t="str">
        <f aca="false">IF(COUNTIFS(Raw_Volunteers!$A$2:$A$926,Raw_Volunteers!A413,Raw_Volunteers!$D$2:$D$926,Raw_Volunteers!D413,Raw_Volunteers!$E$2:$E$926,Raw_Volunteers!E413,Raw_Volunteers!$G$2:$G$926,Raw_Volunteers!G413)&gt;1,"Possible Duplicate","")</f>
        <v/>
      </c>
      <c r="C413" s="9" t="str">
        <f aca="false">Raw_Volunteers!B413</f>
        <v>D1470</v>
      </c>
      <c r="D413" s="9" t="str">
        <f aca="false">IF(C413="","No","Yes")</f>
        <v>Yes</v>
      </c>
      <c r="E413" s="9" t="str">
        <f aca="false">Raw_Volunteers!C413</f>
        <v>Andrew Lewis</v>
      </c>
      <c r="F413" s="9" t="str">
        <f aca="false">Raw_Volunteers!D413</f>
        <v>04/23/2024</v>
      </c>
      <c r="G413" s="9" t="str">
        <f aca="false">PROPER(TRIM(Raw_Volunteers!E413))</f>
        <v>Mobile Distribution Driver</v>
      </c>
      <c r="H413" s="9" t="str">
        <f aca="false">Raw_Volunteers!F413</f>
        <v>Mobile Unit - Route B</v>
      </c>
      <c r="I413" s="9" t="n">
        <f aca="false">IF(Raw_Volunteers!G413="",ROUND(AVERAGE(Raw_Volunteers!$G$2:$G$926),1),Raw_Volunteers!G413)</f>
        <v>2</v>
      </c>
    </row>
    <row r="414" customFormat="false" ht="15" hidden="false" customHeight="true" outlineLevel="0" collapsed="false">
      <c r="A414" s="9" t="str">
        <f aca="false">Raw_Volunteers!A414</f>
        <v>V2079</v>
      </c>
      <c r="B414" s="9" t="str">
        <f aca="false">IF(COUNTIFS(Raw_Volunteers!$A$2:$A$926,Raw_Volunteers!A414,Raw_Volunteers!$D$2:$D$926,Raw_Volunteers!D414,Raw_Volunteers!$E$2:$E$926,Raw_Volunteers!E414,Raw_Volunteers!$G$2:$G$926,Raw_Volunteers!G414)&gt;1,"Possible Duplicate","")</f>
        <v/>
      </c>
      <c r="C414" s="9" t="str">
        <f aca="false">Raw_Volunteers!B414</f>
        <v>D1470</v>
      </c>
      <c r="D414" s="9" t="str">
        <f aca="false">IF(C414="","No","Yes")</f>
        <v>Yes</v>
      </c>
      <c r="E414" s="9" t="str">
        <f aca="false">Raw_Volunteers!C414</f>
        <v>Andrew Lewis</v>
      </c>
      <c r="F414" s="9" t="str">
        <f aca="false">Raw_Volunteers!D414</f>
        <v>01/02/2025</v>
      </c>
      <c r="G414" s="9" t="str">
        <f aca="false">PROPER(TRIM(Raw_Volunteers!E414))</f>
        <v>Warehouse Loading</v>
      </c>
      <c r="H414" s="9" t="str">
        <f aca="false">Raw_Volunteers!F414</f>
        <v>Downtown Pantry</v>
      </c>
      <c r="I414" s="9" t="n">
        <f aca="false">IF(Raw_Volunteers!G414="",ROUND(AVERAGE(Raw_Volunteers!$G$2:$G$926),1),Raw_Volunteers!G414)</f>
        <v>3</v>
      </c>
    </row>
    <row r="415" customFormat="false" ht="15" hidden="false" customHeight="true" outlineLevel="0" collapsed="false">
      <c r="A415" s="9" t="str">
        <f aca="false">Raw_Volunteers!A415</f>
        <v>V2079</v>
      </c>
      <c r="B415" s="9" t="str">
        <f aca="false">IF(COUNTIFS(Raw_Volunteers!$A$2:$A$926,Raw_Volunteers!A415,Raw_Volunteers!$D$2:$D$926,Raw_Volunteers!D415,Raw_Volunteers!$E$2:$E$926,Raw_Volunteers!E415,Raw_Volunteers!$G$2:$G$926,Raw_Volunteers!G415)&gt;1,"Possible Duplicate","")</f>
        <v/>
      </c>
      <c r="C415" s="9" t="str">
        <f aca="false">Raw_Volunteers!B415</f>
        <v>D1470</v>
      </c>
      <c r="D415" s="9" t="str">
        <f aca="false">IF(C415="","No","Yes")</f>
        <v>Yes</v>
      </c>
      <c r="E415" s="9" t="str">
        <f aca="false">Raw_Volunteers!C415</f>
        <v>Andrew Lewis</v>
      </c>
      <c r="F415" s="9" t="str">
        <f aca="false">Raw_Volunteers!D415</f>
        <v>08/02/2025</v>
      </c>
      <c r="G415" s="9" t="str">
        <f aca="false">PROPER(TRIM(Raw_Volunteers!E415))</f>
        <v>Food Sorting</v>
      </c>
      <c r="H415" s="9" t="str">
        <f aca="false">Raw_Volunteers!F415</f>
        <v>Mobile Unit - Route B</v>
      </c>
      <c r="I415" s="9" t="n">
        <f aca="false">IF(Raw_Volunteers!G415="",ROUND(AVERAGE(Raw_Volunteers!$G$2:$G$926),1),Raw_Volunteers!G415)</f>
        <v>4</v>
      </c>
    </row>
    <row r="416" customFormat="false" ht="15" hidden="false" customHeight="true" outlineLevel="0" collapsed="false">
      <c r="A416" s="9" t="str">
        <f aca="false">Raw_Volunteers!A416</f>
        <v>V2079</v>
      </c>
      <c r="B416" s="9" t="str">
        <f aca="false">IF(COUNTIFS(Raw_Volunteers!$A$2:$A$926,Raw_Volunteers!A416,Raw_Volunteers!$D$2:$D$926,Raw_Volunteers!D416,Raw_Volunteers!$E$2:$E$926,Raw_Volunteers!E416,Raw_Volunteers!$G$2:$G$926,Raw_Volunteers!G416)&gt;1,"Possible Duplicate","")</f>
        <v/>
      </c>
      <c r="C416" s="9" t="str">
        <f aca="false">Raw_Volunteers!B416</f>
        <v>D1470</v>
      </c>
      <c r="D416" s="9" t="str">
        <f aca="false">IF(C416="","No","Yes")</f>
        <v>Yes</v>
      </c>
      <c r="E416" s="9" t="str">
        <f aca="false">Raw_Volunteers!C416</f>
        <v>Andrew Lewis</v>
      </c>
      <c r="F416" s="9" t="str">
        <f aca="false">Raw_Volunteers!D416</f>
        <v>05/08/2024</v>
      </c>
      <c r="G416" s="9" t="str">
        <f aca="false">PROPER(TRIM(Raw_Volunteers!E416))</f>
        <v>Food Sorting</v>
      </c>
      <c r="H416" s="9" t="str">
        <f aca="false">Raw_Volunteers!F416</f>
        <v>Mobile Unit - Route B</v>
      </c>
      <c r="I416" s="9" t="n">
        <f aca="false">IF(Raw_Volunteers!G416="",ROUND(AVERAGE(Raw_Volunteers!$G$2:$G$926),1),Raw_Volunteers!G416)</f>
        <v>6</v>
      </c>
    </row>
    <row r="417" customFormat="false" ht="15" hidden="false" customHeight="true" outlineLevel="0" collapsed="false">
      <c r="A417" s="9" t="str">
        <f aca="false">Raw_Volunteers!A417</f>
        <v>V2080</v>
      </c>
      <c r="B417" s="9" t="str">
        <f aca="false">IF(COUNTIFS(Raw_Volunteers!$A$2:$A$926,Raw_Volunteers!A417,Raw_Volunteers!$D$2:$D$926,Raw_Volunteers!D417,Raw_Volunteers!$E$2:$E$926,Raw_Volunteers!E417,Raw_Volunteers!$G$2:$G$926,Raw_Volunteers!G417)&gt;1,"Possible Duplicate","")</f>
        <v/>
      </c>
      <c r="C417" s="9" t="str">
        <f aca="false">Raw_Volunteers!B417</f>
        <v>D1644</v>
      </c>
      <c r="D417" s="9" t="str">
        <f aca="false">IF(C417="","No","Yes")</f>
        <v>Yes</v>
      </c>
      <c r="E417" s="9" t="str">
        <f aca="false">Raw_Volunteers!C417</f>
        <v>Sarah Martin</v>
      </c>
      <c r="F417" s="9" t="str">
        <f aca="false">Raw_Volunteers!D417</f>
        <v>02/15/2026</v>
      </c>
      <c r="G417" s="9" t="str">
        <f aca="false">PROPER(TRIM(Raw_Volunteers!E417))</f>
        <v>Holiday Box Packing</v>
      </c>
      <c r="H417" s="9" t="str">
        <f aca="false">Raw_Volunteers!F417</f>
        <v>Downtown Pantry</v>
      </c>
      <c r="I417" s="9" t="n">
        <f aca="false">IF(Raw_Volunteers!G417="",ROUND(AVERAGE(Raw_Volunteers!$G$2:$G$926),1),Raw_Volunteers!G417)</f>
        <v>2</v>
      </c>
    </row>
    <row r="418" customFormat="false" ht="15" hidden="false" customHeight="true" outlineLevel="0" collapsed="false">
      <c r="A418" s="9" t="str">
        <f aca="false">Raw_Volunteers!A418</f>
        <v>V2080</v>
      </c>
      <c r="B418" s="9" t="str">
        <f aca="false">IF(COUNTIFS(Raw_Volunteers!$A$2:$A$926,Raw_Volunteers!A418,Raw_Volunteers!$D$2:$D$926,Raw_Volunteers!D418,Raw_Volunteers!$E$2:$E$926,Raw_Volunteers!E418,Raw_Volunteers!$G$2:$G$926,Raw_Volunteers!G418)&gt;1,"Possible Duplicate","")</f>
        <v/>
      </c>
      <c r="C418" s="9" t="str">
        <f aca="false">Raw_Volunteers!B418</f>
        <v>D1644</v>
      </c>
      <c r="D418" s="9" t="str">
        <f aca="false">IF(C418="","No","Yes")</f>
        <v>Yes</v>
      </c>
      <c r="E418" s="9" t="str">
        <f aca="false">Raw_Volunteers!C418</f>
        <v>Sarah Martin</v>
      </c>
      <c r="F418" s="9" t="str">
        <f aca="false">Raw_Volunteers!D418</f>
        <v>03/12/2026</v>
      </c>
      <c r="G418" s="9" t="str">
        <f aca="false">PROPER(TRIM(Raw_Volunteers!E418))</f>
        <v>Client Intake Assistant</v>
      </c>
      <c r="H418" s="9" t="str">
        <f aca="false">Raw_Volunteers!F418</f>
        <v>Mobile Unit - Route B</v>
      </c>
      <c r="I418" s="9" t="n">
        <f aca="false">IF(Raw_Volunteers!G418="",ROUND(AVERAGE(Raw_Volunteers!$G$2:$G$926),1),Raw_Volunteers!G418)</f>
        <v>2</v>
      </c>
    </row>
    <row r="419" customFormat="false" ht="15" hidden="false" customHeight="true" outlineLevel="0" collapsed="false">
      <c r="A419" s="9" t="str">
        <f aca="false">Raw_Volunteers!A419</f>
        <v>V2080</v>
      </c>
      <c r="B419" s="9" t="str">
        <f aca="false">IF(COUNTIFS(Raw_Volunteers!$A$2:$A$926,Raw_Volunteers!A419,Raw_Volunteers!$D$2:$D$926,Raw_Volunteers!D419,Raw_Volunteers!$E$2:$E$926,Raw_Volunteers!E419,Raw_Volunteers!$G$2:$G$926,Raw_Volunteers!G419)&gt;1,"Possible Duplicate","")</f>
        <v/>
      </c>
      <c r="C419" s="9" t="str">
        <f aca="false">Raw_Volunteers!B419</f>
        <v>D1644</v>
      </c>
      <c r="D419" s="9" t="str">
        <f aca="false">IF(C419="","No","Yes")</f>
        <v>Yes</v>
      </c>
      <c r="E419" s="9" t="str">
        <f aca="false">Raw_Volunteers!C419</f>
        <v>Sarah Martin</v>
      </c>
      <c r="F419" s="9" t="str">
        <f aca="false">Raw_Volunteers!D419</f>
        <v>04/15/2026</v>
      </c>
      <c r="G419" s="9" t="str">
        <f aca="false">PROPER(TRIM(Raw_Volunteers!E419))</f>
        <v>Event Setup</v>
      </c>
      <c r="H419" s="9" t="str">
        <f aca="false">Raw_Volunteers!F419</f>
        <v>Main Warehouse</v>
      </c>
      <c r="I419" s="9" t="n">
        <f aca="false">IF(Raw_Volunteers!G419="",ROUND(AVERAGE(Raw_Volunteers!$G$2:$G$926),1),Raw_Volunteers!G419)</f>
        <v>2</v>
      </c>
    </row>
    <row r="420" customFormat="false" ht="15" hidden="false" customHeight="true" outlineLevel="0" collapsed="false">
      <c r="A420" s="9" t="str">
        <f aca="false">Raw_Volunteers!A420</f>
        <v>V2081</v>
      </c>
      <c r="B420" s="9" t="str">
        <f aca="false">IF(COUNTIFS(Raw_Volunteers!$A$2:$A$926,Raw_Volunteers!A420,Raw_Volunteers!$D$2:$D$926,Raw_Volunteers!D420,Raw_Volunteers!$E$2:$E$926,Raw_Volunteers!E420,Raw_Volunteers!$G$2:$G$926,Raw_Volunteers!G420)&gt;1,"Possible Duplicate","")</f>
        <v/>
      </c>
      <c r="C420" s="9" t="str">
        <f aca="false">Raw_Volunteers!B420</f>
        <v>D1690</v>
      </c>
      <c r="D420" s="9" t="str">
        <f aca="false">IF(C420="","No","Yes")</f>
        <v>Yes</v>
      </c>
      <c r="E420" s="9" t="str">
        <f aca="false">Raw_Volunteers!C420</f>
        <v>Matthew Martinez</v>
      </c>
      <c r="F420" s="9" t="str">
        <f aca="false">Raw_Volunteers!D420</f>
        <v>03/26/2024</v>
      </c>
      <c r="G420" s="9" t="str">
        <f aca="false">PROPER(TRIM(Raw_Volunteers!E420))</f>
        <v>Front Desk Greeter</v>
      </c>
      <c r="H420" s="9" t="str">
        <f aca="false">Raw_Volunteers!F420</f>
        <v>Mobile Unit - Route A</v>
      </c>
      <c r="I420" s="9" t="n">
        <f aca="false">IF(Raw_Volunteers!G420="",ROUND(AVERAGE(Raw_Volunteers!$G$2:$G$926),1),Raw_Volunteers!G420)</f>
        <v>3</v>
      </c>
    </row>
    <row r="421" customFormat="false" ht="15" hidden="false" customHeight="true" outlineLevel="0" collapsed="false">
      <c r="A421" s="9" t="str">
        <f aca="false">Raw_Volunteers!A421</f>
        <v>V2081</v>
      </c>
      <c r="B421" s="9" t="str">
        <f aca="false">IF(COUNTIFS(Raw_Volunteers!$A$2:$A$926,Raw_Volunteers!A421,Raw_Volunteers!$D$2:$D$926,Raw_Volunteers!D421,Raw_Volunteers!$E$2:$E$926,Raw_Volunteers!E421,Raw_Volunteers!$G$2:$G$926,Raw_Volunteers!G421)&gt;1,"Possible Duplicate","")</f>
        <v/>
      </c>
      <c r="C421" s="9" t="str">
        <f aca="false">Raw_Volunteers!B421</f>
        <v>D1690</v>
      </c>
      <c r="D421" s="9" t="str">
        <f aca="false">IF(C421="","No","Yes")</f>
        <v>Yes</v>
      </c>
      <c r="E421" s="9" t="str">
        <f aca="false">Raw_Volunteers!C421</f>
        <v>Matthew Martinez</v>
      </c>
      <c r="F421" s="9" t="str">
        <f aca="false">Raw_Volunteers!D421</f>
        <v>03/16/2024</v>
      </c>
      <c r="G421" s="9" t="str">
        <f aca="false">PROPER(TRIM(Raw_Volunteers!E421))</f>
        <v>Pantry Stocking</v>
      </c>
      <c r="H421" s="9" t="str">
        <f aca="false">Raw_Volunteers!F421</f>
        <v>Mobile Unit - Route A</v>
      </c>
      <c r="I421" s="9" t="n">
        <f aca="false">IF(Raw_Volunteers!G421="",ROUND(AVERAGE(Raw_Volunteers!$G$2:$G$926),1),Raw_Volunteers!G421)</f>
        <v>3</v>
      </c>
    </row>
    <row r="422" customFormat="false" ht="15" hidden="false" customHeight="true" outlineLevel="0" collapsed="false">
      <c r="A422" s="9" t="str">
        <f aca="false">Raw_Volunteers!A422</f>
        <v>V2081</v>
      </c>
      <c r="B422" s="9" t="str">
        <f aca="false">IF(COUNTIFS(Raw_Volunteers!$A$2:$A$926,Raw_Volunteers!A422,Raw_Volunteers!$D$2:$D$926,Raw_Volunteers!D422,Raw_Volunteers!$E$2:$E$926,Raw_Volunteers!E422,Raw_Volunteers!$G$2:$G$926,Raw_Volunteers!G422)&gt;1,"Possible Duplicate","")</f>
        <v/>
      </c>
      <c r="C422" s="9" t="str">
        <f aca="false">Raw_Volunteers!B422</f>
        <v>D1690</v>
      </c>
      <c r="D422" s="9" t="str">
        <f aca="false">IF(C422="","No","Yes")</f>
        <v>Yes</v>
      </c>
      <c r="E422" s="9" t="str">
        <f aca="false">Raw_Volunteers!C422</f>
        <v>Matthew Martinez</v>
      </c>
      <c r="F422" s="9" t="str">
        <f aca="false">Raw_Volunteers!D422</f>
        <v>11/02/2025</v>
      </c>
      <c r="G422" s="9" t="str">
        <f aca="false">PROPER(TRIM(Raw_Volunteers!E422))</f>
        <v>Mobile Distribution Driver</v>
      </c>
      <c r="H422" s="9" t="str">
        <f aca="false">Raw_Volunteers!F422</f>
        <v>Community Center Site</v>
      </c>
      <c r="I422" s="9" t="n">
        <f aca="false">IF(Raw_Volunteers!G422="",ROUND(AVERAGE(Raw_Volunteers!$G$2:$G$926),1),Raw_Volunteers!G422)</f>
        <v>2</v>
      </c>
    </row>
    <row r="423" customFormat="false" ht="15" hidden="false" customHeight="true" outlineLevel="0" collapsed="false">
      <c r="A423" s="9" t="str">
        <f aca="false">Raw_Volunteers!A423</f>
        <v>V2081</v>
      </c>
      <c r="B423" s="9" t="str">
        <f aca="false">IF(COUNTIFS(Raw_Volunteers!$A$2:$A$926,Raw_Volunteers!A423,Raw_Volunteers!$D$2:$D$926,Raw_Volunteers!D423,Raw_Volunteers!$E$2:$E$926,Raw_Volunteers!E423,Raw_Volunteers!$G$2:$G$926,Raw_Volunteers!G423)&gt;1,"Possible Duplicate","")</f>
        <v/>
      </c>
      <c r="C423" s="9" t="str">
        <f aca="false">Raw_Volunteers!B423</f>
        <v>D1690</v>
      </c>
      <c r="D423" s="9" t="str">
        <f aca="false">IF(C423="","No","Yes")</f>
        <v>Yes</v>
      </c>
      <c r="E423" s="9" t="str">
        <f aca="false">Raw_Volunteers!C423</f>
        <v>Matthew Martinez</v>
      </c>
      <c r="F423" s="9" t="str">
        <f aca="false">Raw_Volunteers!D423</f>
        <v>06/23/2024</v>
      </c>
      <c r="G423" s="9" t="str">
        <f aca="false">PROPER(TRIM(Raw_Volunteers!E423))</f>
        <v>Client Intake Assistant</v>
      </c>
      <c r="H423" s="9" t="str">
        <f aca="false">Raw_Volunteers!F423</f>
        <v>Main Warehouse</v>
      </c>
      <c r="I423" s="9" t="n">
        <f aca="false">IF(Raw_Volunteers!G423="",ROUND(AVERAGE(Raw_Volunteers!$G$2:$G$926),1),Raw_Volunteers!G423)</f>
        <v>4</v>
      </c>
    </row>
    <row r="424" customFormat="false" ht="15" hidden="false" customHeight="true" outlineLevel="0" collapsed="false">
      <c r="A424" s="9" t="str">
        <f aca="false">Raw_Volunteers!A424</f>
        <v>V2081</v>
      </c>
      <c r="B424" s="9" t="str">
        <f aca="false">IF(COUNTIFS(Raw_Volunteers!$A$2:$A$926,Raw_Volunteers!A424,Raw_Volunteers!$D$2:$D$926,Raw_Volunteers!D424,Raw_Volunteers!$E$2:$E$926,Raw_Volunteers!E424,Raw_Volunteers!$G$2:$G$926,Raw_Volunteers!G424)&gt;1,"Possible Duplicate","")</f>
        <v/>
      </c>
      <c r="C424" s="9" t="str">
        <f aca="false">Raw_Volunteers!B424</f>
        <v>D1690</v>
      </c>
      <c r="D424" s="9" t="str">
        <f aca="false">IF(C424="","No","Yes")</f>
        <v>Yes</v>
      </c>
      <c r="E424" s="9" t="str">
        <f aca="false">Raw_Volunteers!C424</f>
        <v>Matthew Martinez</v>
      </c>
      <c r="F424" s="9" t="str">
        <f aca="false">Raw_Volunteers!D424</f>
        <v>10/08/2025</v>
      </c>
      <c r="G424" s="9" t="str">
        <f aca="false">PROPER(TRIM(Raw_Volunteers!E424))</f>
        <v>Front Desk Greeter</v>
      </c>
      <c r="H424" s="9" t="str">
        <f aca="false">Raw_Volunteers!F424</f>
        <v>Downtown Pantry</v>
      </c>
      <c r="I424" s="9" t="n">
        <f aca="false">IF(Raw_Volunteers!G424="",ROUND(AVERAGE(Raw_Volunteers!$G$2:$G$926),1),Raw_Volunteers!G424)</f>
        <v>3</v>
      </c>
    </row>
    <row r="425" customFormat="false" ht="15" hidden="false" customHeight="true" outlineLevel="0" collapsed="false">
      <c r="A425" s="9" t="str">
        <f aca="false">Raw_Volunteers!A425</f>
        <v>V2081</v>
      </c>
      <c r="B425" s="9" t="str">
        <f aca="false">IF(COUNTIFS(Raw_Volunteers!$A$2:$A$926,Raw_Volunteers!A425,Raw_Volunteers!$D$2:$D$926,Raw_Volunteers!D425,Raw_Volunteers!$E$2:$E$926,Raw_Volunteers!E425,Raw_Volunteers!$G$2:$G$926,Raw_Volunteers!G425)&gt;1,"Possible Duplicate","")</f>
        <v/>
      </c>
      <c r="C425" s="9" t="str">
        <f aca="false">Raw_Volunteers!B425</f>
        <v>D1690</v>
      </c>
      <c r="D425" s="9" t="str">
        <f aca="false">IF(C425="","No","Yes")</f>
        <v>Yes</v>
      </c>
      <c r="E425" s="9" t="str">
        <f aca="false">Raw_Volunteers!C425</f>
        <v>Matthew Martinez</v>
      </c>
      <c r="F425" s="9" t="str">
        <f aca="false">Raw_Volunteers!D425</f>
        <v>03/08/2026</v>
      </c>
      <c r="G425" s="9" t="str">
        <f aca="false">PROPER(TRIM(Raw_Volunteers!E425))</f>
        <v>Pantry Stocking</v>
      </c>
      <c r="H425" s="9" t="str">
        <f aca="false">Raw_Volunteers!F425</f>
        <v>Main Warehouse</v>
      </c>
      <c r="I425" s="9" t="n">
        <f aca="false">IF(Raw_Volunteers!G425="",ROUND(AVERAGE(Raw_Volunteers!$G$2:$G$926),1),Raw_Volunteers!G425)</f>
        <v>3</v>
      </c>
    </row>
    <row r="426" customFormat="false" ht="15" hidden="false" customHeight="true" outlineLevel="0" collapsed="false">
      <c r="A426" s="9" t="str">
        <f aca="false">Raw_Volunteers!A426</f>
        <v>V2081</v>
      </c>
      <c r="B426" s="9" t="str">
        <f aca="false">IF(COUNTIFS(Raw_Volunteers!$A$2:$A$926,Raw_Volunteers!A426,Raw_Volunteers!$D$2:$D$926,Raw_Volunteers!D426,Raw_Volunteers!$E$2:$E$926,Raw_Volunteers!E426,Raw_Volunteers!$G$2:$G$926,Raw_Volunteers!G426)&gt;1,"Possible Duplicate","")</f>
        <v/>
      </c>
      <c r="C426" s="9" t="str">
        <f aca="false">Raw_Volunteers!B426</f>
        <v>D1690</v>
      </c>
      <c r="D426" s="9" t="str">
        <f aca="false">IF(C426="","No","Yes")</f>
        <v>Yes</v>
      </c>
      <c r="E426" s="9" t="str">
        <f aca="false">Raw_Volunteers!C426</f>
        <v>Matthew Martinez</v>
      </c>
      <c r="F426" s="9" t="str">
        <f aca="false">Raw_Volunteers!D426</f>
        <v>05/20/2026</v>
      </c>
      <c r="G426" s="9" t="str">
        <f aca="false">PROPER(TRIM(Raw_Volunteers!E426))</f>
        <v>Client Intake Assistant</v>
      </c>
      <c r="H426" s="9" t="str">
        <f aca="false">Raw_Volunteers!F426</f>
        <v>Mobile Unit - Route A</v>
      </c>
      <c r="I426" s="9" t="n">
        <f aca="false">IF(Raw_Volunteers!G426="",ROUND(AVERAGE(Raw_Volunteers!$G$2:$G$926),1),Raw_Volunteers!G426)</f>
        <v>6</v>
      </c>
    </row>
    <row r="427" customFormat="false" ht="15" hidden="false" customHeight="true" outlineLevel="0" collapsed="false">
      <c r="A427" s="9" t="str">
        <f aca="false">Raw_Volunteers!A427</f>
        <v>V2081</v>
      </c>
      <c r="B427" s="9" t="str">
        <f aca="false">IF(COUNTIFS(Raw_Volunteers!$A$2:$A$926,Raw_Volunteers!A427,Raw_Volunteers!$D$2:$D$926,Raw_Volunteers!D427,Raw_Volunteers!$E$2:$E$926,Raw_Volunteers!E427,Raw_Volunteers!$G$2:$G$926,Raw_Volunteers!G427)&gt;1,"Possible Duplicate","")</f>
        <v/>
      </c>
      <c r="C427" s="9" t="str">
        <f aca="false">Raw_Volunteers!B427</f>
        <v>D1690</v>
      </c>
      <c r="D427" s="9" t="str">
        <f aca="false">IF(C427="","No","Yes")</f>
        <v>Yes</v>
      </c>
      <c r="E427" s="9" t="str">
        <f aca="false">Raw_Volunteers!C427</f>
        <v>Matthew Martinez</v>
      </c>
      <c r="F427" s="9" t="str">
        <f aca="false">Raw_Volunteers!D427</f>
        <v>04/08/2026</v>
      </c>
      <c r="G427" s="9" t="str">
        <f aca="false">PROPER(TRIM(Raw_Volunteers!E427))</f>
        <v>Mobile Distribution Driver</v>
      </c>
      <c r="H427" s="9" t="str">
        <f aca="false">Raw_Volunteers!F427</f>
        <v>Community Center Site</v>
      </c>
      <c r="I427" s="9" t="n">
        <f aca="false">IF(Raw_Volunteers!G427="",ROUND(AVERAGE(Raw_Volunteers!$G$2:$G$926),1),Raw_Volunteers!G427)</f>
        <v>2</v>
      </c>
    </row>
    <row r="428" customFormat="false" ht="15" hidden="false" customHeight="true" outlineLevel="0" collapsed="false">
      <c r="A428" s="9" t="str">
        <f aca="false">Raw_Volunteers!A428</f>
        <v>V2082</v>
      </c>
      <c r="B428" s="9" t="str">
        <f aca="false">IF(COUNTIFS(Raw_Volunteers!$A$2:$A$926,Raw_Volunteers!A428,Raw_Volunteers!$D$2:$D$926,Raw_Volunteers!D428,Raw_Volunteers!$E$2:$E$926,Raw_Volunteers!E428,Raw_Volunteers!$G$2:$G$926,Raw_Volunteers!G428)&gt;1,"Possible Duplicate","")</f>
        <v/>
      </c>
      <c r="C428" s="9" t="str">
        <f aca="false">Raw_Volunteers!B428</f>
        <v>D1413</v>
      </c>
      <c r="D428" s="9" t="str">
        <f aca="false">IF(C428="","No","Yes")</f>
        <v>Yes</v>
      </c>
      <c r="E428" s="9" t="str">
        <f aca="false">Raw_Volunteers!C428</f>
        <v>Mark Jackson</v>
      </c>
      <c r="F428" s="9" t="str">
        <f aca="false">Raw_Volunteers!D428</f>
        <v>07/07/2025</v>
      </c>
      <c r="G428" s="9" t="str">
        <f aca="false">PROPER(TRIM(Raw_Volunteers!E428))</f>
        <v>Client Intake Assistant</v>
      </c>
      <c r="H428" s="9" t="str">
        <f aca="false">Raw_Volunteers!F428</f>
        <v>Main Warehouse</v>
      </c>
      <c r="I428" s="9" t="n">
        <f aca="false">IF(Raw_Volunteers!G428="",ROUND(AVERAGE(Raw_Volunteers!$G$2:$G$926),1),Raw_Volunteers!G428)</f>
        <v>6</v>
      </c>
    </row>
    <row r="429" customFormat="false" ht="15" hidden="false" customHeight="true" outlineLevel="0" collapsed="false">
      <c r="A429" s="9" t="str">
        <f aca="false">Raw_Volunteers!A429</f>
        <v>V2082</v>
      </c>
      <c r="B429" s="9" t="str">
        <f aca="false">IF(COUNTIFS(Raw_Volunteers!$A$2:$A$926,Raw_Volunteers!A429,Raw_Volunteers!$D$2:$D$926,Raw_Volunteers!D429,Raw_Volunteers!$E$2:$E$926,Raw_Volunteers!E429,Raw_Volunteers!$G$2:$G$926,Raw_Volunteers!G429)&gt;1,"Possible Duplicate","")</f>
        <v/>
      </c>
      <c r="C429" s="9" t="str">
        <f aca="false">Raw_Volunteers!B429</f>
        <v>D1413</v>
      </c>
      <c r="D429" s="9" t="str">
        <f aca="false">IF(C429="","No","Yes")</f>
        <v>Yes</v>
      </c>
      <c r="E429" s="9" t="str">
        <f aca="false">Raw_Volunteers!C429</f>
        <v>Mark Jackson</v>
      </c>
      <c r="F429" s="9" t="str">
        <f aca="false">Raw_Volunteers!D429</f>
        <v>02/12/2025</v>
      </c>
      <c r="G429" s="9" t="str">
        <f aca="false">PROPER(TRIM(Raw_Volunteers!E429))</f>
        <v>Food Sorting</v>
      </c>
      <c r="H429" s="9" t="str">
        <f aca="false">Raw_Volunteers!F429</f>
        <v>Community Center Site</v>
      </c>
      <c r="I429" s="9" t="n">
        <f aca="false">IF(Raw_Volunteers!G429="",ROUND(AVERAGE(Raw_Volunteers!$G$2:$G$926),1),Raw_Volunteers!G429)</f>
        <v>2.9</v>
      </c>
    </row>
    <row r="430" customFormat="false" ht="15" hidden="false" customHeight="true" outlineLevel="0" collapsed="false">
      <c r="A430" s="9" t="str">
        <f aca="false">Raw_Volunteers!A430</f>
        <v>V2082</v>
      </c>
      <c r="B430" s="9" t="str">
        <f aca="false">IF(COUNTIFS(Raw_Volunteers!$A$2:$A$926,Raw_Volunteers!A430,Raw_Volunteers!$D$2:$D$926,Raw_Volunteers!D430,Raw_Volunteers!$E$2:$E$926,Raw_Volunteers!E430,Raw_Volunteers!$G$2:$G$926,Raw_Volunteers!G430)&gt;1,"Possible Duplicate","")</f>
        <v/>
      </c>
      <c r="C430" s="9" t="str">
        <f aca="false">Raw_Volunteers!B430</f>
        <v>D1413</v>
      </c>
      <c r="D430" s="9" t="str">
        <f aca="false">IF(C430="","No","Yes")</f>
        <v>Yes</v>
      </c>
      <c r="E430" s="9" t="str">
        <f aca="false">Raw_Volunteers!C430</f>
        <v>Mark Jackson</v>
      </c>
      <c r="F430" s="9" t="str">
        <f aca="false">Raw_Volunteers!D430</f>
        <v>02/26/2026</v>
      </c>
      <c r="G430" s="9" t="str">
        <f aca="false">PROPER(TRIM(Raw_Volunteers!E430))</f>
        <v>Front Desk Greeter</v>
      </c>
      <c r="H430" s="9" t="str">
        <f aca="false">Raw_Volunteers!F430</f>
        <v>Downtown Pantry</v>
      </c>
      <c r="I430" s="9" t="n">
        <f aca="false">IF(Raw_Volunteers!G430="",ROUND(AVERAGE(Raw_Volunteers!$G$2:$G$926),1),Raw_Volunteers!G430)</f>
        <v>2</v>
      </c>
    </row>
    <row r="431" customFormat="false" ht="15" hidden="false" customHeight="true" outlineLevel="0" collapsed="false">
      <c r="A431" s="9" t="str">
        <f aca="false">Raw_Volunteers!A431</f>
        <v>V2082</v>
      </c>
      <c r="B431" s="9" t="str">
        <f aca="false">IF(COUNTIFS(Raw_Volunteers!$A$2:$A$926,Raw_Volunteers!A431,Raw_Volunteers!$D$2:$D$926,Raw_Volunteers!D431,Raw_Volunteers!$E$2:$E$926,Raw_Volunteers!E431,Raw_Volunteers!$G$2:$G$926,Raw_Volunteers!G431)&gt;1,"Possible Duplicate","")</f>
        <v/>
      </c>
      <c r="C431" s="9" t="str">
        <f aca="false">Raw_Volunteers!B431</f>
        <v>D1413</v>
      </c>
      <c r="D431" s="9" t="str">
        <f aca="false">IF(C431="","No","Yes")</f>
        <v>Yes</v>
      </c>
      <c r="E431" s="9" t="str">
        <f aca="false">Raw_Volunteers!C431</f>
        <v>Mark Jackson</v>
      </c>
      <c r="F431" s="9" t="str">
        <f aca="false">Raw_Volunteers!D431</f>
        <v>04/12/2025</v>
      </c>
      <c r="G431" s="9" t="str">
        <f aca="false">PROPER(TRIM(Raw_Volunteers!E431))</f>
        <v>Food Sorting</v>
      </c>
      <c r="H431" s="9" t="str">
        <f aca="false">Raw_Volunteers!F431</f>
        <v>Main Warehouse</v>
      </c>
      <c r="I431" s="9" t="n">
        <f aca="false">IF(Raw_Volunteers!G431="",ROUND(AVERAGE(Raw_Volunteers!$G$2:$G$926),1),Raw_Volunteers!G431)</f>
        <v>3</v>
      </c>
    </row>
    <row r="432" customFormat="false" ht="15" hidden="false" customHeight="true" outlineLevel="0" collapsed="false">
      <c r="A432" s="9" t="str">
        <f aca="false">Raw_Volunteers!A432</f>
        <v>V2082</v>
      </c>
      <c r="B432" s="9" t="str">
        <f aca="false">IF(COUNTIFS(Raw_Volunteers!$A$2:$A$926,Raw_Volunteers!A432,Raw_Volunteers!$D$2:$D$926,Raw_Volunteers!D432,Raw_Volunteers!$E$2:$E$926,Raw_Volunteers!E432,Raw_Volunteers!$G$2:$G$926,Raw_Volunteers!G432)&gt;1,"Possible Duplicate","")</f>
        <v/>
      </c>
      <c r="C432" s="9" t="str">
        <f aca="false">Raw_Volunteers!B432</f>
        <v>D1413</v>
      </c>
      <c r="D432" s="9" t="str">
        <f aca="false">IF(C432="","No","Yes")</f>
        <v>Yes</v>
      </c>
      <c r="E432" s="9" t="str">
        <f aca="false">Raw_Volunteers!C432</f>
        <v>Mark Jackson</v>
      </c>
      <c r="F432" s="9" t="str">
        <f aca="false">Raw_Volunteers!D432</f>
        <v>02/22/2024</v>
      </c>
      <c r="G432" s="9" t="str">
        <f aca="false">PROPER(TRIM(Raw_Volunteers!E432))</f>
        <v>Pantry Stocking</v>
      </c>
      <c r="H432" s="9" t="str">
        <f aca="false">Raw_Volunteers!F432</f>
        <v>Mobile Unit - Route B</v>
      </c>
      <c r="I432" s="9" t="n">
        <f aca="false">IF(Raw_Volunteers!G432="",ROUND(AVERAGE(Raw_Volunteers!$G$2:$G$926),1),Raw_Volunteers!G432)</f>
        <v>3</v>
      </c>
    </row>
    <row r="433" customFormat="false" ht="15" hidden="false" customHeight="true" outlineLevel="0" collapsed="false">
      <c r="A433" s="9" t="str">
        <f aca="false">Raw_Volunteers!A433</f>
        <v>V2082</v>
      </c>
      <c r="B433" s="9" t="str">
        <f aca="false">IF(COUNTIFS(Raw_Volunteers!$A$2:$A$926,Raw_Volunteers!A433,Raw_Volunteers!$D$2:$D$926,Raw_Volunteers!D433,Raw_Volunteers!$E$2:$E$926,Raw_Volunteers!E433,Raw_Volunteers!$G$2:$G$926,Raw_Volunteers!G433)&gt;1,"Possible Duplicate","")</f>
        <v/>
      </c>
      <c r="C433" s="9" t="str">
        <f aca="false">Raw_Volunteers!B433</f>
        <v>D1413</v>
      </c>
      <c r="D433" s="9" t="str">
        <f aca="false">IF(C433="","No","Yes")</f>
        <v>Yes</v>
      </c>
      <c r="E433" s="9" t="str">
        <f aca="false">Raw_Volunteers!C433</f>
        <v>Mark Jackson</v>
      </c>
      <c r="F433" s="9" t="str">
        <f aca="false">Raw_Volunteers!D433</f>
        <v>07/08/2024</v>
      </c>
      <c r="G433" s="9" t="str">
        <f aca="false">PROPER(TRIM(Raw_Volunteers!E433))</f>
        <v>Food Sorting</v>
      </c>
      <c r="H433" s="9" t="str">
        <f aca="false">Raw_Volunteers!F433</f>
        <v>Downtown Pantry</v>
      </c>
      <c r="I433" s="9" t="n">
        <f aca="false">IF(Raw_Volunteers!G433="",ROUND(AVERAGE(Raw_Volunteers!$G$2:$G$926),1),Raw_Volunteers!G433)</f>
        <v>6</v>
      </c>
    </row>
    <row r="434" customFormat="false" ht="15" hidden="false" customHeight="true" outlineLevel="0" collapsed="false">
      <c r="A434" s="9" t="str">
        <f aca="false">Raw_Volunteers!A434</f>
        <v>V2082</v>
      </c>
      <c r="B434" s="9" t="str">
        <f aca="false">IF(COUNTIFS(Raw_Volunteers!$A$2:$A$926,Raw_Volunteers!A434,Raw_Volunteers!$D$2:$D$926,Raw_Volunteers!D434,Raw_Volunteers!$E$2:$E$926,Raw_Volunteers!E434,Raw_Volunteers!$G$2:$G$926,Raw_Volunteers!G434)&gt;1,"Possible Duplicate","")</f>
        <v/>
      </c>
      <c r="C434" s="9" t="str">
        <f aca="false">Raw_Volunteers!B434</f>
        <v>D1413</v>
      </c>
      <c r="D434" s="9" t="str">
        <f aca="false">IF(C434="","No","Yes")</f>
        <v>Yes</v>
      </c>
      <c r="E434" s="9" t="str">
        <f aca="false">Raw_Volunteers!C434</f>
        <v>Mark Jackson</v>
      </c>
      <c r="F434" s="9" t="str">
        <f aca="false">Raw_Volunteers!D434</f>
        <v>04/15/2025</v>
      </c>
      <c r="G434" s="9" t="str">
        <f aca="false">PROPER(TRIM(Raw_Volunteers!E434))</f>
        <v>Food Sorting</v>
      </c>
      <c r="H434" s="9" t="str">
        <f aca="false">Raw_Volunteers!F434</f>
        <v>Mobile Unit - Route A</v>
      </c>
      <c r="I434" s="9" t="n">
        <f aca="false">IF(Raw_Volunteers!G434="",ROUND(AVERAGE(Raw_Volunteers!$G$2:$G$926),1),Raw_Volunteers!G434)</f>
        <v>2</v>
      </c>
    </row>
    <row r="435" customFormat="false" ht="15" hidden="false" customHeight="true" outlineLevel="0" collapsed="false">
      <c r="A435" s="9" t="str">
        <f aca="false">Raw_Volunteers!A435</f>
        <v>V2082</v>
      </c>
      <c r="B435" s="9" t="str">
        <f aca="false">IF(COUNTIFS(Raw_Volunteers!$A$2:$A$926,Raw_Volunteers!A435,Raw_Volunteers!$D$2:$D$926,Raw_Volunteers!D435,Raw_Volunteers!$E$2:$E$926,Raw_Volunteers!E435,Raw_Volunteers!$G$2:$G$926,Raw_Volunteers!G435)&gt;1,"Possible Duplicate","")</f>
        <v/>
      </c>
      <c r="C435" s="9" t="str">
        <f aca="false">Raw_Volunteers!B435</f>
        <v>D1413</v>
      </c>
      <c r="D435" s="9" t="str">
        <f aca="false">IF(C435="","No","Yes")</f>
        <v>Yes</v>
      </c>
      <c r="E435" s="9" t="str">
        <f aca="false">Raw_Volunteers!C435</f>
        <v>Mark Jackson</v>
      </c>
      <c r="F435" s="9" t="str">
        <f aca="false">Raw_Volunteers!D435</f>
        <v>02/13/2024</v>
      </c>
      <c r="G435" s="9" t="str">
        <f aca="false">PROPER(TRIM(Raw_Volunteers!E435))</f>
        <v>Warehouse Loading</v>
      </c>
      <c r="H435" s="9" t="str">
        <f aca="false">Raw_Volunteers!F435</f>
        <v>Mobile Unit - Route A</v>
      </c>
      <c r="I435" s="9" t="n">
        <f aca="false">IF(Raw_Volunteers!G435="",ROUND(AVERAGE(Raw_Volunteers!$G$2:$G$926),1),Raw_Volunteers!G435)</f>
        <v>2</v>
      </c>
    </row>
    <row r="436" customFormat="false" ht="15" hidden="false" customHeight="true" outlineLevel="0" collapsed="false">
      <c r="A436" s="9" t="str">
        <f aca="false">Raw_Volunteers!A436</f>
        <v>V2082</v>
      </c>
      <c r="B436" s="9" t="str">
        <f aca="false">IF(COUNTIFS(Raw_Volunteers!$A$2:$A$926,Raw_Volunteers!A436,Raw_Volunteers!$D$2:$D$926,Raw_Volunteers!D436,Raw_Volunteers!$E$2:$E$926,Raw_Volunteers!E436,Raw_Volunteers!$G$2:$G$926,Raw_Volunteers!G436)&gt;1,"Possible Duplicate","")</f>
        <v/>
      </c>
      <c r="C436" s="9" t="str">
        <f aca="false">Raw_Volunteers!B436</f>
        <v>D1413</v>
      </c>
      <c r="D436" s="9" t="str">
        <f aca="false">IF(C436="","No","Yes")</f>
        <v>Yes</v>
      </c>
      <c r="E436" s="9" t="str">
        <f aca="false">Raw_Volunteers!C436</f>
        <v>Mark Jackson</v>
      </c>
      <c r="F436" s="9" t="str">
        <f aca="false">Raw_Volunteers!D436</f>
        <v>03/03/2026</v>
      </c>
      <c r="G436" s="9" t="str">
        <f aca="false">PROPER(TRIM(Raw_Volunteers!E436))</f>
        <v>Mobile Distribution Driver</v>
      </c>
      <c r="H436" s="9" t="str">
        <f aca="false">Raw_Volunteers!F436</f>
        <v>Main Warehouse</v>
      </c>
      <c r="I436" s="9" t="n">
        <f aca="false">IF(Raw_Volunteers!G436="",ROUND(AVERAGE(Raw_Volunteers!$G$2:$G$926),1),Raw_Volunteers!G436)</f>
        <v>2</v>
      </c>
    </row>
    <row r="437" customFormat="false" ht="15" hidden="false" customHeight="true" outlineLevel="0" collapsed="false">
      <c r="A437" s="9" t="str">
        <f aca="false">Raw_Volunteers!A437</f>
        <v>V2082</v>
      </c>
      <c r="B437" s="9" t="str">
        <f aca="false">IF(COUNTIFS(Raw_Volunteers!$A$2:$A$926,Raw_Volunteers!A437,Raw_Volunteers!$D$2:$D$926,Raw_Volunteers!D437,Raw_Volunteers!$E$2:$E$926,Raw_Volunteers!E437,Raw_Volunteers!$G$2:$G$926,Raw_Volunteers!G437)&gt;1,"Possible Duplicate","")</f>
        <v/>
      </c>
      <c r="C437" s="9" t="str">
        <f aca="false">Raw_Volunteers!B437</f>
        <v>D1413</v>
      </c>
      <c r="D437" s="9" t="str">
        <f aca="false">IF(C437="","No","Yes")</f>
        <v>Yes</v>
      </c>
      <c r="E437" s="9" t="str">
        <f aca="false">Raw_Volunteers!C437</f>
        <v>Mark Jackson</v>
      </c>
      <c r="F437" s="9" t="str">
        <f aca="false">Raw_Volunteers!D437</f>
        <v>09/11/2024</v>
      </c>
      <c r="G437" s="9" t="str">
        <f aca="false">PROPER(TRIM(Raw_Volunteers!E437))</f>
        <v>Food Sorting</v>
      </c>
      <c r="H437" s="9" t="str">
        <f aca="false">Raw_Volunteers!F437</f>
        <v>Mobile Unit - Route B</v>
      </c>
      <c r="I437" s="9" t="n">
        <f aca="false">IF(Raw_Volunteers!G437="",ROUND(AVERAGE(Raw_Volunteers!$G$2:$G$926),1),Raw_Volunteers!G437)</f>
        <v>2</v>
      </c>
    </row>
    <row r="438" customFormat="false" ht="15" hidden="false" customHeight="true" outlineLevel="0" collapsed="false">
      <c r="A438" s="9" t="str">
        <f aca="false">Raw_Volunteers!A438</f>
        <v>V2082</v>
      </c>
      <c r="B438" s="9" t="str">
        <f aca="false">IF(COUNTIFS(Raw_Volunteers!$A$2:$A$926,Raw_Volunteers!A438,Raw_Volunteers!$D$2:$D$926,Raw_Volunteers!D438,Raw_Volunteers!$E$2:$E$926,Raw_Volunteers!E438,Raw_Volunteers!$G$2:$G$926,Raw_Volunteers!G438)&gt;1,"Possible Duplicate","")</f>
        <v/>
      </c>
      <c r="C438" s="9" t="str">
        <f aca="false">Raw_Volunteers!B438</f>
        <v>D1413</v>
      </c>
      <c r="D438" s="9" t="str">
        <f aca="false">IF(C438="","No","Yes")</f>
        <v>Yes</v>
      </c>
      <c r="E438" s="9" t="str">
        <f aca="false">Raw_Volunteers!C438</f>
        <v>Mark Jackson</v>
      </c>
      <c r="F438" s="9" t="str">
        <f aca="false">Raw_Volunteers!D438</f>
        <v>07/30/2025</v>
      </c>
      <c r="G438" s="9" t="str">
        <f aca="false">PROPER(TRIM(Raw_Volunteers!E438))</f>
        <v>Warehouse Loading</v>
      </c>
      <c r="H438" s="9" t="str">
        <f aca="false">Raw_Volunteers!F438</f>
        <v>Mobile Unit - Route B</v>
      </c>
      <c r="I438" s="9" t="n">
        <f aca="false">IF(Raw_Volunteers!G438="",ROUND(AVERAGE(Raw_Volunteers!$G$2:$G$926),1),Raw_Volunteers!G438)</f>
        <v>3</v>
      </c>
    </row>
    <row r="439" customFormat="false" ht="15" hidden="false" customHeight="true" outlineLevel="0" collapsed="false">
      <c r="A439" s="9" t="str">
        <f aca="false">Raw_Volunteers!A439</f>
        <v>V2082</v>
      </c>
      <c r="B439" s="9" t="str">
        <f aca="false">IF(COUNTIFS(Raw_Volunteers!$A$2:$A$926,Raw_Volunteers!A439,Raw_Volunteers!$D$2:$D$926,Raw_Volunteers!D439,Raw_Volunteers!$E$2:$E$926,Raw_Volunteers!E439,Raw_Volunteers!$G$2:$G$926,Raw_Volunteers!G439)&gt;1,"Possible Duplicate","")</f>
        <v/>
      </c>
      <c r="C439" s="9" t="str">
        <f aca="false">Raw_Volunteers!B439</f>
        <v>D1413</v>
      </c>
      <c r="D439" s="9" t="str">
        <f aca="false">IF(C439="","No","Yes")</f>
        <v>Yes</v>
      </c>
      <c r="E439" s="9" t="str">
        <f aca="false">Raw_Volunteers!C439</f>
        <v>Mark Jackson</v>
      </c>
      <c r="F439" s="9" t="str">
        <f aca="false">Raw_Volunteers!D439</f>
        <v>02/02/2024</v>
      </c>
      <c r="G439" s="9" t="str">
        <f aca="false">PROPER(TRIM(Raw_Volunteers!E439))</f>
        <v>Front Desk Greeter</v>
      </c>
      <c r="H439" s="9" t="str">
        <f aca="false">Raw_Volunteers!F439</f>
        <v>Downtown Pantry</v>
      </c>
      <c r="I439" s="9" t="n">
        <f aca="false">IF(Raw_Volunteers!G439="",ROUND(AVERAGE(Raw_Volunteers!$G$2:$G$926),1),Raw_Volunteers!G439)</f>
        <v>3</v>
      </c>
    </row>
    <row r="440" customFormat="false" ht="15" hidden="false" customHeight="true" outlineLevel="0" collapsed="false">
      <c r="A440" s="9" t="str">
        <f aca="false">Raw_Volunteers!A440</f>
        <v>V2083</v>
      </c>
      <c r="B440" s="9" t="str">
        <f aca="false">IF(COUNTIFS(Raw_Volunteers!$A$2:$A$926,Raw_Volunteers!A440,Raw_Volunteers!$D$2:$D$926,Raw_Volunteers!D440,Raw_Volunteers!$E$2:$E$926,Raw_Volunteers!E440,Raw_Volunteers!$G$2:$G$926,Raw_Volunteers!G440)&gt;1,"Possible Duplicate","")</f>
        <v/>
      </c>
      <c r="C440" s="9" t="str">
        <f aca="false">Raw_Volunteers!B440</f>
        <v>D1240</v>
      </c>
      <c r="D440" s="9" t="str">
        <f aca="false">IF(C440="","No","Yes")</f>
        <v>Yes</v>
      </c>
      <c r="E440" s="9" t="str">
        <f aca="false">Raw_Volunteers!C440</f>
        <v>Michael Martin</v>
      </c>
      <c r="F440" s="9" t="str">
        <f aca="false">Raw_Volunteers!D440</f>
        <v>06/26/2025</v>
      </c>
      <c r="G440" s="9" t="str">
        <f aca="false">PROPER(TRIM(Raw_Volunteers!E440))</f>
        <v>Food Sorting</v>
      </c>
      <c r="H440" s="9" t="str">
        <f aca="false">Raw_Volunteers!F440</f>
        <v>Mobile Unit - Route A</v>
      </c>
      <c r="I440" s="9" t="n">
        <f aca="false">IF(Raw_Volunteers!G440="",ROUND(AVERAGE(Raw_Volunteers!$G$2:$G$926),1),Raw_Volunteers!G440)</f>
        <v>3</v>
      </c>
    </row>
    <row r="441" customFormat="false" ht="15" hidden="false" customHeight="true" outlineLevel="0" collapsed="false">
      <c r="A441" s="9" t="str">
        <f aca="false">Raw_Volunteers!A441</f>
        <v>V2084</v>
      </c>
      <c r="B441" s="9" t="str">
        <f aca="false">IF(COUNTIFS(Raw_Volunteers!$A$2:$A$926,Raw_Volunteers!A441,Raw_Volunteers!$D$2:$D$926,Raw_Volunteers!D441,Raw_Volunteers!$E$2:$E$926,Raw_Volunteers!E441,Raw_Volunteers!$G$2:$G$926,Raw_Volunteers!G441)&gt;1,"Possible Duplicate","")</f>
        <v/>
      </c>
      <c r="C441" s="9" t="str">
        <f aca="false">Raw_Volunteers!B441</f>
        <v>D1254</v>
      </c>
      <c r="D441" s="9" t="str">
        <f aca="false">IF(C441="","No","Yes")</f>
        <v>Yes</v>
      </c>
      <c r="E441" s="9" t="str">
        <f aca="false">Raw_Volunteers!C441</f>
        <v>Mary Hernandez</v>
      </c>
      <c r="F441" s="9" t="str">
        <f aca="false">Raw_Volunteers!D441</f>
        <v>05/12/2026</v>
      </c>
      <c r="G441" s="9" t="str">
        <f aca="false">PROPER(TRIM(Raw_Volunteers!E441))</f>
        <v>Food Sorting</v>
      </c>
      <c r="H441" s="9" t="str">
        <f aca="false">Raw_Volunteers!F441</f>
        <v>Downtown Pantry</v>
      </c>
      <c r="I441" s="9" t="n">
        <f aca="false">IF(Raw_Volunteers!G441="",ROUND(AVERAGE(Raw_Volunteers!$G$2:$G$926),1),Raw_Volunteers!G441)</f>
        <v>4</v>
      </c>
    </row>
    <row r="442" customFormat="false" ht="15" hidden="false" customHeight="true" outlineLevel="0" collapsed="false">
      <c r="A442" s="9" t="str">
        <f aca="false">Raw_Volunteers!A442</f>
        <v>V2084</v>
      </c>
      <c r="B442" s="9" t="str">
        <f aca="false">IF(COUNTIFS(Raw_Volunteers!$A$2:$A$926,Raw_Volunteers!A442,Raw_Volunteers!$D$2:$D$926,Raw_Volunteers!D442,Raw_Volunteers!$E$2:$E$926,Raw_Volunteers!E442,Raw_Volunteers!$G$2:$G$926,Raw_Volunteers!G442)&gt;1,"Possible Duplicate","")</f>
        <v/>
      </c>
      <c r="C442" s="9" t="str">
        <f aca="false">Raw_Volunteers!B442</f>
        <v>D1254</v>
      </c>
      <c r="D442" s="9" t="str">
        <f aca="false">IF(C442="","No","Yes")</f>
        <v>Yes</v>
      </c>
      <c r="E442" s="9" t="str">
        <f aca="false">Raw_Volunteers!C442</f>
        <v>Mary Hernandez</v>
      </c>
      <c r="F442" s="9" t="str">
        <f aca="false">Raw_Volunteers!D442</f>
        <v>02/02/2024</v>
      </c>
      <c r="G442" s="9" t="str">
        <f aca="false">PROPER(TRIM(Raw_Volunteers!E442))</f>
        <v>Event Setup</v>
      </c>
      <c r="H442" s="9" t="str">
        <f aca="false">Raw_Volunteers!F442</f>
        <v>Downtown Pantry</v>
      </c>
      <c r="I442" s="9" t="n">
        <f aca="false">IF(Raw_Volunteers!G442="",ROUND(AVERAGE(Raw_Volunteers!$G$2:$G$926),1),Raw_Volunteers!G442)</f>
        <v>4</v>
      </c>
    </row>
    <row r="443" customFormat="false" ht="15" hidden="false" customHeight="true" outlineLevel="0" collapsed="false">
      <c r="A443" s="9" t="str">
        <f aca="false">Raw_Volunteers!A443</f>
        <v>V2084</v>
      </c>
      <c r="B443" s="9" t="str">
        <f aca="false">IF(COUNTIFS(Raw_Volunteers!$A$2:$A$926,Raw_Volunteers!A443,Raw_Volunteers!$D$2:$D$926,Raw_Volunteers!D443,Raw_Volunteers!$E$2:$E$926,Raw_Volunteers!E443,Raw_Volunteers!$G$2:$G$926,Raw_Volunteers!G443)&gt;1,"Possible Duplicate","")</f>
        <v/>
      </c>
      <c r="C443" s="9" t="str">
        <f aca="false">Raw_Volunteers!B443</f>
        <v>D1254</v>
      </c>
      <c r="D443" s="9" t="str">
        <f aca="false">IF(C443="","No","Yes")</f>
        <v>Yes</v>
      </c>
      <c r="E443" s="9" t="str">
        <f aca="false">Raw_Volunteers!C443</f>
        <v>Mary Hernandez</v>
      </c>
      <c r="F443" s="9" t="str">
        <f aca="false">Raw_Volunteers!D443</f>
        <v>11/08/2024</v>
      </c>
      <c r="G443" s="9" t="str">
        <f aca="false">PROPER(TRIM(Raw_Volunteers!E443))</f>
        <v>Event Setup</v>
      </c>
      <c r="H443" s="9" t="str">
        <f aca="false">Raw_Volunteers!F443</f>
        <v>Main Warehouse</v>
      </c>
      <c r="I443" s="9" t="n">
        <f aca="false">IF(Raw_Volunteers!G443="",ROUND(AVERAGE(Raw_Volunteers!$G$2:$G$926),1),Raw_Volunteers!G443)</f>
        <v>2</v>
      </c>
    </row>
    <row r="444" customFormat="false" ht="15" hidden="false" customHeight="true" outlineLevel="0" collapsed="false">
      <c r="A444" s="9" t="str">
        <f aca="false">Raw_Volunteers!A444</f>
        <v>V2084</v>
      </c>
      <c r="B444" s="9" t="str">
        <f aca="false">IF(COUNTIFS(Raw_Volunteers!$A$2:$A$926,Raw_Volunteers!A444,Raw_Volunteers!$D$2:$D$926,Raw_Volunteers!D444,Raw_Volunteers!$E$2:$E$926,Raw_Volunteers!E444,Raw_Volunteers!$G$2:$G$926,Raw_Volunteers!G444)&gt;1,"Possible Duplicate","")</f>
        <v/>
      </c>
      <c r="C444" s="9" t="str">
        <f aca="false">Raw_Volunteers!B444</f>
        <v>D1254</v>
      </c>
      <c r="D444" s="9" t="str">
        <f aca="false">IF(C444="","No","Yes")</f>
        <v>Yes</v>
      </c>
      <c r="E444" s="9" t="str">
        <f aca="false">Raw_Volunteers!C444</f>
        <v>Mary Hernandez</v>
      </c>
      <c r="F444" s="9" t="str">
        <f aca="false">Raw_Volunteers!D444</f>
        <v>09/21/2025</v>
      </c>
      <c r="G444" s="9" t="str">
        <f aca="false">PROPER(TRIM(Raw_Volunteers!E444))</f>
        <v>Client Intake Assistant</v>
      </c>
      <c r="H444" s="9" t="str">
        <f aca="false">Raw_Volunteers!F444</f>
        <v>Community Center Site</v>
      </c>
      <c r="I444" s="9" t="n">
        <f aca="false">IF(Raw_Volunteers!G444="",ROUND(AVERAGE(Raw_Volunteers!$G$2:$G$926),1),Raw_Volunteers!G444)</f>
        <v>3</v>
      </c>
    </row>
    <row r="445" customFormat="false" ht="15" hidden="false" customHeight="true" outlineLevel="0" collapsed="false">
      <c r="A445" s="9" t="str">
        <f aca="false">Raw_Volunteers!A445</f>
        <v>V2084</v>
      </c>
      <c r="B445" s="9" t="str">
        <f aca="false">IF(COUNTIFS(Raw_Volunteers!$A$2:$A$926,Raw_Volunteers!A445,Raw_Volunteers!$D$2:$D$926,Raw_Volunteers!D445,Raw_Volunteers!$E$2:$E$926,Raw_Volunteers!E445,Raw_Volunteers!$G$2:$G$926,Raw_Volunteers!G445)&gt;1,"Possible Duplicate","")</f>
        <v/>
      </c>
      <c r="C445" s="9" t="str">
        <f aca="false">Raw_Volunteers!B445</f>
        <v>D1254</v>
      </c>
      <c r="D445" s="9" t="str">
        <f aca="false">IF(C445="","No","Yes")</f>
        <v>Yes</v>
      </c>
      <c r="E445" s="9" t="str">
        <f aca="false">Raw_Volunteers!C445</f>
        <v>Mary Hernandez</v>
      </c>
      <c r="F445" s="9" t="str">
        <f aca="false">Raw_Volunteers!D445</f>
        <v>05/12/2024</v>
      </c>
      <c r="G445" s="9" t="str">
        <f aca="false">PROPER(TRIM(Raw_Volunteers!E445))</f>
        <v>Pantry Stocking</v>
      </c>
      <c r="H445" s="9" t="str">
        <f aca="false">Raw_Volunteers!F445</f>
        <v>Mobile Unit - Route B</v>
      </c>
      <c r="I445" s="9" t="n">
        <f aca="false">IF(Raw_Volunteers!G445="",ROUND(AVERAGE(Raw_Volunteers!$G$2:$G$926),1),Raw_Volunteers!G445)</f>
        <v>3</v>
      </c>
    </row>
    <row r="446" customFormat="false" ht="15" hidden="false" customHeight="true" outlineLevel="0" collapsed="false">
      <c r="A446" s="9" t="str">
        <f aca="false">Raw_Volunteers!A446</f>
        <v>V2085</v>
      </c>
      <c r="B446" s="9" t="str">
        <f aca="false">IF(COUNTIFS(Raw_Volunteers!$A$2:$A$926,Raw_Volunteers!A446,Raw_Volunteers!$D$2:$D$926,Raw_Volunteers!D446,Raw_Volunteers!$E$2:$E$926,Raw_Volunteers!E446,Raw_Volunteers!$G$2:$G$926,Raw_Volunteers!G446)&gt;1,"Possible Duplicate","")</f>
        <v/>
      </c>
      <c r="C446" s="9" t="str">
        <f aca="false">Raw_Volunteers!B446</f>
        <v>D1122</v>
      </c>
      <c r="D446" s="9" t="str">
        <f aca="false">IF(C446="","No","Yes")</f>
        <v>Yes</v>
      </c>
      <c r="E446" s="9" t="str">
        <f aca="false">Raw_Volunteers!C446</f>
        <v>Richard Rodriguez</v>
      </c>
      <c r="F446" s="9" t="str">
        <f aca="false">Raw_Volunteers!D446</f>
        <v>12/30/2024</v>
      </c>
      <c r="G446" s="9" t="str">
        <f aca="false">PROPER(TRIM(Raw_Volunteers!E446))</f>
        <v>Event Setup</v>
      </c>
      <c r="H446" s="9" t="str">
        <f aca="false">Raw_Volunteers!F446</f>
        <v>Mobile Unit - Route B</v>
      </c>
      <c r="I446" s="9" t="n">
        <f aca="false">IF(Raw_Volunteers!G446="",ROUND(AVERAGE(Raw_Volunteers!$G$2:$G$926),1),Raw_Volunteers!G446)</f>
        <v>4</v>
      </c>
    </row>
    <row r="447" customFormat="false" ht="15" hidden="false" customHeight="true" outlineLevel="0" collapsed="false">
      <c r="A447" s="9" t="str">
        <f aca="false">Raw_Volunteers!A447</f>
        <v>V2085</v>
      </c>
      <c r="B447" s="9" t="str">
        <f aca="false">IF(COUNTIFS(Raw_Volunteers!$A$2:$A$926,Raw_Volunteers!A447,Raw_Volunteers!$D$2:$D$926,Raw_Volunteers!D447,Raw_Volunteers!$E$2:$E$926,Raw_Volunteers!E447,Raw_Volunteers!$G$2:$G$926,Raw_Volunteers!G447)&gt;1,"Possible Duplicate","")</f>
        <v/>
      </c>
      <c r="C447" s="9" t="str">
        <f aca="false">Raw_Volunteers!B447</f>
        <v>D1122</v>
      </c>
      <c r="D447" s="9" t="str">
        <f aca="false">IF(C447="","No","Yes")</f>
        <v>Yes</v>
      </c>
      <c r="E447" s="9" t="str">
        <f aca="false">Raw_Volunteers!C447</f>
        <v>Richard Rodriguez</v>
      </c>
      <c r="F447" s="9" t="str">
        <f aca="false">Raw_Volunteers!D447</f>
        <v>06/08/2024</v>
      </c>
      <c r="G447" s="9" t="str">
        <f aca="false">PROPER(TRIM(Raw_Volunteers!E447))</f>
        <v>Food Sorting</v>
      </c>
      <c r="H447" s="9" t="str">
        <f aca="false">Raw_Volunteers!F447</f>
        <v>Main Warehouse</v>
      </c>
      <c r="I447" s="9" t="n">
        <f aca="false">IF(Raw_Volunteers!G447="",ROUND(AVERAGE(Raw_Volunteers!$G$2:$G$926),1),Raw_Volunteers!G447)</f>
        <v>3</v>
      </c>
    </row>
    <row r="448" customFormat="false" ht="15" hidden="false" customHeight="true" outlineLevel="0" collapsed="false">
      <c r="A448" s="9" t="str">
        <f aca="false">Raw_Volunteers!A448</f>
        <v>V2086</v>
      </c>
      <c r="B448" s="9" t="str">
        <f aca="false">IF(COUNTIFS(Raw_Volunteers!$A$2:$A$926,Raw_Volunteers!A448,Raw_Volunteers!$D$2:$D$926,Raw_Volunteers!D448,Raw_Volunteers!$E$2:$E$926,Raw_Volunteers!E448,Raw_Volunteers!$G$2:$G$926,Raw_Volunteers!G448)&gt;1,"Possible Duplicate","")</f>
        <v/>
      </c>
      <c r="C448" s="9" t="str">
        <f aca="false">Raw_Volunteers!B448</f>
        <v>D1400</v>
      </c>
      <c r="D448" s="9" t="str">
        <f aca="false">IF(C448="","No","Yes")</f>
        <v>Yes</v>
      </c>
      <c r="E448" s="9" t="str">
        <f aca="false">Raw_Volunteers!C448</f>
        <v>William Young</v>
      </c>
      <c r="F448" s="9" t="str">
        <f aca="false">Raw_Volunteers!D448</f>
        <v>07/28/2024</v>
      </c>
      <c r="G448" s="9" t="str">
        <f aca="false">PROPER(TRIM(Raw_Volunteers!E448))</f>
        <v>Client Intake Assistant</v>
      </c>
      <c r="H448" s="9" t="str">
        <f aca="false">Raw_Volunteers!F448</f>
        <v>Downtown Pantry</v>
      </c>
      <c r="I448" s="9" t="n">
        <f aca="false">IF(Raw_Volunteers!G448="",ROUND(AVERAGE(Raw_Volunteers!$G$2:$G$926),1),Raw_Volunteers!G448)</f>
        <v>2</v>
      </c>
    </row>
    <row r="449" customFormat="false" ht="15" hidden="false" customHeight="true" outlineLevel="0" collapsed="false">
      <c r="A449" s="9" t="str">
        <f aca="false">Raw_Volunteers!A449</f>
        <v>V2086</v>
      </c>
      <c r="B449" s="9" t="str">
        <f aca="false">IF(COUNTIFS(Raw_Volunteers!$A$2:$A$926,Raw_Volunteers!A449,Raw_Volunteers!$D$2:$D$926,Raw_Volunteers!D449,Raw_Volunteers!$E$2:$E$926,Raw_Volunteers!E449,Raw_Volunteers!$G$2:$G$926,Raw_Volunteers!G449)&gt;1,"Possible Duplicate","")</f>
        <v/>
      </c>
      <c r="C449" s="9" t="str">
        <f aca="false">Raw_Volunteers!B449</f>
        <v>D1400</v>
      </c>
      <c r="D449" s="9" t="str">
        <f aca="false">IF(C449="","No","Yes")</f>
        <v>Yes</v>
      </c>
      <c r="E449" s="9" t="str">
        <f aca="false">Raw_Volunteers!C449</f>
        <v>William Young</v>
      </c>
      <c r="F449" s="9" t="str">
        <f aca="false">Raw_Volunteers!D449</f>
        <v>07/28/2025</v>
      </c>
      <c r="G449" s="9" t="str">
        <f aca="false">PROPER(TRIM(Raw_Volunteers!E449))</f>
        <v>Warehouse Loading</v>
      </c>
      <c r="H449" s="9" t="str">
        <f aca="false">Raw_Volunteers!F449</f>
        <v>Main Warehouse</v>
      </c>
      <c r="I449" s="9" t="n">
        <f aca="false">IF(Raw_Volunteers!G449="",ROUND(AVERAGE(Raw_Volunteers!$G$2:$G$926),1),Raw_Volunteers!G449)</f>
        <v>2</v>
      </c>
    </row>
    <row r="450" customFormat="false" ht="15" hidden="false" customHeight="true" outlineLevel="0" collapsed="false">
      <c r="A450" s="9" t="str">
        <f aca="false">Raw_Volunteers!A450</f>
        <v>V2086</v>
      </c>
      <c r="B450" s="9" t="str">
        <f aca="false">IF(COUNTIFS(Raw_Volunteers!$A$2:$A$926,Raw_Volunteers!A450,Raw_Volunteers!$D$2:$D$926,Raw_Volunteers!D450,Raw_Volunteers!$E$2:$E$926,Raw_Volunteers!E450,Raw_Volunteers!$G$2:$G$926,Raw_Volunteers!G450)&gt;1,"Possible Duplicate","")</f>
        <v/>
      </c>
      <c r="C450" s="9" t="str">
        <f aca="false">Raw_Volunteers!B450</f>
        <v>D1400</v>
      </c>
      <c r="D450" s="9" t="str">
        <f aca="false">IF(C450="","No","Yes")</f>
        <v>Yes</v>
      </c>
      <c r="E450" s="9" t="str">
        <f aca="false">Raw_Volunteers!C450</f>
        <v>William Young</v>
      </c>
      <c r="F450" s="9" t="str">
        <f aca="false">Raw_Volunteers!D450</f>
        <v>08/20/2024</v>
      </c>
      <c r="G450" s="9" t="str">
        <f aca="false">PROPER(TRIM(Raw_Volunteers!E450))</f>
        <v>Event Setup</v>
      </c>
      <c r="H450" s="9" t="str">
        <f aca="false">Raw_Volunteers!F450</f>
        <v>Mobile Unit - Route B</v>
      </c>
      <c r="I450" s="9" t="n">
        <f aca="false">IF(Raw_Volunteers!G450="",ROUND(AVERAGE(Raw_Volunteers!$G$2:$G$926),1),Raw_Volunteers!G450)</f>
        <v>3</v>
      </c>
    </row>
    <row r="451" customFormat="false" ht="15" hidden="false" customHeight="true" outlineLevel="0" collapsed="false">
      <c r="A451" s="9" t="str">
        <f aca="false">Raw_Volunteers!A451</f>
        <v>V2086</v>
      </c>
      <c r="B451" s="9" t="str">
        <f aca="false">IF(COUNTIFS(Raw_Volunteers!$A$2:$A$926,Raw_Volunteers!A451,Raw_Volunteers!$D$2:$D$926,Raw_Volunteers!D451,Raw_Volunteers!$E$2:$E$926,Raw_Volunteers!E451,Raw_Volunteers!$G$2:$G$926,Raw_Volunteers!G451)&gt;1,"Possible Duplicate","")</f>
        <v/>
      </c>
      <c r="C451" s="9" t="str">
        <f aca="false">Raw_Volunteers!B451</f>
        <v>D1400</v>
      </c>
      <c r="D451" s="9" t="str">
        <f aca="false">IF(C451="","No","Yes")</f>
        <v>Yes</v>
      </c>
      <c r="E451" s="9" t="str">
        <f aca="false">Raw_Volunteers!C451</f>
        <v>William Young</v>
      </c>
      <c r="F451" s="9" t="str">
        <f aca="false">Raw_Volunteers!D451</f>
        <v>09/23/2024</v>
      </c>
      <c r="G451" s="9" t="str">
        <f aca="false">PROPER(TRIM(Raw_Volunteers!E451))</f>
        <v>Pantry Stocking</v>
      </c>
      <c r="H451" s="9" t="str">
        <f aca="false">Raw_Volunteers!F451</f>
        <v>Downtown Pantry</v>
      </c>
      <c r="I451" s="9" t="n">
        <f aca="false">IF(Raw_Volunteers!G451="",ROUND(AVERAGE(Raw_Volunteers!$G$2:$G$926),1),Raw_Volunteers!G451)</f>
        <v>2</v>
      </c>
    </row>
    <row r="452" customFormat="false" ht="15" hidden="false" customHeight="true" outlineLevel="0" collapsed="false">
      <c r="A452" s="9" t="str">
        <f aca="false">Raw_Volunteers!A452</f>
        <v>V2086</v>
      </c>
      <c r="B452" s="9" t="str">
        <f aca="false">IF(COUNTIFS(Raw_Volunteers!$A$2:$A$926,Raw_Volunteers!A452,Raw_Volunteers!$D$2:$D$926,Raw_Volunteers!D452,Raw_Volunteers!$E$2:$E$926,Raw_Volunteers!E452,Raw_Volunteers!$G$2:$G$926,Raw_Volunteers!G452)&gt;1,"Possible Duplicate","")</f>
        <v/>
      </c>
      <c r="C452" s="9" t="str">
        <f aca="false">Raw_Volunteers!B452</f>
        <v>D1400</v>
      </c>
      <c r="D452" s="9" t="str">
        <f aca="false">IF(C452="","No","Yes")</f>
        <v>Yes</v>
      </c>
      <c r="E452" s="9" t="str">
        <f aca="false">Raw_Volunteers!C452</f>
        <v>William Young</v>
      </c>
      <c r="F452" s="9" t="str">
        <f aca="false">Raw_Volunteers!D452</f>
        <v>09/07/2025</v>
      </c>
      <c r="G452" s="9" t="str">
        <f aca="false">PROPER(TRIM(Raw_Volunteers!E452))</f>
        <v>Holiday Box Packing</v>
      </c>
      <c r="H452" s="9" t="str">
        <f aca="false">Raw_Volunteers!F452</f>
        <v>Main Warehouse</v>
      </c>
      <c r="I452" s="9" t="n">
        <f aca="false">IF(Raw_Volunteers!G452="",ROUND(AVERAGE(Raw_Volunteers!$G$2:$G$926),1),Raw_Volunteers!G452)</f>
        <v>2</v>
      </c>
    </row>
    <row r="453" customFormat="false" ht="15" hidden="false" customHeight="true" outlineLevel="0" collapsed="false">
      <c r="A453" s="9" t="str">
        <f aca="false">Raw_Volunteers!A453</f>
        <v>V2087</v>
      </c>
      <c r="B453" s="9" t="str">
        <f aca="false">IF(COUNTIFS(Raw_Volunteers!$A$2:$A$926,Raw_Volunteers!A453,Raw_Volunteers!$D$2:$D$926,Raw_Volunteers!D453,Raw_Volunteers!$E$2:$E$926,Raw_Volunteers!E453,Raw_Volunteers!$G$2:$G$926,Raw_Volunteers!G453)&gt;1,"Possible Duplicate","")</f>
        <v/>
      </c>
      <c r="C453" s="9" t="str">
        <f aca="false">Raw_Volunteers!B453</f>
        <v>D1186</v>
      </c>
      <c r="D453" s="9" t="str">
        <f aca="false">IF(C453="","No","Yes")</f>
        <v>Yes</v>
      </c>
      <c r="E453" s="9" t="str">
        <f aca="false">Raw_Volunteers!C453</f>
        <v>Sarah Moore</v>
      </c>
      <c r="F453" s="9" t="str">
        <f aca="false">Raw_Volunteers!D453</f>
        <v>04/26/2025</v>
      </c>
      <c r="G453" s="9" t="str">
        <f aca="false">PROPER(TRIM(Raw_Volunteers!E453))</f>
        <v>Warehouse Loading</v>
      </c>
      <c r="H453" s="9" t="str">
        <f aca="false">Raw_Volunteers!F453</f>
        <v>Main Warehouse</v>
      </c>
      <c r="I453" s="9" t="n">
        <f aca="false">IF(Raw_Volunteers!G453="",ROUND(AVERAGE(Raw_Volunteers!$G$2:$G$926),1),Raw_Volunteers!G453)</f>
        <v>3</v>
      </c>
    </row>
    <row r="454" customFormat="false" ht="15" hidden="false" customHeight="true" outlineLevel="0" collapsed="false">
      <c r="A454" s="9" t="str">
        <f aca="false">Raw_Volunteers!A454</f>
        <v>V2087</v>
      </c>
      <c r="B454" s="9" t="str">
        <f aca="false">IF(COUNTIFS(Raw_Volunteers!$A$2:$A$926,Raw_Volunteers!A454,Raw_Volunteers!$D$2:$D$926,Raw_Volunteers!D454,Raw_Volunteers!$E$2:$E$926,Raw_Volunteers!E454,Raw_Volunteers!$G$2:$G$926,Raw_Volunteers!G454)&gt;1,"Possible Duplicate","")</f>
        <v/>
      </c>
      <c r="C454" s="9" t="str">
        <f aca="false">Raw_Volunteers!B454</f>
        <v>D1186</v>
      </c>
      <c r="D454" s="9" t="str">
        <f aca="false">IF(C454="","No","Yes")</f>
        <v>Yes</v>
      </c>
      <c r="E454" s="9" t="str">
        <f aca="false">Raw_Volunteers!C454</f>
        <v>Sarah Moore</v>
      </c>
      <c r="F454" s="9" t="str">
        <f aca="false">Raw_Volunteers!D454</f>
        <v>03/06/2024</v>
      </c>
      <c r="G454" s="9" t="str">
        <f aca="false">PROPER(TRIM(Raw_Volunteers!E454))</f>
        <v>Client Intake Assistant</v>
      </c>
      <c r="H454" s="9" t="str">
        <f aca="false">Raw_Volunteers!F454</f>
        <v>Downtown Pantry</v>
      </c>
      <c r="I454" s="9" t="n">
        <f aca="false">IF(Raw_Volunteers!G454="",ROUND(AVERAGE(Raw_Volunteers!$G$2:$G$926),1),Raw_Volunteers!G454)</f>
        <v>3</v>
      </c>
    </row>
    <row r="455" customFormat="false" ht="15" hidden="false" customHeight="true" outlineLevel="0" collapsed="false">
      <c r="A455" s="9" t="str">
        <f aca="false">Raw_Volunteers!A455</f>
        <v>V2087</v>
      </c>
      <c r="B455" s="9" t="str">
        <f aca="false">IF(COUNTIFS(Raw_Volunteers!$A$2:$A$926,Raw_Volunteers!A455,Raw_Volunteers!$D$2:$D$926,Raw_Volunteers!D455,Raw_Volunteers!$E$2:$E$926,Raw_Volunteers!E455,Raw_Volunteers!$G$2:$G$926,Raw_Volunteers!G455)&gt;1,"Possible Duplicate","")</f>
        <v/>
      </c>
      <c r="C455" s="9" t="str">
        <f aca="false">Raw_Volunteers!B455</f>
        <v>D1186</v>
      </c>
      <c r="D455" s="9" t="str">
        <f aca="false">IF(C455="","No","Yes")</f>
        <v>Yes</v>
      </c>
      <c r="E455" s="9" t="str">
        <f aca="false">Raw_Volunteers!C455</f>
        <v>Sarah Moore</v>
      </c>
      <c r="F455" s="9" t="str">
        <f aca="false">Raw_Volunteers!D455</f>
        <v>03/01/2025</v>
      </c>
      <c r="G455" s="9" t="str">
        <f aca="false">PROPER(TRIM(Raw_Volunteers!E455))</f>
        <v>Holiday Box Packing</v>
      </c>
      <c r="H455" s="9" t="str">
        <f aca="false">Raw_Volunteers!F455</f>
        <v>Community Center Site</v>
      </c>
      <c r="I455" s="9" t="n">
        <f aca="false">IF(Raw_Volunteers!G455="",ROUND(AVERAGE(Raw_Volunteers!$G$2:$G$926),1),Raw_Volunteers!G455)</f>
        <v>3</v>
      </c>
    </row>
    <row r="456" customFormat="false" ht="15" hidden="false" customHeight="true" outlineLevel="0" collapsed="false">
      <c r="A456" s="9" t="str">
        <f aca="false">Raw_Volunteers!A456</f>
        <v>V2087</v>
      </c>
      <c r="B456" s="9" t="str">
        <f aca="false">IF(COUNTIFS(Raw_Volunteers!$A$2:$A$926,Raw_Volunteers!A456,Raw_Volunteers!$D$2:$D$926,Raw_Volunteers!D456,Raw_Volunteers!$E$2:$E$926,Raw_Volunteers!E456,Raw_Volunteers!$G$2:$G$926,Raw_Volunteers!G456)&gt;1,"Possible Duplicate","")</f>
        <v/>
      </c>
      <c r="C456" s="9" t="str">
        <f aca="false">Raw_Volunteers!B456</f>
        <v>D1186</v>
      </c>
      <c r="D456" s="9" t="str">
        <f aca="false">IF(C456="","No","Yes")</f>
        <v>Yes</v>
      </c>
      <c r="E456" s="9" t="str">
        <f aca="false">Raw_Volunteers!C456</f>
        <v>Sarah Moore</v>
      </c>
      <c r="F456" s="9" t="str">
        <f aca="false">Raw_Volunteers!D456</f>
        <v>03/12/2025</v>
      </c>
      <c r="G456" s="9" t="str">
        <f aca="false">PROPER(TRIM(Raw_Volunteers!E456))</f>
        <v>Client Intake Assistant</v>
      </c>
      <c r="H456" s="9" t="str">
        <f aca="false">Raw_Volunteers!F456</f>
        <v>Mobile Unit - Route A</v>
      </c>
      <c r="I456" s="9" t="n">
        <f aca="false">IF(Raw_Volunteers!G456="",ROUND(AVERAGE(Raw_Volunteers!$G$2:$G$926),1),Raw_Volunteers!G456)</f>
        <v>2</v>
      </c>
    </row>
    <row r="457" customFormat="false" ht="15" hidden="false" customHeight="true" outlineLevel="0" collapsed="false">
      <c r="A457" s="9" t="str">
        <f aca="false">Raw_Volunteers!A457</f>
        <v>V2088</v>
      </c>
      <c r="B457" s="9" t="str">
        <f aca="false">IF(COUNTIFS(Raw_Volunteers!$A$2:$A$926,Raw_Volunteers!A457,Raw_Volunteers!$D$2:$D$926,Raw_Volunteers!D457,Raw_Volunteers!$E$2:$E$926,Raw_Volunteers!E457,Raw_Volunteers!$G$2:$G$926,Raw_Volunteers!G457)&gt;1,"Possible Duplicate","")</f>
        <v/>
      </c>
      <c r="C457" s="9" t="str">
        <f aca="false">Raw_Volunteers!B457</f>
        <v>D1211</v>
      </c>
      <c r="D457" s="9" t="str">
        <f aca="false">IF(C457="","No","Yes")</f>
        <v>Yes</v>
      </c>
      <c r="E457" s="9" t="str">
        <f aca="false">Raw_Volunteers!C457</f>
        <v>Mary Sanchez</v>
      </c>
      <c r="F457" s="9" t="str">
        <f aca="false">Raw_Volunteers!D457</f>
        <v>12/14/2024</v>
      </c>
      <c r="G457" s="9" t="str">
        <f aca="false">PROPER(TRIM(Raw_Volunteers!E457))</f>
        <v>Front Desk Greeter</v>
      </c>
      <c r="H457" s="9" t="str">
        <f aca="false">Raw_Volunteers!F457</f>
        <v>Main Warehouse</v>
      </c>
      <c r="I457" s="9" t="n">
        <f aca="false">IF(Raw_Volunteers!G457="",ROUND(AVERAGE(Raw_Volunteers!$G$2:$G$926),1),Raw_Volunteers!G457)</f>
        <v>3</v>
      </c>
    </row>
    <row r="458" customFormat="false" ht="15" hidden="false" customHeight="true" outlineLevel="0" collapsed="false">
      <c r="A458" s="9" t="str">
        <f aca="false">Raw_Volunteers!A458</f>
        <v>V2089</v>
      </c>
      <c r="B458" s="9" t="str">
        <f aca="false">IF(COUNTIFS(Raw_Volunteers!$A$2:$A$926,Raw_Volunteers!A458,Raw_Volunteers!$D$2:$D$926,Raw_Volunteers!D458,Raw_Volunteers!$E$2:$E$926,Raw_Volunteers!E458,Raw_Volunteers!$G$2:$G$926,Raw_Volunteers!G458)&gt;1,"Possible Duplicate","")</f>
        <v/>
      </c>
      <c r="C458" s="9" t="str">
        <f aca="false">Raw_Volunteers!B458</f>
        <v>D1669</v>
      </c>
      <c r="D458" s="9" t="str">
        <f aca="false">IF(C458="","No","Yes")</f>
        <v>Yes</v>
      </c>
      <c r="E458" s="9" t="str">
        <f aca="false">Raw_Volunteers!C458</f>
        <v>Edward Perez</v>
      </c>
      <c r="F458" s="9" t="str">
        <f aca="false">Raw_Volunteers!D458</f>
        <v>01/28/2024</v>
      </c>
      <c r="G458" s="9" t="str">
        <f aca="false">PROPER(TRIM(Raw_Volunteers!E458))</f>
        <v>Client Intake Assistant</v>
      </c>
      <c r="H458" s="9" t="str">
        <f aca="false">Raw_Volunteers!F458</f>
        <v>Mobile Unit - Route B</v>
      </c>
      <c r="I458" s="9" t="n">
        <f aca="false">IF(Raw_Volunteers!G458="",ROUND(AVERAGE(Raw_Volunteers!$G$2:$G$926),1),Raw_Volunteers!G458)</f>
        <v>2</v>
      </c>
    </row>
    <row r="459" customFormat="false" ht="15" hidden="false" customHeight="true" outlineLevel="0" collapsed="false">
      <c r="A459" s="9" t="str">
        <f aca="false">Raw_Volunteers!A459</f>
        <v>V2089</v>
      </c>
      <c r="B459" s="9" t="str">
        <f aca="false">IF(COUNTIFS(Raw_Volunteers!$A$2:$A$926,Raw_Volunteers!A459,Raw_Volunteers!$D$2:$D$926,Raw_Volunteers!D459,Raw_Volunteers!$E$2:$E$926,Raw_Volunteers!E459,Raw_Volunteers!$G$2:$G$926,Raw_Volunteers!G459)&gt;1,"Possible Duplicate","")</f>
        <v/>
      </c>
      <c r="C459" s="9" t="str">
        <f aca="false">Raw_Volunteers!B459</f>
        <v>D1669</v>
      </c>
      <c r="D459" s="9" t="str">
        <f aca="false">IF(C459="","No","Yes")</f>
        <v>Yes</v>
      </c>
      <c r="E459" s="9" t="str">
        <f aca="false">Raw_Volunteers!C459</f>
        <v>Edward Perez</v>
      </c>
      <c r="F459" s="9" t="str">
        <f aca="false">Raw_Volunteers!D459</f>
        <v>04/03/2026</v>
      </c>
      <c r="G459" s="9" t="str">
        <f aca="false">PROPER(TRIM(Raw_Volunteers!E459))</f>
        <v>Client Intake Assistant</v>
      </c>
      <c r="H459" s="9" t="str">
        <f aca="false">Raw_Volunteers!F459</f>
        <v>Community Center Site</v>
      </c>
      <c r="I459" s="9" t="n">
        <f aca="false">IF(Raw_Volunteers!G459="",ROUND(AVERAGE(Raw_Volunteers!$G$2:$G$926),1),Raw_Volunteers!G459)</f>
        <v>2</v>
      </c>
    </row>
    <row r="460" customFormat="false" ht="15" hidden="false" customHeight="true" outlineLevel="0" collapsed="false">
      <c r="A460" s="9" t="str">
        <f aca="false">Raw_Volunteers!A460</f>
        <v>V2089</v>
      </c>
      <c r="B460" s="9" t="str">
        <f aca="false">IF(COUNTIFS(Raw_Volunteers!$A$2:$A$926,Raw_Volunteers!A460,Raw_Volunteers!$D$2:$D$926,Raw_Volunteers!D460,Raw_Volunteers!$E$2:$E$926,Raw_Volunteers!E460,Raw_Volunteers!$G$2:$G$926,Raw_Volunteers!G460)&gt;1,"Possible Duplicate","")</f>
        <v/>
      </c>
      <c r="C460" s="9" t="str">
        <f aca="false">Raw_Volunteers!B460</f>
        <v>D1669</v>
      </c>
      <c r="D460" s="9" t="str">
        <f aca="false">IF(C460="","No","Yes")</f>
        <v>Yes</v>
      </c>
      <c r="E460" s="9" t="str">
        <f aca="false">Raw_Volunteers!C460</f>
        <v>Edward Perez</v>
      </c>
      <c r="F460" s="9" t="str">
        <f aca="false">Raw_Volunteers!D460</f>
        <v>12/13/2025</v>
      </c>
      <c r="G460" s="9" t="str">
        <f aca="false">PROPER(TRIM(Raw_Volunteers!E460))</f>
        <v>Front Desk Greeter</v>
      </c>
      <c r="H460" s="9" t="str">
        <f aca="false">Raw_Volunteers!F460</f>
        <v>Mobile Unit - Route B</v>
      </c>
      <c r="I460" s="9" t="n">
        <f aca="false">IF(Raw_Volunteers!G460="",ROUND(AVERAGE(Raw_Volunteers!$G$2:$G$926),1),Raw_Volunteers!G460)</f>
        <v>3</v>
      </c>
    </row>
    <row r="461" customFormat="false" ht="15" hidden="false" customHeight="true" outlineLevel="0" collapsed="false">
      <c r="A461" s="9" t="str">
        <f aca="false">Raw_Volunteers!A461</f>
        <v>V2089</v>
      </c>
      <c r="B461" s="9" t="str">
        <f aca="false">IF(COUNTIFS(Raw_Volunteers!$A$2:$A$926,Raw_Volunteers!A461,Raw_Volunteers!$D$2:$D$926,Raw_Volunteers!D461,Raw_Volunteers!$E$2:$E$926,Raw_Volunteers!E461,Raw_Volunteers!$G$2:$G$926,Raw_Volunteers!G461)&gt;1,"Possible Duplicate","")</f>
        <v/>
      </c>
      <c r="C461" s="9" t="str">
        <f aca="false">Raw_Volunteers!B461</f>
        <v>D1669</v>
      </c>
      <c r="D461" s="9" t="str">
        <f aca="false">IF(C461="","No","Yes")</f>
        <v>Yes</v>
      </c>
      <c r="E461" s="9" t="str">
        <f aca="false">Raw_Volunteers!C461</f>
        <v>Edward Perez</v>
      </c>
      <c r="F461" s="9" t="str">
        <f aca="false">Raw_Volunteers!D461</f>
        <v>02/11/2024</v>
      </c>
      <c r="G461" s="9" t="str">
        <f aca="false">PROPER(TRIM(Raw_Volunteers!E461))</f>
        <v>Food Sorting</v>
      </c>
      <c r="H461" s="9" t="str">
        <f aca="false">Raw_Volunteers!F461</f>
        <v>Main Warehouse</v>
      </c>
      <c r="I461" s="9" t="n">
        <f aca="false">IF(Raw_Volunteers!G461="",ROUND(AVERAGE(Raw_Volunteers!$G$2:$G$926),1),Raw_Volunteers!G461)</f>
        <v>3</v>
      </c>
    </row>
    <row r="462" customFormat="false" ht="15" hidden="false" customHeight="true" outlineLevel="0" collapsed="false">
      <c r="A462" s="9" t="str">
        <f aca="false">Raw_Volunteers!A462</f>
        <v>V2089</v>
      </c>
      <c r="B462" s="9" t="str">
        <f aca="false">IF(COUNTIFS(Raw_Volunteers!$A$2:$A$926,Raw_Volunteers!A462,Raw_Volunteers!$D$2:$D$926,Raw_Volunteers!D462,Raw_Volunteers!$E$2:$E$926,Raw_Volunteers!E462,Raw_Volunteers!$G$2:$G$926,Raw_Volunteers!G462)&gt;1,"Possible Duplicate","")</f>
        <v/>
      </c>
      <c r="C462" s="9" t="str">
        <f aca="false">Raw_Volunteers!B462</f>
        <v>D1669</v>
      </c>
      <c r="D462" s="9" t="str">
        <f aca="false">IF(C462="","No","Yes")</f>
        <v>Yes</v>
      </c>
      <c r="E462" s="9" t="str">
        <f aca="false">Raw_Volunteers!C462</f>
        <v>Edward Perez</v>
      </c>
      <c r="F462" s="9" t="str">
        <f aca="false">Raw_Volunteers!D462</f>
        <v>12/19/2025</v>
      </c>
      <c r="G462" s="9" t="str">
        <f aca="false">PROPER(TRIM(Raw_Volunteers!E462))</f>
        <v>Client Intake Assistant</v>
      </c>
      <c r="H462" s="9" t="str">
        <f aca="false">Raw_Volunteers!F462</f>
        <v>Mobile Unit - Route A</v>
      </c>
      <c r="I462" s="9" t="n">
        <f aca="false">IF(Raw_Volunteers!G462="",ROUND(AVERAGE(Raw_Volunteers!$G$2:$G$926),1),Raw_Volunteers!G462)</f>
        <v>3</v>
      </c>
    </row>
    <row r="463" customFormat="false" ht="15" hidden="false" customHeight="true" outlineLevel="0" collapsed="false">
      <c r="A463" s="9" t="str">
        <f aca="false">Raw_Volunteers!A463</f>
        <v>V2089</v>
      </c>
      <c r="B463" s="9" t="str">
        <f aca="false">IF(COUNTIFS(Raw_Volunteers!$A$2:$A$926,Raw_Volunteers!A463,Raw_Volunteers!$D$2:$D$926,Raw_Volunteers!D463,Raw_Volunteers!$E$2:$E$926,Raw_Volunteers!E463,Raw_Volunteers!$G$2:$G$926,Raw_Volunteers!G463)&gt;1,"Possible Duplicate","")</f>
        <v/>
      </c>
      <c r="C463" s="9" t="str">
        <f aca="false">Raw_Volunteers!B463</f>
        <v>D1669</v>
      </c>
      <c r="D463" s="9" t="str">
        <f aca="false">IF(C463="","No","Yes")</f>
        <v>Yes</v>
      </c>
      <c r="E463" s="9" t="str">
        <f aca="false">Raw_Volunteers!C463</f>
        <v>Edward Perez</v>
      </c>
      <c r="F463" s="9" t="str">
        <f aca="false">Raw_Volunteers!D463</f>
        <v>01/26/2025</v>
      </c>
      <c r="G463" s="9" t="str">
        <f aca="false">PROPER(TRIM(Raw_Volunteers!E463))</f>
        <v>Pantry Stocking</v>
      </c>
      <c r="H463" s="9" t="str">
        <f aca="false">Raw_Volunteers!F463</f>
        <v>Community Center Site</v>
      </c>
      <c r="I463" s="9" t="n">
        <f aca="false">IF(Raw_Volunteers!G463="",ROUND(AVERAGE(Raw_Volunteers!$G$2:$G$926),1),Raw_Volunteers!G463)</f>
        <v>3</v>
      </c>
    </row>
    <row r="464" customFormat="false" ht="15" hidden="false" customHeight="true" outlineLevel="0" collapsed="false">
      <c r="A464" s="9" t="str">
        <f aca="false">Raw_Volunteers!A464</f>
        <v>V2090</v>
      </c>
      <c r="B464" s="9" t="str">
        <f aca="false">IF(COUNTIFS(Raw_Volunteers!$A$2:$A$926,Raw_Volunteers!A464,Raw_Volunteers!$D$2:$D$926,Raw_Volunteers!D464,Raw_Volunteers!$E$2:$E$926,Raw_Volunteers!E464,Raw_Volunteers!$G$2:$G$926,Raw_Volunteers!G464)&gt;1,"Possible Duplicate","")</f>
        <v/>
      </c>
      <c r="C464" s="9" t="str">
        <f aca="false">Raw_Volunteers!B464</f>
        <v>D1329</v>
      </c>
      <c r="D464" s="9" t="str">
        <f aca="false">IF(C464="","No","Yes")</f>
        <v>Yes</v>
      </c>
      <c r="E464" s="9" t="str">
        <f aca="false">Raw_Volunteers!C464</f>
        <v>Linda Wilson</v>
      </c>
      <c r="F464" s="9" t="str">
        <f aca="false">Raw_Volunteers!D464</f>
        <v>06/30/2025</v>
      </c>
      <c r="G464" s="9" t="str">
        <f aca="false">PROPER(TRIM(Raw_Volunteers!E464))</f>
        <v>Mobile Distribution Driver</v>
      </c>
      <c r="H464" s="9" t="str">
        <f aca="false">Raw_Volunteers!F464</f>
        <v>Mobile Unit - Route A</v>
      </c>
      <c r="I464" s="9" t="n">
        <f aca="false">IF(Raw_Volunteers!G464="",ROUND(AVERAGE(Raw_Volunteers!$G$2:$G$926),1),Raw_Volunteers!G464)</f>
        <v>3</v>
      </c>
    </row>
    <row r="465" customFormat="false" ht="15" hidden="false" customHeight="true" outlineLevel="0" collapsed="false">
      <c r="A465" s="9" t="str">
        <f aca="false">Raw_Volunteers!A465</f>
        <v>V2090</v>
      </c>
      <c r="B465" s="9" t="str">
        <f aca="false">IF(COUNTIFS(Raw_Volunteers!$A$2:$A$926,Raw_Volunteers!A465,Raw_Volunteers!$D$2:$D$926,Raw_Volunteers!D465,Raw_Volunteers!$E$2:$E$926,Raw_Volunteers!E465,Raw_Volunteers!$G$2:$G$926,Raw_Volunteers!G465)&gt;1,"Possible Duplicate","")</f>
        <v/>
      </c>
      <c r="C465" s="9" t="str">
        <f aca="false">Raw_Volunteers!B465</f>
        <v>D1329</v>
      </c>
      <c r="D465" s="9" t="str">
        <f aca="false">IF(C465="","No","Yes")</f>
        <v>Yes</v>
      </c>
      <c r="E465" s="9" t="str">
        <f aca="false">Raw_Volunteers!C465</f>
        <v>Linda Wilson</v>
      </c>
      <c r="F465" s="9" t="str">
        <f aca="false">Raw_Volunteers!D465</f>
        <v>08/16/2025</v>
      </c>
      <c r="G465" s="9" t="str">
        <f aca="false">PROPER(TRIM(Raw_Volunteers!E465))</f>
        <v>Pantry Stocking</v>
      </c>
      <c r="H465" s="9" t="str">
        <f aca="false">Raw_Volunteers!F465</f>
        <v>Mobile Unit - Route A</v>
      </c>
      <c r="I465" s="9" t="n">
        <f aca="false">IF(Raw_Volunteers!G465="",ROUND(AVERAGE(Raw_Volunteers!$G$2:$G$926),1),Raw_Volunteers!G465)</f>
        <v>2</v>
      </c>
    </row>
    <row r="466" customFormat="false" ht="15" hidden="false" customHeight="true" outlineLevel="0" collapsed="false">
      <c r="A466" s="9" t="str">
        <f aca="false">Raw_Volunteers!A466</f>
        <v>V2090</v>
      </c>
      <c r="B466" s="9" t="str">
        <f aca="false">IF(COUNTIFS(Raw_Volunteers!$A$2:$A$926,Raw_Volunteers!A466,Raw_Volunteers!$D$2:$D$926,Raw_Volunteers!D466,Raw_Volunteers!$E$2:$E$926,Raw_Volunteers!E466,Raw_Volunteers!$G$2:$G$926,Raw_Volunteers!G466)&gt;1,"Possible Duplicate","")</f>
        <v/>
      </c>
      <c r="C466" s="9" t="str">
        <f aca="false">Raw_Volunteers!B466</f>
        <v>D1329</v>
      </c>
      <c r="D466" s="9" t="str">
        <f aca="false">IF(C466="","No","Yes")</f>
        <v>Yes</v>
      </c>
      <c r="E466" s="9" t="str">
        <f aca="false">Raw_Volunteers!C466</f>
        <v>Linda Wilson</v>
      </c>
      <c r="F466" s="9" t="str">
        <f aca="false">Raw_Volunteers!D466</f>
        <v>06/12/2025</v>
      </c>
      <c r="G466" s="9" t="str">
        <f aca="false">PROPER(TRIM(Raw_Volunteers!E466))</f>
        <v>Holiday Box Packing</v>
      </c>
      <c r="H466" s="9" t="str">
        <f aca="false">Raw_Volunteers!F466</f>
        <v>Downtown Pantry</v>
      </c>
      <c r="I466" s="9" t="n">
        <f aca="false">IF(Raw_Volunteers!G466="",ROUND(AVERAGE(Raw_Volunteers!$G$2:$G$926),1),Raw_Volunteers!G466)</f>
        <v>2</v>
      </c>
    </row>
    <row r="467" customFormat="false" ht="15" hidden="false" customHeight="true" outlineLevel="0" collapsed="false">
      <c r="A467" s="9" t="str">
        <f aca="false">Raw_Volunteers!A467</f>
        <v>V2090</v>
      </c>
      <c r="B467" s="9" t="str">
        <f aca="false">IF(COUNTIFS(Raw_Volunteers!$A$2:$A$926,Raw_Volunteers!A467,Raw_Volunteers!$D$2:$D$926,Raw_Volunteers!D467,Raw_Volunteers!$E$2:$E$926,Raw_Volunteers!E467,Raw_Volunteers!$G$2:$G$926,Raw_Volunteers!G467)&gt;1,"Possible Duplicate","")</f>
        <v/>
      </c>
      <c r="C467" s="9" t="str">
        <f aca="false">Raw_Volunteers!B467</f>
        <v>D1329</v>
      </c>
      <c r="D467" s="9" t="str">
        <f aca="false">IF(C467="","No","Yes")</f>
        <v>Yes</v>
      </c>
      <c r="E467" s="9" t="str">
        <f aca="false">Raw_Volunteers!C467</f>
        <v>Linda Wilson</v>
      </c>
      <c r="F467" s="9" t="str">
        <f aca="false">Raw_Volunteers!D467</f>
        <v>03/17/2026</v>
      </c>
      <c r="G467" s="9" t="str">
        <f aca="false">PROPER(TRIM(Raw_Volunteers!E467))</f>
        <v>Front Desk Greeter</v>
      </c>
      <c r="H467" s="9" t="str">
        <f aca="false">Raw_Volunteers!F467</f>
        <v>Mobile Unit - Route A</v>
      </c>
      <c r="I467" s="9" t="n">
        <f aca="false">IF(Raw_Volunteers!G467="",ROUND(AVERAGE(Raw_Volunteers!$G$2:$G$926),1),Raw_Volunteers!G467)</f>
        <v>2</v>
      </c>
    </row>
    <row r="468" customFormat="false" ht="15" hidden="false" customHeight="true" outlineLevel="0" collapsed="false">
      <c r="A468" s="9" t="str">
        <f aca="false">Raw_Volunteers!A468</f>
        <v>V2090</v>
      </c>
      <c r="B468" s="9" t="str">
        <f aca="false">IF(COUNTIFS(Raw_Volunteers!$A$2:$A$926,Raw_Volunteers!A468,Raw_Volunteers!$D$2:$D$926,Raw_Volunteers!D468,Raw_Volunteers!$E$2:$E$926,Raw_Volunteers!E468,Raw_Volunteers!$G$2:$G$926,Raw_Volunteers!G468)&gt;1,"Possible Duplicate","")</f>
        <v/>
      </c>
      <c r="C468" s="9" t="str">
        <f aca="false">Raw_Volunteers!B468</f>
        <v>D1329</v>
      </c>
      <c r="D468" s="9" t="str">
        <f aca="false">IF(C468="","No","Yes")</f>
        <v>Yes</v>
      </c>
      <c r="E468" s="9" t="str">
        <f aca="false">Raw_Volunteers!C468</f>
        <v>Linda Wilson</v>
      </c>
      <c r="F468" s="9" t="str">
        <f aca="false">Raw_Volunteers!D468</f>
        <v>02/11/2025</v>
      </c>
      <c r="G468" s="9" t="str">
        <f aca="false">PROPER(TRIM(Raw_Volunteers!E468))</f>
        <v>Client Intake Assistant</v>
      </c>
      <c r="H468" s="9" t="str">
        <f aca="false">Raw_Volunteers!F468</f>
        <v>Community Center Site</v>
      </c>
      <c r="I468" s="9" t="n">
        <f aca="false">IF(Raw_Volunteers!G468="",ROUND(AVERAGE(Raw_Volunteers!$G$2:$G$926),1),Raw_Volunteers!G468)</f>
        <v>2.9</v>
      </c>
    </row>
    <row r="469" customFormat="false" ht="15" hidden="false" customHeight="true" outlineLevel="0" collapsed="false">
      <c r="A469" s="9" t="str">
        <f aca="false">Raw_Volunteers!A469</f>
        <v>V2091</v>
      </c>
      <c r="B469" s="9" t="str">
        <f aca="false">IF(COUNTIFS(Raw_Volunteers!$A$2:$A$926,Raw_Volunteers!A469,Raw_Volunteers!$D$2:$D$926,Raw_Volunteers!D469,Raw_Volunteers!$E$2:$E$926,Raw_Volunteers!E469,Raw_Volunteers!$G$2:$G$926,Raw_Volunteers!G469)&gt;1,"Possible Duplicate","")</f>
        <v/>
      </c>
      <c r="C469" s="9" t="str">
        <f aca="false">Raw_Volunteers!B469</f>
        <v>D1029</v>
      </c>
      <c r="D469" s="9" t="str">
        <f aca="false">IF(C469="","No","Yes")</f>
        <v>Yes</v>
      </c>
      <c r="E469" s="9" t="str">
        <f aca="false">Raw_Volunteers!C469</f>
        <v>Mark Torres</v>
      </c>
      <c r="F469" s="9" t="str">
        <f aca="false">Raw_Volunteers!D469</f>
        <v>03/25/2024</v>
      </c>
      <c r="G469" s="9" t="str">
        <f aca="false">PROPER(TRIM(Raw_Volunteers!E469))</f>
        <v>Pantry Stocking</v>
      </c>
      <c r="H469" s="9" t="str">
        <f aca="false">Raw_Volunteers!F469</f>
        <v>Main Warehouse</v>
      </c>
      <c r="I469" s="9" t="n">
        <f aca="false">IF(Raw_Volunteers!G469="",ROUND(AVERAGE(Raw_Volunteers!$G$2:$G$926),1),Raw_Volunteers!G469)</f>
        <v>3</v>
      </c>
    </row>
    <row r="470" customFormat="false" ht="15" hidden="false" customHeight="true" outlineLevel="0" collapsed="false">
      <c r="A470" s="9" t="str">
        <f aca="false">Raw_Volunteers!A470</f>
        <v>V2091</v>
      </c>
      <c r="B470" s="9" t="str">
        <f aca="false">IF(COUNTIFS(Raw_Volunteers!$A$2:$A$926,Raw_Volunteers!A470,Raw_Volunteers!$D$2:$D$926,Raw_Volunteers!D470,Raw_Volunteers!$E$2:$E$926,Raw_Volunteers!E470,Raw_Volunteers!$G$2:$G$926,Raw_Volunteers!G470)&gt;1,"Possible Duplicate","")</f>
        <v/>
      </c>
      <c r="C470" s="9" t="str">
        <f aca="false">Raw_Volunteers!B470</f>
        <v>D1029</v>
      </c>
      <c r="D470" s="9" t="str">
        <f aca="false">IF(C470="","No","Yes")</f>
        <v>Yes</v>
      </c>
      <c r="E470" s="9" t="str">
        <f aca="false">Raw_Volunteers!C470</f>
        <v>Mark Torres</v>
      </c>
      <c r="F470" s="9" t="str">
        <f aca="false">Raw_Volunteers!D470</f>
        <v>10/19/2024</v>
      </c>
      <c r="G470" s="9" t="str">
        <f aca="false">PROPER(TRIM(Raw_Volunteers!E470))</f>
        <v>Food Sorting</v>
      </c>
      <c r="H470" s="9" t="str">
        <f aca="false">Raw_Volunteers!F470</f>
        <v>Downtown Pantry</v>
      </c>
      <c r="I470" s="9" t="n">
        <f aca="false">IF(Raw_Volunteers!G470="",ROUND(AVERAGE(Raw_Volunteers!$G$2:$G$926),1),Raw_Volunteers!G470)</f>
        <v>2</v>
      </c>
    </row>
    <row r="471" customFormat="false" ht="15" hidden="false" customHeight="true" outlineLevel="0" collapsed="false">
      <c r="A471" s="9" t="str">
        <f aca="false">Raw_Volunteers!A471</f>
        <v>V2091</v>
      </c>
      <c r="B471" s="9" t="str">
        <f aca="false">IF(COUNTIFS(Raw_Volunteers!$A$2:$A$926,Raw_Volunteers!A471,Raw_Volunteers!$D$2:$D$926,Raw_Volunteers!D471,Raw_Volunteers!$E$2:$E$926,Raw_Volunteers!E471,Raw_Volunteers!$G$2:$G$926,Raw_Volunteers!G471)&gt;1,"Possible Duplicate","")</f>
        <v/>
      </c>
      <c r="C471" s="9" t="str">
        <f aca="false">Raw_Volunteers!B471</f>
        <v>D1029</v>
      </c>
      <c r="D471" s="9" t="str">
        <f aca="false">IF(C471="","No","Yes")</f>
        <v>Yes</v>
      </c>
      <c r="E471" s="9" t="str">
        <f aca="false">Raw_Volunteers!C471</f>
        <v>Mark Torres</v>
      </c>
      <c r="F471" s="9" t="str">
        <f aca="false">Raw_Volunteers!D471</f>
        <v>04/04/2024</v>
      </c>
      <c r="G471" s="9" t="str">
        <f aca="false">PROPER(TRIM(Raw_Volunteers!E471))</f>
        <v>Front Desk Greeter</v>
      </c>
      <c r="H471" s="9" t="str">
        <f aca="false">Raw_Volunteers!F471</f>
        <v>Mobile Unit - Route B</v>
      </c>
      <c r="I471" s="9" t="n">
        <f aca="false">IF(Raw_Volunteers!G471="",ROUND(AVERAGE(Raw_Volunteers!$G$2:$G$926),1),Raw_Volunteers!G471)</f>
        <v>2</v>
      </c>
    </row>
    <row r="472" customFormat="false" ht="15" hidden="false" customHeight="true" outlineLevel="0" collapsed="false">
      <c r="A472" s="9" t="str">
        <f aca="false">Raw_Volunteers!A472</f>
        <v>V2091</v>
      </c>
      <c r="B472" s="9" t="str">
        <f aca="false">IF(COUNTIFS(Raw_Volunteers!$A$2:$A$926,Raw_Volunteers!A472,Raw_Volunteers!$D$2:$D$926,Raw_Volunteers!D472,Raw_Volunteers!$E$2:$E$926,Raw_Volunteers!E472,Raw_Volunteers!$G$2:$G$926,Raw_Volunteers!G472)&gt;1,"Possible Duplicate","")</f>
        <v/>
      </c>
      <c r="C472" s="9" t="str">
        <f aca="false">Raw_Volunteers!B472</f>
        <v>D1029</v>
      </c>
      <c r="D472" s="9" t="str">
        <f aca="false">IF(C472="","No","Yes")</f>
        <v>Yes</v>
      </c>
      <c r="E472" s="9" t="str">
        <f aca="false">Raw_Volunteers!C472</f>
        <v>Mark Torres</v>
      </c>
      <c r="F472" s="9" t="str">
        <f aca="false">Raw_Volunteers!D472</f>
        <v>01/22/2025</v>
      </c>
      <c r="G472" s="9" t="str">
        <f aca="false">PROPER(TRIM(Raw_Volunteers!E472))</f>
        <v>Event Setup</v>
      </c>
      <c r="H472" s="9" t="str">
        <f aca="false">Raw_Volunteers!F472</f>
        <v>Mobile Unit - Route A</v>
      </c>
      <c r="I472" s="9" t="n">
        <f aca="false">IF(Raw_Volunteers!G472="",ROUND(AVERAGE(Raw_Volunteers!$G$2:$G$926),1),Raw_Volunteers!G472)</f>
        <v>2</v>
      </c>
    </row>
    <row r="473" customFormat="false" ht="15" hidden="false" customHeight="true" outlineLevel="0" collapsed="false">
      <c r="A473" s="9" t="str">
        <f aca="false">Raw_Volunteers!A473</f>
        <v>V2091</v>
      </c>
      <c r="B473" s="9" t="str">
        <f aca="false">IF(COUNTIFS(Raw_Volunteers!$A$2:$A$926,Raw_Volunteers!A473,Raw_Volunteers!$D$2:$D$926,Raw_Volunteers!D473,Raw_Volunteers!$E$2:$E$926,Raw_Volunteers!E473,Raw_Volunteers!$G$2:$G$926,Raw_Volunteers!G473)&gt;1,"Possible Duplicate","")</f>
        <v/>
      </c>
      <c r="C473" s="9" t="str">
        <f aca="false">Raw_Volunteers!B473</f>
        <v>D1029</v>
      </c>
      <c r="D473" s="9" t="str">
        <f aca="false">IF(C473="","No","Yes")</f>
        <v>Yes</v>
      </c>
      <c r="E473" s="9" t="str">
        <f aca="false">Raw_Volunteers!C473</f>
        <v>Mark Torres</v>
      </c>
      <c r="F473" s="9" t="str">
        <f aca="false">Raw_Volunteers!D473</f>
        <v>02/02/2025</v>
      </c>
      <c r="G473" s="9" t="str">
        <f aca="false">PROPER(TRIM(Raw_Volunteers!E473))</f>
        <v>Warehouse Loading</v>
      </c>
      <c r="H473" s="9" t="str">
        <f aca="false">Raw_Volunteers!F473</f>
        <v>Main Warehouse</v>
      </c>
      <c r="I473" s="9" t="n">
        <f aca="false">IF(Raw_Volunteers!G473="",ROUND(AVERAGE(Raw_Volunteers!$G$2:$G$926),1),Raw_Volunteers!G473)</f>
        <v>6</v>
      </c>
    </row>
    <row r="474" customFormat="false" ht="15" hidden="false" customHeight="true" outlineLevel="0" collapsed="false">
      <c r="A474" s="9" t="str">
        <f aca="false">Raw_Volunteers!A474</f>
        <v>V2092</v>
      </c>
      <c r="B474" s="9" t="str">
        <f aca="false">IF(COUNTIFS(Raw_Volunteers!$A$2:$A$926,Raw_Volunteers!A474,Raw_Volunteers!$D$2:$D$926,Raw_Volunteers!D474,Raw_Volunteers!$E$2:$E$926,Raw_Volunteers!E474,Raw_Volunteers!$G$2:$G$926,Raw_Volunteers!G474)&gt;1,"Possible Duplicate","")</f>
        <v/>
      </c>
      <c r="C474" s="9" t="str">
        <f aca="false">Raw_Volunteers!B474</f>
        <v>D1362</v>
      </c>
      <c r="D474" s="9" t="str">
        <f aca="false">IF(C474="","No","Yes")</f>
        <v>Yes</v>
      </c>
      <c r="E474" s="9" t="str">
        <f aca="false">Raw_Volunteers!C474</f>
        <v>William Wilson</v>
      </c>
      <c r="F474" s="9" t="str">
        <f aca="false">Raw_Volunteers!D474</f>
        <v>10/25/2024</v>
      </c>
      <c r="G474" s="9" t="str">
        <f aca="false">PROPER(TRIM(Raw_Volunteers!E474))</f>
        <v>Holiday Box Packing</v>
      </c>
      <c r="H474" s="9" t="str">
        <f aca="false">Raw_Volunteers!F474</f>
        <v>Community Center Site</v>
      </c>
      <c r="I474" s="9" t="n">
        <f aca="false">IF(Raw_Volunteers!G474="",ROUND(AVERAGE(Raw_Volunteers!$G$2:$G$926),1),Raw_Volunteers!G474)</f>
        <v>3</v>
      </c>
    </row>
    <row r="475" customFormat="false" ht="15" hidden="false" customHeight="true" outlineLevel="0" collapsed="false">
      <c r="A475" s="9" t="str">
        <f aca="false">Raw_Volunteers!A475</f>
        <v>V2092</v>
      </c>
      <c r="B475" s="9" t="str">
        <f aca="false">IF(COUNTIFS(Raw_Volunteers!$A$2:$A$926,Raw_Volunteers!A475,Raw_Volunteers!$D$2:$D$926,Raw_Volunteers!D475,Raw_Volunteers!$E$2:$E$926,Raw_Volunteers!E475,Raw_Volunteers!$G$2:$G$926,Raw_Volunteers!G475)&gt;1,"Possible Duplicate","")</f>
        <v/>
      </c>
      <c r="C475" s="9" t="str">
        <f aca="false">Raw_Volunteers!B475</f>
        <v>D1362</v>
      </c>
      <c r="D475" s="9" t="str">
        <f aca="false">IF(C475="","No","Yes")</f>
        <v>Yes</v>
      </c>
      <c r="E475" s="9" t="str">
        <f aca="false">Raw_Volunteers!C475</f>
        <v>William Wilson</v>
      </c>
      <c r="F475" s="9" t="str">
        <f aca="false">Raw_Volunteers!D475</f>
        <v>11/13/2025</v>
      </c>
      <c r="G475" s="9" t="str">
        <f aca="false">PROPER(TRIM(Raw_Volunteers!E475))</f>
        <v>Mobile Distribution Driver</v>
      </c>
      <c r="H475" s="9" t="str">
        <f aca="false">Raw_Volunteers!F475</f>
        <v>Main Warehouse</v>
      </c>
      <c r="I475" s="9" t="n">
        <f aca="false">IF(Raw_Volunteers!G475="",ROUND(AVERAGE(Raw_Volunteers!$G$2:$G$926),1),Raw_Volunteers!G475)</f>
        <v>4</v>
      </c>
    </row>
    <row r="476" customFormat="false" ht="15" hidden="false" customHeight="true" outlineLevel="0" collapsed="false">
      <c r="A476" s="9" t="str">
        <f aca="false">Raw_Volunteers!A476</f>
        <v>V2092</v>
      </c>
      <c r="B476" s="9" t="str">
        <f aca="false">IF(COUNTIFS(Raw_Volunteers!$A$2:$A$926,Raw_Volunteers!A476,Raw_Volunteers!$D$2:$D$926,Raw_Volunteers!D476,Raw_Volunteers!$E$2:$E$926,Raw_Volunteers!E476,Raw_Volunteers!$G$2:$G$926,Raw_Volunteers!G476)&gt;1,"Possible Duplicate","")</f>
        <v/>
      </c>
      <c r="C476" s="9" t="str">
        <f aca="false">Raw_Volunteers!B476</f>
        <v>D1362</v>
      </c>
      <c r="D476" s="9" t="str">
        <f aca="false">IF(C476="","No","Yes")</f>
        <v>Yes</v>
      </c>
      <c r="E476" s="9" t="str">
        <f aca="false">Raw_Volunteers!C476</f>
        <v>William Wilson</v>
      </c>
      <c r="F476" s="9" t="str">
        <f aca="false">Raw_Volunteers!D476</f>
        <v>11/24/2025</v>
      </c>
      <c r="G476" s="9" t="str">
        <f aca="false">PROPER(TRIM(Raw_Volunteers!E476))</f>
        <v>Pantry Stocking</v>
      </c>
      <c r="H476" s="9" t="str">
        <f aca="false">Raw_Volunteers!F476</f>
        <v>Community Center Site</v>
      </c>
      <c r="I476" s="9" t="n">
        <f aca="false">IF(Raw_Volunteers!G476="",ROUND(AVERAGE(Raw_Volunteers!$G$2:$G$926),1),Raw_Volunteers!G476)</f>
        <v>2</v>
      </c>
    </row>
    <row r="477" customFormat="false" ht="15" hidden="false" customHeight="true" outlineLevel="0" collapsed="false">
      <c r="A477" s="9" t="str">
        <f aca="false">Raw_Volunteers!A477</f>
        <v>V2092</v>
      </c>
      <c r="B477" s="9" t="str">
        <f aca="false">IF(COUNTIFS(Raw_Volunteers!$A$2:$A$926,Raw_Volunteers!A477,Raw_Volunteers!$D$2:$D$926,Raw_Volunteers!D477,Raw_Volunteers!$E$2:$E$926,Raw_Volunteers!E477,Raw_Volunteers!$G$2:$G$926,Raw_Volunteers!G477)&gt;1,"Possible Duplicate","")</f>
        <v/>
      </c>
      <c r="C477" s="9" t="str">
        <f aca="false">Raw_Volunteers!B477</f>
        <v>D1362</v>
      </c>
      <c r="D477" s="9" t="str">
        <f aca="false">IF(C477="","No","Yes")</f>
        <v>Yes</v>
      </c>
      <c r="E477" s="9" t="str">
        <f aca="false">Raw_Volunteers!C477</f>
        <v>William Wilson</v>
      </c>
      <c r="F477" s="9" t="str">
        <f aca="false">Raw_Volunteers!D477</f>
        <v>04/08/2025</v>
      </c>
      <c r="G477" s="9" t="str">
        <f aca="false">PROPER(TRIM(Raw_Volunteers!E477))</f>
        <v>Client Intake Assistant</v>
      </c>
      <c r="H477" s="9" t="str">
        <f aca="false">Raw_Volunteers!F477</f>
        <v>Main Warehouse</v>
      </c>
      <c r="I477" s="9" t="n">
        <f aca="false">IF(Raw_Volunteers!G477="",ROUND(AVERAGE(Raw_Volunteers!$G$2:$G$926),1),Raw_Volunteers!G477)</f>
        <v>2</v>
      </c>
    </row>
    <row r="478" customFormat="false" ht="15" hidden="false" customHeight="true" outlineLevel="0" collapsed="false">
      <c r="A478" s="9" t="str">
        <f aca="false">Raw_Volunteers!A478</f>
        <v>V2093</v>
      </c>
      <c r="B478" s="9" t="str">
        <f aca="false">IF(COUNTIFS(Raw_Volunteers!$A$2:$A$926,Raw_Volunteers!A478,Raw_Volunteers!$D$2:$D$926,Raw_Volunteers!D478,Raw_Volunteers!$E$2:$E$926,Raw_Volunteers!E478,Raw_Volunteers!$G$2:$G$926,Raw_Volunteers!G478)&gt;1,"Possible Duplicate","")</f>
        <v/>
      </c>
      <c r="C478" s="9" t="str">
        <f aca="false">Raw_Volunteers!B478</f>
        <v>D1674</v>
      </c>
      <c r="D478" s="9" t="str">
        <f aca="false">IF(C478="","No","Yes")</f>
        <v>Yes</v>
      </c>
      <c r="E478" s="9" t="str">
        <f aca="false">Raw_Volunteers!C478</f>
        <v>Kenneth Moore</v>
      </c>
      <c r="F478" s="9" t="str">
        <f aca="false">Raw_Volunteers!D478</f>
        <v>03/30/2024</v>
      </c>
      <c r="G478" s="9" t="str">
        <f aca="false">PROPER(TRIM(Raw_Volunteers!E478))</f>
        <v>Holiday Box Packing</v>
      </c>
      <c r="H478" s="9" t="str">
        <f aca="false">Raw_Volunteers!F478</f>
        <v>Mobile Unit - Route A</v>
      </c>
      <c r="I478" s="9" t="n">
        <f aca="false">IF(Raw_Volunteers!G478="",ROUND(AVERAGE(Raw_Volunteers!$G$2:$G$926),1),Raw_Volunteers!G478)</f>
        <v>2</v>
      </c>
    </row>
    <row r="479" customFormat="false" ht="15" hidden="false" customHeight="true" outlineLevel="0" collapsed="false">
      <c r="A479" s="9" t="str">
        <f aca="false">Raw_Volunteers!A479</f>
        <v>V2093</v>
      </c>
      <c r="B479" s="9" t="str">
        <f aca="false">IF(COUNTIFS(Raw_Volunteers!$A$2:$A$926,Raw_Volunteers!A479,Raw_Volunteers!$D$2:$D$926,Raw_Volunteers!D479,Raw_Volunteers!$E$2:$E$926,Raw_Volunteers!E479,Raw_Volunteers!$G$2:$G$926,Raw_Volunteers!G479)&gt;1,"Possible Duplicate","")</f>
        <v/>
      </c>
      <c r="C479" s="9" t="str">
        <f aca="false">Raw_Volunteers!B479</f>
        <v>D1674</v>
      </c>
      <c r="D479" s="9" t="str">
        <f aca="false">IF(C479="","No","Yes")</f>
        <v>Yes</v>
      </c>
      <c r="E479" s="9" t="str">
        <f aca="false">Raw_Volunteers!C479</f>
        <v>Kenneth Moore</v>
      </c>
      <c r="F479" s="9" t="str">
        <f aca="false">Raw_Volunteers!D479</f>
        <v>01/03/2026</v>
      </c>
      <c r="G479" s="9" t="str">
        <f aca="false">PROPER(TRIM(Raw_Volunteers!E479))</f>
        <v>Event Setup</v>
      </c>
      <c r="H479" s="9" t="str">
        <f aca="false">Raw_Volunteers!F479</f>
        <v>Main Warehouse</v>
      </c>
      <c r="I479" s="9" t="n">
        <f aca="false">IF(Raw_Volunteers!G479="",ROUND(AVERAGE(Raw_Volunteers!$G$2:$G$926),1),Raw_Volunteers!G479)</f>
        <v>3</v>
      </c>
    </row>
    <row r="480" customFormat="false" ht="15" hidden="false" customHeight="true" outlineLevel="0" collapsed="false">
      <c r="A480" s="9" t="str">
        <f aca="false">Raw_Volunteers!A480</f>
        <v>V2093</v>
      </c>
      <c r="B480" s="9" t="str">
        <f aca="false">IF(COUNTIFS(Raw_Volunteers!$A$2:$A$926,Raw_Volunteers!A480,Raw_Volunteers!$D$2:$D$926,Raw_Volunteers!D480,Raw_Volunteers!$E$2:$E$926,Raw_Volunteers!E480,Raw_Volunteers!$G$2:$G$926,Raw_Volunteers!G480)&gt;1,"Possible Duplicate","")</f>
        <v/>
      </c>
      <c r="C480" s="9" t="str">
        <f aca="false">Raw_Volunteers!B480</f>
        <v>D1674</v>
      </c>
      <c r="D480" s="9" t="str">
        <f aca="false">IF(C480="","No","Yes")</f>
        <v>Yes</v>
      </c>
      <c r="E480" s="9" t="str">
        <f aca="false">Raw_Volunteers!C480</f>
        <v>Kenneth Moore</v>
      </c>
      <c r="F480" s="9" t="str">
        <f aca="false">Raw_Volunteers!D480</f>
        <v>10/27/2025</v>
      </c>
      <c r="G480" s="9" t="str">
        <f aca="false">PROPER(TRIM(Raw_Volunteers!E480))</f>
        <v>Pantry Stocking</v>
      </c>
      <c r="H480" s="9" t="str">
        <f aca="false">Raw_Volunteers!F480</f>
        <v>Mobile Unit - Route B</v>
      </c>
      <c r="I480" s="9" t="n">
        <f aca="false">IF(Raw_Volunteers!G480="",ROUND(AVERAGE(Raw_Volunteers!$G$2:$G$926),1),Raw_Volunteers!G480)</f>
        <v>2</v>
      </c>
    </row>
    <row r="481" customFormat="false" ht="15" hidden="false" customHeight="true" outlineLevel="0" collapsed="false">
      <c r="A481" s="9" t="str">
        <f aca="false">Raw_Volunteers!A481</f>
        <v>V2093</v>
      </c>
      <c r="B481" s="9" t="str">
        <f aca="false">IF(COUNTIFS(Raw_Volunteers!$A$2:$A$926,Raw_Volunteers!A481,Raw_Volunteers!$D$2:$D$926,Raw_Volunteers!D481,Raw_Volunteers!$E$2:$E$926,Raw_Volunteers!E481,Raw_Volunteers!$G$2:$G$926,Raw_Volunteers!G481)&gt;1,"Possible Duplicate","")</f>
        <v/>
      </c>
      <c r="C481" s="9" t="str">
        <f aca="false">Raw_Volunteers!B481</f>
        <v>D1674</v>
      </c>
      <c r="D481" s="9" t="str">
        <f aca="false">IF(C481="","No","Yes")</f>
        <v>Yes</v>
      </c>
      <c r="E481" s="9" t="str">
        <f aca="false">Raw_Volunteers!C481</f>
        <v>Kenneth Moore</v>
      </c>
      <c r="F481" s="9" t="str">
        <f aca="false">Raw_Volunteers!D481</f>
        <v>07/11/2024</v>
      </c>
      <c r="G481" s="9" t="str">
        <f aca="false">PROPER(TRIM(Raw_Volunteers!E481))</f>
        <v>Client Intake Assistant</v>
      </c>
      <c r="H481" s="9" t="str">
        <f aca="false">Raw_Volunteers!F481</f>
        <v>Mobile Unit - Route A</v>
      </c>
      <c r="I481" s="9" t="n">
        <f aca="false">IF(Raw_Volunteers!G481="",ROUND(AVERAGE(Raw_Volunteers!$G$2:$G$926),1),Raw_Volunteers!G481)</f>
        <v>2</v>
      </c>
    </row>
    <row r="482" customFormat="false" ht="15" hidden="false" customHeight="true" outlineLevel="0" collapsed="false">
      <c r="A482" s="9" t="str">
        <f aca="false">Raw_Volunteers!A482</f>
        <v>V2093</v>
      </c>
      <c r="B482" s="9" t="str">
        <f aca="false">IF(COUNTIFS(Raw_Volunteers!$A$2:$A$926,Raw_Volunteers!A482,Raw_Volunteers!$D$2:$D$926,Raw_Volunteers!D482,Raw_Volunteers!$E$2:$E$926,Raw_Volunteers!E482,Raw_Volunteers!$G$2:$G$926,Raw_Volunteers!G482)&gt;1,"Possible Duplicate","")</f>
        <v/>
      </c>
      <c r="C482" s="9" t="str">
        <f aca="false">Raw_Volunteers!B482</f>
        <v>D1674</v>
      </c>
      <c r="D482" s="9" t="str">
        <f aca="false">IF(C482="","No","Yes")</f>
        <v>Yes</v>
      </c>
      <c r="E482" s="9" t="str">
        <f aca="false">Raw_Volunteers!C482</f>
        <v>Kenneth Moore</v>
      </c>
      <c r="F482" s="9" t="str">
        <f aca="false">Raw_Volunteers!D482</f>
        <v>06/01/2025</v>
      </c>
      <c r="G482" s="9" t="str">
        <f aca="false">PROPER(TRIM(Raw_Volunteers!E482))</f>
        <v>Holiday Box Packing</v>
      </c>
      <c r="H482" s="9" t="str">
        <f aca="false">Raw_Volunteers!F482</f>
        <v>Main Warehouse</v>
      </c>
      <c r="I482" s="9" t="n">
        <f aca="false">IF(Raw_Volunteers!G482="",ROUND(AVERAGE(Raw_Volunteers!$G$2:$G$926),1),Raw_Volunteers!G482)</f>
        <v>5</v>
      </c>
    </row>
    <row r="483" customFormat="false" ht="15" hidden="false" customHeight="true" outlineLevel="0" collapsed="false">
      <c r="A483" s="9" t="str">
        <f aca="false">Raw_Volunteers!A483</f>
        <v>V2093</v>
      </c>
      <c r="B483" s="9" t="str">
        <f aca="false">IF(COUNTIFS(Raw_Volunteers!$A$2:$A$926,Raw_Volunteers!A483,Raw_Volunteers!$D$2:$D$926,Raw_Volunteers!D483,Raw_Volunteers!$E$2:$E$926,Raw_Volunteers!E483,Raw_Volunteers!$G$2:$G$926,Raw_Volunteers!G483)&gt;1,"Possible Duplicate","")</f>
        <v/>
      </c>
      <c r="C483" s="9" t="str">
        <f aca="false">Raw_Volunteers!B483</f>
        <v>D1674</v>
      </c>
      <c r="D483" s="9" t="str">
        <f aca="false">IF(C483="","No","Yes")</f>
        <v>Yes</v>
      </c>
      <c r="E483" s="9" t="str">
        <f aca="false">Raw_Volunteers!C483</f>
        <v>Kenneth Moore</v>
      </c>
      <c r="F483" s="9" t="str">
        <f aca="false">Raw_Volunteers!D483</f>
        <v>03/17/2025</v>
      </c>
      <c r="G483" s="9" t="str">
        <f aca="false">PROPER(TRIM(Raw_Volunteers!E483))</f>
        <v>Front Desk Greeter</v>
      </c>
      <c r="H483" s="9" t="str">
        <f aca="false">Raw_Volunteers!F483</f>
        <v>Main Warehouse</v>
      </c>
      <c r="I483" s="9" t="n">
        <f aca="false">IF(Raw_Volunteers!G483="",ROUND(AVERAGE(Raw_Volunteers!$G$2:$G$926),1),Raw_Volunteers!G483)</f>
        <v>3</v>
      </c>
    </row>
    <row r="484" customFormat="false" ht="15" hidden="false" customHeight="true" outlineLevel="0" collapsed="false">
      <c r="A484" s="9" t="str">
        <f aca="false">Raw_Volunteers!A484</f>
        <v>V2094</v>
      </c>
      <c r="B484" s="9" t="str">
        <f aca="false">IF(COUNTIFS(Raw_Volunteers!$A$2:$A$926,Raw_Volunteers!A484,Raw_Volunteers!$D$2:$D$926,Raw_Volunteers!D484,Raw_Volunteers!$E$2:$E$926,Raw_Volunteers!E484,Raw_Volunteers!$G$2:$G$926,Raw_Volunteers!G484)&gt;1,"Possible Duplicate","")</f>
        <v/>
      </c>
      <c r="C484" s="9" t="str">
        <f aca="false">Raw_Volunteers!B484</f>
        <v>D1536</v>
      </c>
      <c r="D484" s="9" t="str">
        <f aca="false">IF(C484="","No","Yes")</f>
        <v>Yes</v>
      </c>
      <c r="E484" s="9" t="str">
        <f aca="false">Raw_Volunteers!C484</f>
        <v>Deborah Hill</v>
      </c>
      <c r="F484" s="9" t="str">
        <f aca="false">Raw_Volunteers!D484</f>
        <v>01/23/2025</v>
      </c>
      <c r="G484" s="9" t="str">
        <f aca="false">PROPER(TRIM(Raw_Volunteers!E484))</f>
        <v>Warehouse Loading</v>
      </c>
      <c r="H484" s="9" t="str">
        <f aca="false">Raw_Volunteers!F484</f>
        <v>Downtown Pantry</v>
      </c>
      <c r="I484" s="9" t="n">
        <f aca="false">IF(Raw_Volunteers!G484="",ROUND(AVERAGE(Raw_Volunteers!$G$2:$G$926),1),Raw_Volunteers!G484)</f>
        <v>4</v>
      </c>
    </row>
    <row r="485" customFormat="false" ht="15" hidden="false" customHeight="true" outlineLevel="0" collapsed="false">
      <c r="A485" s="9" t="str">
        <f aca="false">Raw_Volunteers!A485</f>
        <v>V2094</v>
      </c>
      <c r="B485" s="9" t="str">
        <f aca="false">IF(COUNTIFS(Raw_Volunteers!$A$2:$A$926,Raw_Volunteers!A485,Raw_Volunteers!$D$2:$D$926,Raw_Volunteers!D485,Raw_Volunteers!$E$2:$E$926,Raw_Volunteers!E485,Raw_Volunteers!$G$2:$G$926,Raw_Volunteers!G485)&gt;1,"Possible Duplicate","")</f>
        <v/>
      </c>
      <c r="C485" s="9" t="str">
        <f aca="false">Raw_Volunteers!B485</f>
        <v>D1536</v>
      </c>
      <c r="D485" s="9" t="str">
        <f aca="false">IF(C485="","No","Yes")</f>
        <v>Yes</v>
      </c>
      <c r="E485" s="9" t="str">
        <f aca="false">Raw_Volunteers!C485</f>
        <v>Deborah Hill</v>
      </c>
      <c r="F485" s="9" t="str">
        <f aca="false">Raw_Volunteers!D485</f>
        <v>02/20/2024</v>
      </c>
      <c r="G485" s="9" t="str">
        <f aca="false">PROPER(TRIM(Raw_Volunteers!E485))</f>
        <v>Event Setup</v>
      </c>
      <c r="H485" s="9" t="str">
        <f aca="false">Raw_Volunteers!F485</f>
        <v>Mobile Unit - Route A</v>
      </c>
      <c r="I485" s="9" t="n">
        <f aca="false">IF(Raw_Volunteers!G485="",ROUND(AVERAGE(Raw_Volunteers!$G$2:$G$926),1),Raw_Volunteers!G485)</f>
        <v>2</v>
      </c>
    </row>
    <row r="486" customFormat="false" ht="15" hidden="false" customHeight="true" outlineLevel="0" collapsed="false">
      <c r="A486" s="9" t="str">
        <f aca="false">Raw_Volunteers!A486</f>
        <v>V2094</v>
      </c>
      <c r="B486" s="9" t="str">
        <f aca="false">IF(COUNTIFS(Raw_Volunteers!$A$2:$A$926,Raw_Volunteers!A486,Raw_Volunteers!$D$2:$D$926,Raw_Volunteers!D486,Raw_Volunteers!$E$2:$E$926,Raw_Volunteers!E486,Raw_Volunteers!$G$2:$G$926,Raw_Volunteers!G486)&gt;1,"Possible Duplicate","")</f>
        <v/>
      </c>
      <c r="C486" s="9" t="str">
        <f aca="false">Raw_Volunteers!B486</f>
        <v>D1536</v>
      </c>
      <c r="D486" s="9" t="str">
        <f aca="false">IF(C486="","No","Yes")</f>
        <v>Yes</v>
      </c>
      <c r="E486" s="9" t="str">
        <f aca="false">Raw_Volunteers!C486</f>
        <v>Deborah Hill</v>
      </c>
      <c r="F486" s="9" t="str">
        <f aca="false">Raw_Volunteers!D486</f>
        <v>02/10/2025</v>
      </c>
      <c r="G486" s="9" t="str">
        <f aca="false">PROPER(TRIM(Raw_Volunteers!E486))</f>
        <v>Front Desk Greeter</v>
      </c>
      <c r="H486" s="9" t="str">
        <f aca="false">Raw_Volunteers!F486</f>
        <v>Main Warehouse</v>
      </c>
      <c r="I486" s="9" t="n">
        <f aca="false">IF(Raw_Volunteers!G486="",ROUND(AVERAGE(Raw_Volunteers!$G$2:$G$926),1),Raw_Volunteers!G486)</f>
        <v>2</v>
      </c>
    </row>
    <row r="487" customFormat="false" ht="15" hidden="false" customHeight="true" outlineLevel="0" collapsed="false">
      <c r="A487" s="9" t="str">
        <f aca="false">Raw_Volunteers!A487</f>
        <v>V2094</v>
      </c>
      <c r="B487" s="9" t="str">
        <f aca="false">IF(COUNTIFS(Raw_Volunteers!$A$2:$A$926,Raw_Volunteers!A487,Raw_Volunteers!$D$2:$D$926,Raw_Volunteers!D487,Raw_Volunteers!$E$2:$E$926,Raw_Volunteers!E487,Raw_Volunteers!$G$2:$G$926,Raw_Volunteers!G487)&gt;1,"Possible Duplicate","")</f>
        <v/>
      </c>
      <c r="C487" s="9" t="str">
        <f aca="false">Raw_Volunteers!B487</f>
        <v>D1536</v>
      </c>
      <c r="D487" s="9" t="str">
        <f aca="false">IF(C487="","No","Yes")</f>
        <v>Yes</v>
      </c>
      <c r="E487" s="9" t="str">
        <f aca="false">Raw_Volunteers!C487</f>
        <v>Deborah Hill</v>
      </c>
      <c r="F487" s="9" t="str">
        <f aca="false">Raw_Volunteers!D487</f>
        <v>09/18/2025</v>
      </c>
      <c r="G487" s="9" t="str">
        <f aca="false">PROPER(TRIM(Raw_Volunteers!E487))</f>
        <v>Holiday Box Packing</v>
      </c>
      <c r="H487" s="9" t="str">
        <f aca="false">Raw_Volunteers!F487</f>
        <v>Downtown Pantry</v>
      </c>
      <c r="I487" s="9" t="n">
        <f aca="false">IF(Raw_Volunteers!G487="",ROUND(AVERAGE(Raw_Volunteers!$G$2:$G$926),1),Raw_Volunteers!G487)</f>
        <v>5</v>
      </c>
    </row>
    <row r="488" customFormat="false" ht="15" hidden="false" customHeight="true" outlineLevel="0" collapsed="false">
      <c r="A488" s="9" t="str">
        <f aca="false">Raw_Volunteers!A488</f>
        <v>V2094</v>
      </c>
      <c r="B488" s="9" t="str">
        <f aca="false">IF(COUNTIFS(Raw_Volunteers!$A$2:$A$926,Raw_Volunteers!A488,Raw_Volunteers!$D$2:$D$926,Raw_Volunteers!D488,Raw_Volunteers!$E$2:$E$926,Raw_Volunteers!E488,Raw_Volunteers!$G$2:$G$926,Raw_Volunteers!G488)&gt;1,"Possible Duplicate","")</f>
        <v/>
      </c>
      <c r="C488" s="9" t="str">
        <f aca="false">Raw_Volunteers!B488</f>
        <v>D1536</v>
      </c>
      <c r="D488" s="9" t="str">
        <f aca="false">IF(C488="","No","Yes")</f>
        <v>Yes</v>
      </c>
      <c r="E488" s="9" t="str">
        <f aca="false">Raw_Volunteers!C488</f>
        <v>Deborah Hill</v>
      </c>
      <c r="F488" s="9" t="str">
        <f aca="false">Raw_Volunteers!D488</f>
        <v>07/12/2024</v>
      </c>
      <c r="G488" s="9" t="str">
        <f aca="false">PROPER(TRIM(Raw_Volunteers!E488))</f>
        <v>Holiday Box Packing</v>
      </c>
      <c r="H488" s="9" t="str">
        <f aca="false">Raw_Volunteers!F488</f>
        <v>Main Warehouse</v>
      </c>
      <c r="I488" s="9" t="n">
        <f aca="false">IF(Raw_Volunteers!G488="",ROUND(AVERAGE(Raw_Volunteers!$G$2:$G$926),1),Raw_Volunteers!G488)</f>
        <v>3</v>
      </c>
    </row>
    <row r="489" customFormat="false" ht="15" hidden="false" customHeight="true" outlineLevel="0" collapsed="false">
      <c r="A489" s="9" t="str">
        <f aca="false">Raw_Volunteers!A489</f>
        <v>V2094</v>
      </c>
      <c r="B489" s="9" t="str">
        <f aca="false">IF(COUNTIFS(Raw_Volunteers!$A$2:$A$926,Raw_Volunteers!A489,Raw_Volunteers!$D$2:$D$926,Raw_Volunteers!D489,Raw_Volunteers!$E$2:$E$926,Raw_Volunteers!E489,Raw_Volunteers!$G$2:$G$926,Raw_Volunteers!G489)&gt;1,"Possible Duplicate","")</f>
        <v/>
      </c>
      <c r="C489" s="9" t="str">
        <f aca="false">Raw_Volunteers!B489</f>
        <v>D1536</v>
      </c>
      <c r="D489" s="9" t="str">
        <f aca="false">IF(C489="","No","Yes")</f>
        <v>Yes</v>
      </c>
      <c r="E489" s="9" t="str">
        <f aca="false">Raw_Volunteers!C489</f>
        <v>Deborah Hill</v>
      </c>
      <c r="F489" s="9" t="str">
        <f aca="false">Raw_Volunteers!D489</f>
        <v>05/10/2024</v>
      </c>
      <c r="G489" s="9" t="str">
        <f aca="false">PROPER(TRIM(Raw_Volunteers!E489))</f>
        <v>Event Setup</v>
      </c>
      <c r="H489" s="9" t="str">
        <f aca="false">Raw_Volunteers!F489</f>
        <v>Mobile Unit - Route A</v>
      </c>
      <c r="I489" s="9" t="n">
        <f aca="false">IF(Raw_Volunteers!G489="",ROUND(AVERAGE(Raw_Volunteers!$G$2:$G$926),1),Raw_Volunteers!G489)</f>
        <v>3</v>
      </c>
    </row>
    <row r="490" customFormat="false" ht="15" hidden="false" customHeight="true" outlineLevel="0" collapsed="false">
      <c r="A490" s="9" t="str">
        <f aca="false">Raw_Volunteers!A490</f>
        <v>V2095</v>
      </c>
      <c r="B490" s="9" t="str">
        <f aca="false">IF(COUNTIFS(Raw_Volunteers!$A$2:$A$926,Raw_Volunteers!A490,Raw_Volunteers!$D$2:$D$926,Raw_Volunteers!D490,Raw_Volunteers!$E$2:$E$926,Raw_Volunteers!E490,Raw_Volunteers!$G$2:$G$926,Raw_Volunteers!G490)&gt;1,"Possible Duplicate","")</f>
        <v/>
      </c>
      <c r="C490" s="9" t="str">
        <f aca="false">Raw_Volunteers!B490</f>
        <v>D1281</v>
      </c>
      <c r="D490" s="9" t="str">
        <f aca="false">IF(C490="","No","Yes")</f>
        <v>Yes</v>
      </c>
      <c r="E490" s="9" t="str">
        <f aca="false">Raw_Volunteers!C490</f>
        <v>Elizabeth Martin</v>
      </c>
      <c r="F490" s="9" t="str">
        <f aca="false">Raw_Volunteers!D490</f>
        <v>05/23/2024</v>
      </c>
      <c r="G490" s="9" t="str">
        <f aca="false">PROPER(TRIM(Raw_Volunteers!E490))</f>
        <v>Mobile Distribution Driver</v>
      </c>
      <c r="H490" s="9" t="str">
        <f aca="false">Raw_Volunteers!F490</f>
        <v>Mobile Unit - Route A</v>
      </c>
      <c r="I490" s="9" t="n">
        <f aca="false">IF(Raw_Volunteers!G490="",ROUND(AVERAGE(Raw_Volunteers!$G$2:$G$926),1),Raw_Volunteers!G490)</f>
        <v>2</v>
      </c>
    </row>
    <row r="491" customFormat="false" ht="15" hidden="false" customHeight="true" outlineLevel="0" collapsed="false">
      <c r="A491" s="9" t="str">
        <f aca="false">Raw_Volunteers!A491</f>
        <v>V2095</v>
      </c>
      <c r="B491" s="9" t="str">
        <f aca="false">IF(COUNTIFS(Raw_Volunteers!$A$2:$A$926,Raw_Volunteers!A491,Raw_Volunteers!$D$2:$D$926,Raw_Volunteers!D491,Raw_Volunteers!$E$2:$E$926,Raw_Volunteers!E491,Raw_Volunteers!$G$2:$G$926,Raw_Volunteers!G491)&gt;1,"Possible Duplicate","")</f>
        <v/>
      </c>
      <c r="C491" s="9" t="str">
        <f aca="false">Raw_Volunteers!B491</f>
        <v>D1281</v>
      </c>
      <c r="D491" s="9" t="str">
        <f aca="false">IF(C491="","No","Yes")</f>
        <v>Yes</v>
      </c>
      <c r="E491" s="9" t="str">
        <f aca="false">Raw_Volunteers!C491</f>
        <v>Elizabeth Martin</v>
      </c>
      <c r="F491" s="9" t="str">
        <f aca="false">Raw_Volunteers!D491</f>
        <v>04/12/2024</v>
      </c>
      <c r="G491" s="9" t="str">
        <f aca="false">PROPER(TRIM(Raw_Volunteers!E491))</f>
        <v>Event Setup</v>
      </c>
      <c r="H491" s="9" t="str">
        <f aca="false">Raw_Volunteers!F491</f>
        <v>Main Warehouse</v>
      </c>
      <c r="I491" s="9" t="n">
        <f aca="false">IF(Raw_Volunteers!G491="",ROUND(AVERAGE(Raw_Volunteers!$G$2:$G$926),1),Raw_Volunteers!G491)</f>
        <v>3</v>
      </c>
    </row>
    <row r="492" customFormat="false" ht="15" hidden="false" customHeight="true" outlineLevel="0" collapsed="false">
      <c r="A492" s="9" t="str">
        <f aca="false">Raw_Volunteers!A492</f>
        <v>V2095</v>
      </c>
      <c r="B492" s="9" t="str">
        <f aca="false">IF(COUNTIFS(Raw_Volunteers!$A$2:$A$926,Raw_Volunteers!A492,Raw_Volunteers!$D$2:$D$926,Raw_Volunteers!D492,Raw_Volunteers!$E$2:$E$926,Raw_Volunteers!E492,Raw_Volunteers!$G$2:$G$926,Raw_Volunteers!G492)&gt;1,"Possible Duplicate","")</f>
        <v/>
      </c>
      <c r="C492" s="9" t="str">
        <f aca="false">Raw_Volunteers!B492</f>
        <v>D1281</v>
      </c>
      <c r="D492" s="9" t="str">
        <f aca="false">IF(C492="","No","Yes")</f>
        <v>Yes</v>
      </c>
      <c r="E492" s="9" t="str">
        <f aca="false">Raw_Volunteers!C492</f>
        <v>Elizabeth Martin</v>
      </c>
      <c r="F492" s="9" t="str">
        <f aca="false">Raw_Volunteers!D492</f>
        <v>08/05/2024</v>
      </c>
      <c r="G492" s="9" t="str">
        <f aca="false">PROPER(TRIM(Raw_Volunteers!E492))</f>
        <v>Food Sorting</v>
      </c>
      <c r="H492" s="9" t="str">
        <f aca="false">Raw_Volunteers!F492</f>
        <v>Community Center Site</v>
      </c>
      <c r="I492" s="9" t="n">
        <f aca="false">IF(Raw_Volunteers!G492="",ROUND(AVERAGE(Raw_Volunteers!$G$2:$G$926),1),Raw_Volunteers!G492)</f>
        <v>3</v>
      </c>
    </row>
    <row r="493" customFormat="false" ht="15" hidden="false" customHeight="true" outlineLevel="0" collapsed="false">
      <c r="A493" s="9" t="str">
        <f aca="false">Raw_Volunteers!A493</f>
        <v>V2096</v>
      </c>
      <c r="B493" s="9" t="str">
        <f aca="false">IF(COUNTIFS(Raw_Volunteers!$A$2:$A$926,Raw_Volunteers!A493,Raw_Volunteers!$D$2:$D$926,Raw_Volunteers!D493,Raw_Volunteers!$E$2:$E$926,Raw_Volunteers!E493,Raw_Volunteers!$G$2:$G$926,Raw_Volunteers!G493)&gt;1,"Possible Duplicate","")</f>
        <v/>
      </c>
      <c r="C493" s="9" t="str">
        <f aca="false">Raw_Volunteers!B493</f>
        <v>D1640</v>
      </c>
      <c r="D493" s="9" t="str">
        <f aca="false">IF(C493="","No","Yes")</f>
        <v>Yes</v>
      </c>
      <c r="E493" s="9" t="str">
        <f aca="false">Raw_Volunteers!C493</f>
        <v>Karen Perez</v>
      </c>
      <c r="F493" s="9" t="str">
        <f aca="false">Raw_Volunteers!D493</f>
        <v>12/21/2024</v>
      </c>
      <c r="G493" s="9" t="str">
        <f aca="false">PROPER(TRIM(Raw_Volunteers!E493))</f>
        <v>Warehouse Loading</v>
      </c>
      <c r="H493" s="9" t="str">
        <f aca="false">Raw_Volunteers!F493</f>
        <v>Mobile Unit - Route B</v>
      </c>
      <c r="I493" s="9" t="n">
        <f aca="false">IF(Raw_Volunteers!G493="",ROUND(AVERAGE(Raw_Volunteers!$G$2:$G$926),1),Raw_Volunteers!G493)</f>
        <v>2</v>
      </c>
    </row>
    <row r="494" customFormat="false" ht="15" hidden="false" customHeight="true" outlineLevel="0" collapsed="false">
      <c r="A494" s="9" t="str">
        <f aca="false">Raw_Volunteers!A494</f>
        <v>V2096</v>
      </c>
      <c r="B494" s="9" t="str">
        <f aca="false">IF(COUNTIFS(Raw_Volunteers!$A$2:$A$926,Raw_Volunteers!A494,Raw_Volunteers!$D$2:$D$926,Raw_Volunteers!D494,Raw_Volunteers!$E$2:$E$926,Raw_Volunteers!E494,Raw_Volunteers!$G$2:$G$926,Raw_Volunteers!G494)&gt;1,"Possible Duplicate","")</f>
        <v/>
      </c>
      <c r="C494" s="9" t="str">
        <f aca="false">Raw_Volunteers!B494</f>
        <v>D1640</v>
      </c>
      <c r="D494" s="9" t="str">
        <f aca="false">IF(C494="","No","Yes")</f>
        <v>Yes</v>
      </c>
      <c r="E494" s="9" t="str">
        <f aca="false">Raw_Volunteers!C494</f>
        <v>Karen Perez</v>
      </c>
      <c r="F494" s="9" t="str">
        <f aca="false">Raw_Volunteers!D494</f>
        <v>03/29/2025</v>
      </c>
      <c r="G494" s="9" t="str">
        <f aca="false">PROPER(TRIM(Raw_Volunteers!E494))</f>
        <v>Warehouse Loading</v>
      </c>
      <c r="H494" s="9" t="str">
        <f aca="false">Raw_Volunteers!F494</f>
        <v>Downtown Pantry</v>
      </c>
      <c r="I494" s="9" t="n">
        <f aca="false">IF(Raw_Volunteers!G494="",ROUND(AVERAGE(Raw_Volunteers!$G$2:$G$926),1),Raw_Volunteers!G494)</f>
        <v>4</v>
      </c>
    </row>
    <row r="495" customFormat="false" ht="15" hidden="false" customHeight="true" outlineLevel="0" collapsed="false">
      <c r="A495" s="9" t="str">
        <f aca="false">Raw_Volunteers!A495</f>
        <v>V2096</v>
      </c>
      <c r="B495" s="9" t="str">
        <f aca="false">IF(COUNTIFS(Raw_Volunteers!$A$2:$A$926,Raw_Volunteers!A495,Raw_Volunteers!$D$2:$D$926,Raw_Volunteers!D495,Raw_Volunteers!$E$2:$E$926,Raw_Volunteers!E495,Raw_Volunteers!$G$2:$G$926,Raw_Volunteers!G495)&gt;1,"Possible Duplicate","")</f>
        <v/>
      </c>
      <c r="C495" s="9" t="str">
        <f aca="false">Raw_Volunteers!B495</f>
        <v>D1640</v>
      </c>
      <c r="D495" s="9" t="str">
        <f aca="false">IF(C495="","No","Yes")</f>
        <v>Yes</v>
      </c>
      <c r="E495" s="9" t="str">
        <f aca="false">Raw_Volunteers!C495</f>
        <v>Karen Perez</v>
      </c>
      <c r="F495" s="9" t="str">
        <f aca="false">Raw_Volunteers!D495</f>
        <v>01/24/2025</v>
      </c>
      <c r="G495" s="9" t="str">
        <f aca="false">PROPER(TRIM(Raw_Volunteers!E495))</f>
        <v>Warehouse Loading</v>
      </c>
      <c r="H495" s="9" t="str">
        <f aca="false">Raw_Volunteers!F495</f>
        <v>Main Warehouse</v>
      </c>
      <c r="I495" s="9" t="n">
        <f aca="false">IF(Raw_Volunteers!G495="",ROUND(AVERAGE(Raw_Volunteers!$G$2:$G$926),1),Raw_Volunteers!G495)</f>
        <v>3</v>
      </c>
    </row>
    <row r="496" customFormat="false" ht="15" hidden="false" customHeight="true" outlineLevel="0" collapsed="false">
      <c r="A496" s="9" t="str">
        <f aca="false">Raw_Volunteers!A496</f>
        <v>V2096</v>
      </c>
      <c r="B496" s="9" t="str">
        <f aca="false">IF(COUNTIFS(Raw_Volunteers!$A$2:$A$926,Raw_Volunteers!A496,Raw_Volunteers!$D$2:$D$926,Raw_Volunteers!D496,Raw_Volunteers!$E$2:$E$926,Raw_Volunteers!E496,Raw_Volunteers!$G$2:$G$926,Raw_Volunteers!G496)&gt;1,"Possible Duplicate","")</f>
        <v/>
      </c>
      <c r="C496" s="9" t="str">
        <f aca="false">Raw_Volunteers!B496</f>
        <v>D1640</v>
      </c>
      <c r="D496" s="9" t="str">
        <f aca="false">IF(C496="","No","Yes")</f>
        <v>Yes</v>
      </c>
      <c r="E496" s="9" t="str">
        <f aca="false">Raw_Volunteers!C496</f>
        <v>Karen Perez</v>
      </c>
      <c r="F496" s="9" t="str">
        <f aca="false">Raw_Volunteers!D496</f>
        <v>10/06/2025</v>
      </c>
      <c r="G496" s="9" t="str">
        <f aca="false">PROPER(TRIM(Raw_Volunteers!E496))</f>
        <v>Event Setup</v>
      </c>
      <c r="H496" s="9" t="str">
        <f aca="false">Raw_Volunteers!F496</f>
        <v>Downtown Pantry</v>
      </c>
      <c r="I496" s="9" t="n">
        <f aca="false">IF(Raw_Volunteers!G496="",ROUND(AVERAGE(Raw_Volunteers!$G$2:$G$926),1),Raw_Volunteers!G496)</f>
        <v>5</v>
      </c>
    </row>
    <row r="497" customFormat="false" ht="15" hidden="false" customHeight="true" outlineLevel="0" collapsed="false">
      <c r="A497" s="9" t="str">
        <f aca="false">Raw_Volunteers!A497</f>
        <v>V2097</v>
      </c>
      <c r="B497" s="9" t="str">
        <f aca="false">IF(COUNTIFS(Raw_Volunteers!$A$2:$A$926,Raw_Volunteers!A497,Raw_Volunteers!$D$2:$D$926,Raw_Volunteers!D497,Raw_Volunteers!$E$2:$E$926,Raw_Volunteers!E497,Raw_Volunteers!$G$2:$G$926,Raw_Volunteers!G497)&gt;1,"Possible Duplicate","")</f>
        <v/>
      </c>
      <c r="C497" s="9" t="str">
        <f aca="false">Raw_Volunteers!B497</f>
        <v>D1442</v>
      </c>
      <c r="D497" s="9" t="str">
        <f aca="false">IF(C497="","No","Yes")</f>
        <v>Yes</v>
      </c>
      <c r="E497" s="9" t="str">
        <f aca="false">Raw_Volunteers!C497</f>
        <v>Linda Sanchez</v>
      </c>
      <c r="F497" s="9" t="str">
        <f aca="false">Raw_Volunteers!D497</f>
        <v>10/15/2024</v>
      </c>
      <c r="G497" s="9" t="str">
        <f aca="false">PROPER(TRIM(Raw_Volunteers!E497))</f>
        <v>Warehouse Loading</v>
      </c>
      <c r="H497" s="9" t="str">
        <f aca="false">Raw_Volunteers!F497</f>
        <v>Downtown Pantry</v>
      </c>
      <c r="I497" s="9" t="n">
        <f aca="false">IF(Raw_Volunteers!G497="",ROUND(AVERAGE(Raw_Volunteers!$G$2:$G$926),1),Raw_Volunteers!G497)</f>
        <v>2</v>
      </c>
    </row>
    <row r="498" customFormat="false" ht="15" hidden="false" customHeight="true" outlineLevel="0" collapsed="false">
      <c r="A498" s="9" t="str">
        <f aca="false">Raw_Volunteers!A498</f>
        <v>V2097</v>
      </c>
      <c r="B498" s="9" t="str">
        <f aca="false">IF(COUNTIFS(Raw_Volunteers!$A$2:$A$926,Raw_Volunteers!A498,Raw_Volunteers!$D$2:$D$926,Raw_Volunteers!D498,Raw_Volunteers!$E$2:$E$926,Raw_Volunteers!E498,Raw_Volunteers!$G$2:$G$926,Raw_Volunteers!G498)&gt;1,"Possible Duplicate","")</f>
        <v/>
      </c>
      <c r="C498" s="9" t="str">
        <f aca="false">Raw_Volunteers!B498</f>
        <v>D1442</v>
      </c>
      <c r="D498" s="9" t="str">
        <f aca="false">IF(C498="","No","Yes")</f>
        <v>Yes</v>
      </c>
      <c r="E498" s="9" t="str">
        <f aca="false">Raw_Volunteers!C498</f>
        <v>Linda Sanchez</v>
      </c>
      <c r="F498" s="9" t="str">
        <f aca="false">Raw_Volunteers!D498</f>
        <v>04/14/2026</v>
      </c>
      <c r="G498" s="9" t="str">
        <f aca="false">PROPER(TRIM(Raw_Volunteers!E498))</f>
        <v>Event Setup</v>
      </c>
      <c r="H498" s="9" t="str">
        <f aca="false">Raw_Volunteers!F498</f>
        <v>Mobile Unit - Route B</v>
      </c>
      <c r="I498" s="9" t="n">
        <f aca="false">IF(Raw_Volunteers!G498="",ROUND(AVERAGE(Raw_Volunteers!$G$2:$G$926),1),Raw_Volunteers!G498)</f>
        <v>2</v>
      </c>
    </row>
    <row r="499" customFormat="false" ht="15" hidden="false" customHeight="true" outlineLevel="0" collapsed="false">
      <c r="A499" s="9" t="str">
        <f aca="false">Raw_Volunteers!A499</f>
        <v>V2097</v>
      </c>
      <c r="B499" s="9" t="str">
        <f aca="false">IF(COUNTIFS(Raw_Volunteers!$A$2:$A$926,Raw_Volunteers!A499,Raw_Volunteers!$D$2:$D$926,Raw_Volunteers!D499,Raw_Volunteers!$E$2:$E$926,Raw_Volunteers!E499,Raw_Volunteers!$G$2:$G$926,Raw_Volunteers!G499)&gt;1,"Possible Duplicate","")</f>
        <v/>
      </c>
      <c r="C499" s="9" t="str">
        <f aca="false">Raw_Volunteers!B499</f>
        <v>D1442</v>
      </c>
      <c r="D499" s="9" t="str">
        <f aca="false">IF(C499="","No","Yes")</f>
        <v>Yes</v>
      </c>
      <c r="E499" s="9" t="str">
        <f aca="false">Raw_Volunteers!C499</f>
        <v>Linda Sanchez</v>
      </c>
      <c r="F499" s="9" t="str">
        <f aca="false">Raw_Volunteers!D499</f>
        <v>07/26/2024</v>
      </c>
      <c r="G499" s="9" t="str">
        <f aca="false">PROPER(TRIM(Raw_Volunteers!E499))</f>
        <v>Pantry Stocking</v>
      </c>
      <c r="H499" s="9" t="str">
        <f aca="false">Raw_Volunteers!F499</f>
        <v>Downtown Pantry</v>
      </c>
      <c r="I499" s="9" t="n">
        <f aca="false">IF(Raw_Volunteers!G499="",ROUND(AVERAGE(Raw_Volunteers!$G$2:$G$926),1),Raw_Volunteers!G499)</f>
        <v>3</v>
      </c>
    </row>
    <row r="500" customFormat="false" ht="15" hidden="false" customHeight="true" outlineLevel="0" collapsed="false">
      <c r="A500" s="9" t="str">
        <f aca="false">Raw_Volunteers!A500</f>
        <v>V2097</v>
      </c>
      <c r="B500" s="9" t="str">
        <f aca="false">IF(COUNTIFS(Raw_Volunteers!$A$2:$A$926,Raw_Volunteers!A500,Raw_Volunteers!$D$2:$D$926,Raw_Volunteers!D500,Raw_Volunteers!$E$2:$E$926,Raw_Volunteers!E500,Raw_Volunteers!$G$2:$G$926,Raw_Volunteers!G500)&gt;1,"Possible Duplicate","")</f>
        <v/>
      </c>
      <c r="C500" s="9" t="str">
        <f aca="false">Raw_Volunteers!B500</f>
        <v>D1442</v>
      </c>
      <c r="D500" s="9" t="str">
        <f aca="false">IF(C500="","No","Yes")</f>
        <v>Yes</v>
      </c>
      <c r="E500" s="9" t="str">
        <f aca="false">Raw_Volunteers!C500</f>
        <v>Linda Sanchez</v>
      </c>
      <c r="F500" s="9" t="str">
        <f aca="false">Raw_Volunteers!D500</f>
        <v>09/29/2024</v>
      </c>
      <c r="G500" s="9" t="str">
        <f aca="false">PROPER(TRIM(Raw_Volunteers!E500))</f>
        <v>Holiday Box Packing</v>
      </c>
      <c r="H500" s="9" t="str">
        <f aca="false">Raw_Volunteers!F500</f>
        <v>Community Center Site</v>
      </c>
      <c r="I500" s="9" t="n">
        <f aca="false">IF(Raw_Volunteers!G500="",ROUND(AVERAGE(Raw_Volunteers!$G$2:$G$926),1),Raw_Volunteers!G500)</f>
        <v>2</v>
      </c>
    </row>
    <row r="501" customFormat="false" ht="15" hidden="false" customHeight="true" outlineLevel="0" collapsed="false">
      <c r="A501" s="9" t="str">
        <f aca="false">Raw_Volunteers!A501</f>
        <v>V2097</v>
      </c>
      <c r="B501" s="9" t="str">
        <f aca="false">IF(COUNTIFS(Raw_Volunteers!$A$2:$A$926,Raw_Volunteers!A501,Raw_Volunteers!$D$2:$D$926,Raw_Volunteers!D501,Raw_Volunteers!$E$2:$E$926,Raw_Volunteers!E501,Raw_Volunteers!$G$2:$G$926,Raw_Volunteers!G501)&gt;1,"Possible Duplicate","")</f>
        <v/>
      </c>
      <c r="C501" s="9" t="str">
        <f aca="false">Raw_Volunteers!B501</f>
        <v>D1442</v>
      </c>
      <c r="D501" s="9" t="str">
        <f aca="false">IF(C501="","No","Yes")</f>
        <v>Yes</v>
      </c>
      <c r="E501" s="9" t="str">
        <f aca="false">Raw_Volunteers!C501</f>
        <v>Linda Sanchez</v>
      </c>
      <c r="F501" s="9" t="str">
        <f aca="false">Raw_Volunteers!D501</f>
        <v>02/18/2024</v>
      </c>
      <c r="G501" s="9" t="str">
        <f aca="false">PROPER(TRIM(Raw_Volunteers!E501))</f>
        <v>Mobile Distribution Driver</v>
      </c>
      <c r="H501" s="9" t="str">
        <f aca="false">Raw_Volunteers!F501</f>
        <v>Downtown Pantry</v>
      </c>
      <c r="I501" s="9" t="n">
        <f aca="false">IF(Raw_Volunteers!G501="",ROUND(AVERAGE(Raw_Volunteers!$G$2:$G$926),1),Raw_Volunteers!G501)</f>
        <v>3</v>
      </c>
    </row>
    <row r="502" customFormat="false" ht="15" hidden="false" customHeight="true" outlineLevel="0" collapsed="false">
      <c r="A502" s="9" t="str">
        <f aca="false">Raw_Volunteers!A502</f>
        <v>V2097</v>
      </c>
      <c r="B502" s="9" t="str">
        <f aca="false">IF(COUNTIFS(Raw_Volunteers!$A$2:$A$926,Raw_Volunteers!A502,Raw_Volunteers!$D$2:$D$926,Raw_Volunteers!D502,Raw_Volunteers!$E$2:$E$926,Raw_Volunteers!E502,Raw_Volunteers!$G$2:$G$926,Raw_Volunteers!G502)&gt;1,"Possible Duplicate","")</f>
        <v/>
      </c>
      <c r="C502" s="9" t="str">
        <f aca="false">Raw_Volunteers!B502</f>
        <v>D1442</v>
      </c>
      <c r="D502" s="9" t="str">
        <f aca="false">IF(C502="","No","Yes")</f>
        <v>Yes</v>
      </c>
      <c r="E502" s="9" t="str">
        <f aca="false">Raw_Volunteers!C502</f>
        <v>Linda Sanchez</v>
      </c>
      <c r="F502" s="9" t="str">
        <f aca="false">Raw_Volunteers!D502</f>
        <v>12/24/2025</v>
      </c>
      <c r="G502" s="9" t="str">
        <f aca="false">PROPER(TRIM(Raw_Volunteers!E502))</f>
        <v>Food Sorting</v>
      </c>
      <c r="H502" s="9" t="str">
        <f aca="false">Raw_Volunteers!F502</f>
        <v>Community Center Site</v>
      </c>
      <c r="I502" s="9" t="n">
        <f aca="false">IF(Raw_Volunteers!G502="",ROUND(AVERAGE(Raw_Volunteers!$G$2:$G$926),1),Raw_Volunteers!G502)</f>
        <v>3</v>
      </c>
    </row>
    <row r="503" customFormat="false" ht="15" hidden="false" customHeight="true" outlineLevel="0" collapsed="false">
      <c r="A503" s="9" t="str">
        <f aca="false">Raw_Volunteers!A503</f>
        <v>V2097</v>
      </c>
      <c r="B503" s="9" t="str">
        <f aca="false">IF(COUNTIFS(Raw_Volunteers!$A$2:$A$926,Raw_Volunteers!A503,Raw_Volunteers!$D$2:$D$926,Raw_Volunteers!D503,Raw_Volunteers!$E$2:$E$926,Raw_Volunteers!E503,Raw_Volunteers!$G$2:$G$926,Raw_Volunteers!G503)&gt;1,"Possible Duplicate","")</f>
        <v/>
      </c>
      <c r="C503" s="9" t="str">
        <f aca="false">Raw_Volunteers!B503</f>
        <v>D1442</v>
      </c>
      <c r="D503" s="9" t="str">
        <f aca="false">IF(C503="","No","Yes")</f>
        <v>Yes</v>
      </c>
      <c r="E503" s="9" t="str">
        <f aca="false">Raw_Volunteers!C503</f>
        <v>Linda Sanchez</v>
      </c>
      <c r="F503" s="9" t="str">
        <f aca="false">Raw_Volunteers!D503</f>
        <v>10/17/2025</v>
      </c>
      <c r="G503" s="9" t="str">
        <f aca="false">PROPER(TRIM(Raw_Volunteers!E503))</f>
        <v>Front Desk Greeter</v>
      </c>
      <c r="H503" s="9" t="str">
        <f aca="false">Raw_Volunteers!F503</f>
        <v>Mobile Unit - Route B</v>
      </c>
      <c r="I503" s="9" t="n">
        <f aca="false">IF(Raw_Volunteers!G503="",ROUND(AVERAGE(Raw_Volunteers!$G$2:$G$926),1),Raw_Volunteers!G503)</f>
        <v>5</v>
      </c>
    </row>
    <row r="504" customFormat="false" ht="15" hidden="false" customHeight="true" outlineLevel="0" collapsed="false">
      <c r="A504" s="9" t="str">
        <f aca="false">Raw_Volunteers!A504</f>
        <v>V2097</v>
      </c>
      <c r="B504" s="9" t="str">
        <f aca="false">IF(COUNTIFS(Raw_Volunteers!$A$2:$A$926,Raw_Volunteers!A504,Raw_Volunteers!$D$2:$D$926,Raw_Volunteers!D504,Raw_Volunteers!$E$2:$E$926,Raw_Volunteers!E504,Raw_Volunteers!$G$2:$G$926,Raw_Volunteers!G504)&gt;1,"Possible Duplicate","")</f>
        <v/>
      </c>
      <c r="C504" s="9" t="str">
        <f aca="false">Raw_Volunteers!B504</f>
        <v>D1442</v>
      </c>
      <c r="D504" s="9" t="str">
        <f aca="false">IF(C504="","No","Yes")</f>
        <v>Yes</v>
      </c>
      <c r="E504" s="9" t="str">
        <f aca="false">Raw_Volunteers!C504</f>
        <v>Linda Sanchez</v>
      </c>
      <c r="F504" s="9" t="str">
        <f aca="false">Raw_Volunteers!D504</f>
        <v>04/21/2024</v>
      </c>
      <c r="G504" s="9" t="str">
        <f aca="false">PROPER(TRIM(Raw_Volunteers!E504))</f>
        <v>Client Intake Assistant</v>
      </c>
      <c r="H504" s="9" t="str">
        <f aca="false">Raw_Volunteers!F504</f>
        <v>Community Center Site</v>
      </c>
      <c r="I504" s="9" t="n">
        <f aca="false">IF(Raw_Volunteers!G504="",ROUND(AVERAGE(Raw_Volunteers!$G$2:$G$926),1),Raw_Volunteers!G504)</f>
        <v>5</v>
      </c>
    </row>
    <row r="505" customFormat="false" ht="15" hidden="false" customHeight="true" outlineLevel="0" collapsed="false">
      <c r="A505" s="9" t="str">
        <f aca="false">Raw_Volunteers!A505</f>
        <v>V2098</v>
      </c>
      <c r="B505" s="9" t="str">
        <f aca="false">IF(COUNTIFS(Raw_Volunteers!$A$2:$A$926,Raw_Volunteers!A505,Raw_Volunteers!$D$2:$D$926,Raw_Volunteers!D505,Raw_Volunteers!$E$2:$E$926,Raw_Volunteers!E505,Raw_Volunteers!$G$2:$G$926,Raw_Volunteers!G505)&gt;1,"Possible Duplicate","")</f>
        <v/>
      </c>
      <c r="C505" s="9" t="str">
        <f aca="false">Raw_Volunteers!B505</f>
        <v>D1038</v>
      </c>
      <c r="D505" s="9" t="str">
        <f aca="false">IF(C505="","No","Yes")</f>
        <v>Yes</v>
      </c>
      <c r="E505" s="9" t="str">
        <f aca="false">Raw_Volunteers!C505</f>
        <v>Amanda Lee</v>
      </c>
      <c r="F505" s="9" t="str">
        <f aca="false">Raw_Volunteers!D505</f>
        <v>04/19/2026</v>
      </c>
      <c r="G505" s="9" t="str">
        <f aca="false">PROPER(TRIM(Raw_Volunteers!E505))</f>
        <v>Pantry Stocking</v>
      </c>
      <c r="H505" s="9" t="str">
        <f aca="false">Raw_Volunteers!F505</f>
        <v>Downtown Pantry</v>
      </c>
      <c r="I505" s="9" t="n">
        <f aca="false">IF(Raw_Volunteers!G505="",ROUND(AVERAGE(Raw_Volunteers!$G$2:$G$926),1),Raw_Volunteers!G505)</f>
        <v>6</v>
      </c>
    </row>
    <row r="506" customFormat="false" ht="15" hidden="false" customHeight="true" outlineLevel="0" collapsed="false">
      <c r="A506" s="9" t="str">
        <f aca="false">Raw_Volunteers!A506</f>
        <v>V2098</v>
      </c>
      <c r="B506" s="9" t="str">
        <f aca="false">IF(COUNTIFS(Raw_Volunteers!$A$2:$A$926,Raw_Volunteers!A506,Raw_Volunteers!$D$2:$D$926,Raw_Volunteers!D506,Raw_Volunteers!$E$2:$E$926,Raw_Volunteers!E506,Raw_Volunteers!$G$2:$G$926,Raw_Volunteers!G506)&gt;1,"Possible Duplicate","")</f>
        <v>Possible Duplicate</v>
      </c>
      <c r="C506" s="9" t="str">
        <f aca="false">Raw_Volunteers!B506</f>
        <v>D1038</v>
      </c>
      <c r="D506" s="9" t="str">
        <f aca="false">IF(C506="","No","Yes")</f>
        <v>Yes</v>
      </c>
      <c r="E506" s="9" t="str">
        <f aca="false">Raw_Volunteers!C506</f>
        <v>Amanda Lee</v>
      </c>
      <c r="F506" s="9" t="str">
        <f aca="false">Raw_Volunteers!D506</f>
        <v>07/29/2024</v>
      </c>
      <c r="G506" s="9" t="str">
        <f aca="false">PROPER(TRIM(Raw_Volunteers!E506))</f>
        <v>Pantry Stocking</v>
      </c>
      <c r="H506" s="9" t="str">
        <f aca="false">Raw_Volunteers!F506</f>
        <v>Mobile Unit - Route A</v>
      </c>
      <c r="I506" s="9" t="n">
        <f aca="false">IF(Raw_Volunteers!G506="",ROUND(AVERAGE(Raw_Volunteers!$G$2:$G$926),1),Raw_Volunteers!G506)</f>
        <v>5</v>
      </c>
    </row>
    <row r="507" customFormat="false" ht="15" hidden="false" customHeight="true" outlineLevel="0" collapsed="false">
      <c r="A507" s="9" t="str">
        <f aca="false">Raw_Volunteers!A507</f>
        <v>V2098</v>
      </c>
      <c r="B507" s="9" t="str">
        <f aca="false">IF(COUNTIFS(Raw_Volunteers!$A$2:$A$926,Raw_Volunteers!A507,Raw_Volunteers!$D$2:$D$926,Raw_Volunteers!D507,Raw_Volunteers!$E$2:$E$926,Raw_Volunteers!E507,Raw_Volunteers!$G$2:$G$926,Raw_Volunteers!G507)&gt;1,"Possible Duplicate","")</f>
        <v>Possible Duplicate</v>
      </c>
      <c r="C507" s="9" t="str">
        <f aca="false">Raw_Volunteers!B507</f>
        <v>D1038</v>
      </c>
      <c r="D507" s="9" t="str">
        <f aca="false">IF(C507="","No","Yes")</f>
        <v>Yes</v>
      </c>
      <c r="E507" s="9" t="str">
        <f aca="false">Raw_Volunteers!C507</f>
        <v>Amanda Lee</v>
      </c>
      <c r="F507" s="9" t="str">
        <f aca="false">Raw_Volunteers!D507</f>
        <v>02/19/2026</v>
      </c>
      <c r="G507" s="9" t="str">
        <f aca="false">PROPER(TRIM(Raw_Volunteers!E507))</f>
        <v>Front Desk Greeter</v>
      </c>
      <c r="H507" s="9" t="str">
        <f aca="false">Raw_Volunteers!F507</f>
        <v>Community Center Site</v>
      </c>
      <c r="I507" s="9" t="n">
        <f aca="false">IF(Raw_Volunteers!G507="",ROUND(AVERAGE(Raw_Volunteers!$G$2:$G$926),1),Raw_Volunteers!G507)</f>
        <v>3</v>
      </c>
    </row>
    <row r="508" customFormat="false" ht="15" hidden="false" customHeight="true" outlineLevel="0" collapsed="false">
      <c r="A508" s="9" t="str">
        <f aca="false">Raw_Volunteers!A508</f>
        <v>V2099</v>
      </c>
      <c r="B508" s="9" t="str">
        <f aca="false">IF(COUNTIFS(Raw_Volunteers!$A$2:$A$926,Raw_Volunteers!A508,Raw_Volunteers!$D$2:$D$926,Raw_Volunteers!D508,Raw_Volunteers!$E$2:$E$926,Raw_Volunteers!E508,Raw_Volunteers!$G$2:$G$926,Raw_Volunteers!G508)&gt;1,"Possible Duplicate","")</f>
        <v/>
      </c>
      <c r="C508" s="9" t="str">
        <f aca="false">Raw_Volunteers!B508</f>
        <v>D1415</v>
      </c>
      <c r="D508" s="9" t="str">
        <f aca="false">IF(C508="","No","Yes")</f>
        <v>Yes</v>
      </c>
      <c r="E508" s="9" t="str">
        <f aca="false">Raw_Volunteers!C508</f>
        <v>Mary Davis</v>
      </c>
      <c r="F508" s="9" t="str">
        <f aca="false">Raw_Volunteers!D508</f>
        <v>06/03/2024</v>
      </c>
      <c r="G508" s="9" t="str">
        <f aca="false">PROPER(TRIM(Raw_Volunteers!E508))</f>
        <v>Mobile Distribution Driver</v>
      </c>
      <c r="H508" s="9" t="str">
        <f aca="false">Raw_Volunteers!F508</f>
        <v>Main Warehouse</v>
      </c>
      <c r="I508" s="9" t="n">
        <f aca="false">IF(Raw_Volunteers!G508="",ROUND(AVERAGE(Raw_Volunteers!$G$2:$G$926),1),Raw_Volunteers!G508)</f>
        <v>3</v>
      </c>
    </row>
    <row r="509" customFormat="false" ht="15" hidden="false" customHeight="true" outlineLevel="0" collapsed="false">
      <c r="A509" s="9" t="str">
        <f aca="false">Raw_Volunteers!A509</f>
        <v>V2099</v>
      </c>
      <c r="B509" s="9" t="str">
        <f aca="false">IF(COUNTIFS(Raw_Volunteers!$A$2:$A$926,Raw_Volunteers!A509,Raw_Volunteers!$D$2:$D$926,Raw_Volunteers!D509,Raw_Volunteers!$E$2:$E$926,Raw_Volunteers!E509,Raw_Volunteers!$G$2:$G$926,Raw_Volunteers!G509)&gt;1,"Possible Duplicate","")</f>
        <v/>
      </c>
      <c r="C509" s="9" t="str">
        <f aca="false">Raw_Volunteers!B509</f>
        <v>D1415</v>
      </c>
      <c r="D509" s="9" t="str">
        <f aca="false">IF(C509="","No","Yes")</f>
        <v>Yes</v>
      </c>
      <c r="E509" s="9" t="str">
        <f aca="false">Raw_Volunteers!C509</f>
        <v>Mary Davis</v>
      </c>
      <c r="F509" s="9" t="str">
        <f aca="false">Raw_Volunteers!D509</f>
        <v>12/23/2025</v>
      </c>
      <c r="G509" s="9" t="str">
        <f aca="false">PROPER(TRIM(Raw_Volunteers!E509))</f>
        <v>Pantry Stocking</v>
      </c>
      <c r="H509" s="9" t="str">
        <f aca="false">Raw_Volunteers!F509</f>
        <v>Mobile Unit - Route A</v>
      </c>
      <c r="I509" s="9" t="n">
        <f aca="false">IF(Raw_Volunteers!G509="",ROUND(AVERAGE(Raw_Volunteers!$G$2:$G$926),1),Raw_Volunteers!G509)</f>
        <v>2</v>
      </c>
    </row>
    <row r="510" customFormat="false" ht="15" hidden="false" customHeight="true" outlineLevel="0" collapsed="false">
      <c r="A510" s="9" t="str">
        <f aca="false">Raw_Volunteers!A510</f>
        <v>V2099</v>
      </c>
      <c r="B510" s="9" t="str">
        <f aca="false">IF(COUNTIFS(Raw_Volunteers!$A$2:$A$926,Raw_Volunteers!A510,Raw_Volunteers!$D$2:$D$926,Raw_Volunteers!D510,Raw_Volunteers!$E$2:$E$926,Raw_Volunteers!E510,Raw_Volunteers!$G$2:$G$926,Raw_Volunteers!G510)&gt;1,"Possible Duplicate","")</f>
        <v/>
      </c>
      <c r="C510" s="9" t="str">
        <f aca="false">Raw_Volunteers!B510</f>
        <v>D1415</v>
      </c>
      <c r="D510" s="9" t="str">
        <f aca="false">IF(C510="","No","Yes")</f>
        <v>Yes</v>
      </c>
      <c r="E510" s="9" t="str">
        <f aca="false">Raw_Volunteers!C510</f>
        <v>Mary Davis</v>
      </c>
      <c r="F510" s="9" t="str">
        <f aca="false">Raw_Volunteers!D510</f>
        <v>12/05/2025</v>
      </c>
      <c r="G510" s="9" t="str">
        <f aca="false">PROPER(TRIM(Raw_Volunteers!E510))</f>
        <v>Holiday Box Packing</v>
      </c>
      <c r="H510" s="9" t="str">
        <f aca="false">Raw_Volunteers!F510</f>
        <v>Main Warehouse</v>
      </c>
      <c r="I510" s="9" t="n">
        <f aca="false">IF(Raw_Volunteers!G510="",ROUND(AVERAGE(Raw_Volunteers!$G$2:$G$926),1),Raw_Volunteers!G510)</f>
        <v>3</v>
      </c>
    </row>
    <row r="511" customFormat="false" ht="15" hidden="false" customHeight="true" outlineLevel="0" collapsed="false">
      <c r="A511" s="9" t="str">
        <f aca="false">Raw_Volunteers!A511</f>
        <v>V2099</v>
      </c>
      <c r="B511" s="9" t="str">
        <f aca="false">IF(COUNTIFS(Raw_Volunteers!$A$2:$A$926,Raw_Volunteers!A511,Raw_Volunteers!$D$2:$D$926,Raw_Volunteers!D511,Raw_Volunteers!$E$2:$E$926,Raw_Volunteers!E511,Raw_Volunteers!$G$2:$G$926,Raw_Volunteers!G511)&gt;1,"Possible Duplicate","")</f>
        <v/>
      </c>
      <c r="C511" s="9" t="str">
        <f aca="false">Raw_Volunteers!B511</f>
        <v>D1415</v>
      </c>
      <c r="D511" s="9" t="str">
        <f aca="false">IF(C511="","No","Yes")</f>
        <v>Yes</v>
      </c>
      <c r="E511" s="9" t="str">
        <f aca="false">Raw_Volunteers!C511</f>
        <v>Mary Davis</v>
      </c>
      <c r="F511" s="9" t="str">
        <f aca="false">Raw_Volunteers!D511</f>
        <v>11/21/2025</v>
      </c>
      <c r="G511" s="9" t="str">
        <f aca="false">PROPER(TRIM(Raw_Volunteers!E511))</f>
        <v>Front Desk Greeter</v>
      </c>
      <c r="H511" s="9" t="str">
        <f aca="false">Raw_Volunteers!F511</f>
        <v>Mobile Unit - Route B</v>
      </c>
      <c r="I511" s="9" t="n">
        <f aca="false">IF(Raw_Volunteers!G511="",ROUND(AVERAGE(Raw_Volunteers!$G$2:$G$926),1),Raw_Volunteers!G511)</f>
        <v>2</v>
      </c>
    </row>
    <row r="512" customFormat="false" ht="15" hidden="false" customHeight="true" outlineLevel="0" collapsed="false">
      <c r="A512" s="9" t="str">
        <f aca="false">Raw_Volunteers!A512</f>
        <v>V2099</v>
      </c>
      <c r="B512" s="9" t="str">
        <f aca="false">IF(COUNTIFS(Raw_Volunteers!$A$2:$A$926,Raw_Volunteers!A512,Raw_Volunteers!$D$2:$D$926,Raw_Volunteers!D512,Raw_Volunteers!$E$2:$E$926,Raw_Volunteers!E512,Raw_Volunteers!$G$2:$G$926,Raw_Volunteers!G512)&gt;1,"Possible Duplicate","")</f>
        <v/>
      </c>
      <c r="C512" s="9" t="str">
        <f aca="false">Raw_Volunteers!B512</f>
        <v>D1415</v>
      </c>
      <c r="D512" s="9" t="str">
        <f aca="false">IF(C512="","No","Yes")</f>
        <v>Yes</v>
      </c>
      <c r="E512" s="9" t="str">
        <f aca="false">Raw_Volunteers!C512</f>
        <v>Mary Davis</v>
      </c>
      <c r="F512" s="9" t="str">
        <f aca="false">Raw_Volunteers!D512</f>
        <v>05/24/2026</v>
      </c>
      <c r="G512" s="9" t="str">
        <f aca="false">PROPER(TRIM(Raw_Volunteers!E512))</f>
        <v>Client Intake Assistant</v>
      </c>
      <c r="H512" s="9" t="str">
        <f aca="false">Raw_Volunteers!F512</f>
        <v>Main Warehouse</v>
      </c>
      <c r="I512" s="9" t="n">
        <f aca="false">IF(Raw_Volunteers!G512="",ROUND(AVERAGE(Raw_Volunteers!$G$2:$G$926),1),Raw_Volunteers!G512)</f>
        <v>3</v>
      </c>
    </row>
    <row r="513" customFormat="false" ht="15" hidden="false" customHeight="true" outlineLevel="0" collapsed="false">
      <c r="A513" s="9" t="str">
        <f aca="false">Raw_Volunteers!A513</f>
        <v>V2099</v>
      </c>
      <c r="B513" s="9" t="str">
        <f aca="false">IF(COUNTIFS(Raw_Volunteers!$A$2:$A$926,Raw_Volunteers!A513,Raw_Volunteers!$D$2:$D$926,Raw_Volunteers!D513,Raw_Volunteers!$E$2:$E$926,Raw_Volunteers!E513,Raw_Volunteers!$G$2:$G$926,Raw_Volunteers!G513)&gt;1,"Possible Duplicate","")</f>
        <v/>
      </c>
      <c r="C513" s="9" t="str">
        <f aca="false">Raw_Volunteers!B513</f>
        <v>D1415</v>
      </c>
      <c r="D513" s="9" t="str">
        <f aca="false">IF(C513="","No","Yes")</f>
        <v>Yes</v>
      </c>
      <c r="E513" s="9" t="str">
        <f aca="false">Raw_Volunteers!C513</f>
        <v>Mary Davis</v>
      </c>
      <c r="F513" s="9" t="str">
        <f aca="false">Raw_Volunteers!D513</f>
        <v>02/14/2025</v>
      </c>
      <c r="G513" s="9" t="str">
        <f aca="false">PROPER(TRIM(Raw_Volunteers!E513))</f>
        <v>Event Setup</v>
      </c>
      <c r="H513" s="9" t="str">
        <f aca="false">Raw_Volunteers!F513</f>
        <v>Main Warehouse</v>
      </c>
      <c r="I513" s="9" t="n">
        <f aca="false">IF(Raw_Volunteers!G513="",ROUND(AVERAGE(Raw_Volunteers!$G$2:$G$926),1),Raw_Volunteers!G513)</f>
        <v>6</v>
      </c>
    </row>
    <row r="514" customFormat="false" ht="15" hidden="false" customHeight="true" outlineLevel="0" collapsed="false">
      <c r="A514" s="9" t="str">
        <f aca="false">Raw_Volunteers!A514</f>
        <v>V2100</v>
      </c>
      <c r="B514" s="9" t="str">
        <f aca="false">IF(COUNTIFS(Raw_Volunteers!$A$2:$A$926,Raw_Volunteers!A514,Raw_Volunteers!$D$2:$D$926,Raw_Volunteers!D514,Raw_Volunteers!$E$2:$E$926,Raw_Volunteers!E514,Raw_Volunteers!$G$2:$G$926,Raw_Volunteers!G514)&gt;1,"Possible Duplicate","")</f>
        <v/>
      </c>
      <c r="C514" s="9" t="str">
        <f aca="false">Raw_Volunteers!B514</f>
        <v>D1311</v>
      </c>
      <c r="D514" s="9" t="str">
        <f aca="false">IF(C514="","No","Yes")</f>
        <v>Yes</v>
      </c>
      <c r="E514" s="9" t="str">
        <f aca="false">Raw_Volunteers!C514</f>
        <v>Lisa Young</v>
      </c>
      <c r="F514" s="9" t="str">
        <f aca="false">Raw_Volunteers!D514</f>
        <v>04/16/2026</v>
      </c>
      <c r="G514" s="9" t="str">
        <f aca="false">PROPER(TRIM(Raw_Volunteers!E514))</f>
        <v>Event Setup</v>
      </c>
      <c r="H514" s="9" t="str">
        <f aca="false">Raw_Volunteers!F514</f>
        <v>Mobile Unit - Route B</v>
      </c>
      <c r="I514" s="9" t="n">
        <f aca="false">IF(Raw_Volunteers!G514="",ROUND(AVERAGE(Raw_Volunteers!$G$2:$G$926),1),Raw_Volunteers!G514)</f>
        <v>3</v>
      </c>
    </row>
    <row r="515" customFormat="false" ht="15" hidden="false" customHeight="true" outlineLevel="0" collapsed="false">
      <c r="A515" s="9" t="str">
        <f aca="false">Raw_Volunteers!A515</f>
        <v>V2100</v>
      </c>
      <c r="B515" s="9" t="str">
        <f aca="false">IF(COUNTIFS(Raw_Volunteers!$A$2:$A$926,Raw_Volunteers!A515,Raw_Volunteers!$D$2:$D$926,Raw_Volunteers!D515,Raw_Volunteers!$E$2:$E$926,Raw_Volunteers!E515,Raw_Volunteers!$G$2:$G$926,Raw_Volunteers!G515)&gt;1,"Possible Duplicate","")</f>
        <v/>
      </c>
      <c r="C515" s="9" t="str">
        <f aca="false">Raw_Volunteers!B515</f>
        <v>D1311</v>
      </c>
      <c r="D515" s="9" t="str">
        <f aca="false">IF(C515="","No","Yes")</f>
        <v>Yes</v>
      </c>
      <c r="E515" s="9" t="str">
        <f aca="false">Raw_Volunteers!C515</f>
        <v>Lisa Young</v>
      </c>
      <c r="F515" s="9" t="str">
        <f aca="false">Raw_Volunteers!D515</f>
        <v>01/24/2025</v>
      </c>
      <c r="G515" s="9" t="str">
        <f aca="false">PROPER(TRIM(Raw_Volunteers!E515))</f>
        <v>Food Sorting</v>
      </c>
      <c r="H515" s="9" t="str">
        <f aca="false">Raw_Volunteers!F515</f>
        <v>Community Center Site</v>
      </c>
      <c r="I515" s="9" t="n">
        <f aca="false">IF(Raw_Volunteers!G515="",ROUND(AVERAGE(Raw_Volunteers!$G$2:$G$926),1),Raw_Volunteers!G515)</f>
        <v>3</v>
      </c>
    </row>
    <row r="516" customFormat="false" ht="15" hidden="false" customHeight="true" outlineLevel="0" collapsed="false">
      <c r="A516" s="9" t="str">
        <f aca="false">Raw_Volunteers!A516</f>
        <v>V2100</v>
      </c>
      <c r="B516" s="9" t="str">
        <f aca="false">IF(COUNTIFS(Raw_Volunteers!$A$2:$A$926,Raw_Volunteers!A516,Raw_Volunteers!$D$2:$D$926,Raw_Volunteers!D516,Raw_Volunteers!$E$2:$E$926,Raw_Volunteers!E516,Raw_Volunteers!$G$2:$G$926,Raw_Volunteers!G516)&gt;1,"Possible Duplicate","")</f>
        <v/>
      </c>
      <c r="C516" s="9" t="str">
        <f aca="false">Raw_Volunteers!B516</f>
        <v>D1311</v>
      </c>
      <c r="D516" s="9" t="str">
        <f aca="false">IF(C516="","No","Yes")</f>
        <v>Yes</v>
      </c>
      <c r="E516" s="9" t="str">
        <f aca="false">Raw_Volunteers!C516</f>
        <v>Lisa Young</v>
      </c>
      <c r="F516" s="9" t="str">
        <f aca="false">Raw_Volunteers!D516</f>
        <v>06/28/2025</v>
      </c>
      <c r="G516" s="9" t="str">
        <f aca="false">PROPER(TRIM(Raw_Volunteers!E516))</f>
        <v>Warehouse Loading</v>
      </c>
      <c r="H516" s="9" t="str">
        <f aca="false">Raw_Volunteers!F516</f>
        <v>Downtown Pantry</v>
      </c>
      <c r="I516" s="9" t="n">
        <f aca="false">IF(Raw_Volunteers!G516="",ROUND(AVERAGE(Raw_Volunteers!$G$2:$G$926),1),Raw_Volunteers!G516)</f>
        <v>4</v>
      </c>
    </row>
    <row r="517" customFormat="false" ht="15" hidden="false" customHeight="true" outlineLevel="0" collapsed="false">
      <c r="A517" s="9" t="str">
        <f aca="false">Raw_Volunteers!A517</f>
        <v>V2100</v>
      </c>
      <c r="B517" s="9" t="str">
        <f aca="false">IF(COUNTIFS(Raw_Volunteers!$A$2:$A$926,Raw_Volunteers!A517,Raw_Volunteers!$D$2:$D$926,Raw_Volunteers!D517,Raw_Volunteers!$E$2:$E$926,Raw_Volunteers!E517,Raw_Volunteers!$G$2:$G$926,Raw_Volunteers!G517)&gt;1,"Possible Duplicate","")</f>
        <v/>
      </c>
      <c r="C517" s="9" t="str">
        <f aca="false">Raw_Volunteers!B517</f>
        <v>D1311</v>
      </c>
      <c r="D517" s="9" t="str">
        <f aca="false">IF(C517="","No","Yes")</f>
        <v>Yes</v>
      </c>
      <c r="E517" s="9" t="str">
        <f aca="false">Raw_Volunteers!C517</f>
        <v>Lisa Young</v>
      </c>
      <c r="F517" s="9" t="str">
        <f aca="false">Raw_Volunteers!D517</f>
        <v>04/08/2025</v>
      </c>
      <c r="G517" s="9" t="str">
        <f aca="false">PROPER(TRIM(Raw_Volunteers!E517))</f>
        <v>Holiday Box Packing</v>
      </c>
      <c r="H517" s="9" t="str">
        <f aca="false">Raw_Volunteers!F517</f>
        <v>Mobile Unit - Route A</v>
      </c>
      <c r="I517" s="9" t="n">
        <f aca="false">IF(Raw_Volunteers!G517="",ROUND(AVERAGE(Raw_Volunteers!$G$2:$G$926),1),Raw_Volunteers!G517)</f>
        <v>3</v>
      </c>
    </row>
    <row r="518" customFormat="false" ht="15" hidden="false" customHeight="true" outlineLevel="0" collapsed="false">
      <c r="A518" s="9" t="str">
        <f aca="false">Raw_Volunteers!A518</f>
        <v>V2100</v>
      </c>
      <c r="B518" s="9" t="str">
        <f aca="false">IF(COUNTIFS(Raw_Volunteers!$A$2:$A$926,Raw_Volunteers!A518,Raw_Volunteers!$D$2:$D$926,Raw_Volunteers!D518,Raw_Volunteers!$E$2:$E$926,Raw_Volunteers!E518,Raw_Volunteers!$G$2:$G$926,Raw_Volunteers!G518)&gt;1,"Possible Duplicate","")</f>
        <v/>
      </c>
      <c r="C518" s="9" t="str">
        <f aca="false">Raw_Volunteers!B518</f>
        <v>D1311</v>
      </c>
      <c r="D518" s="9" t="str">
        <f aca="false">IF(C518="","No","Yes")</f>
        <v>Yes</v>
      </c>
      <c r="E518" s="9" t="str">
        <f aca="false">Raw_Volunteers!C518</f>
        <v>Lisa Young</v>
      </c>
      <c r="F518" s="9" t="str">
        <f aca="false">Raw_Volunteers!D518</f>
        <v>09/19/2024</v>
      </c>
      <c r="G518" s="9" t="str">
        <f aca="false">PROPER(TRIM(Raw_Volunteers!E518))</f>
        <v>Event Setup</v>
      </c>
      <c r="H518" s="9" t="str">
        <f aca="false">Raw_Volunteers!F518</f>
        <v>Mobile Unit - Route B</v>
      </c>
      <c r="I518" s="9" t="n">
        <f aca="false">IF(Raw_Volunteers!G518="",ROUND(AVERAGE(Raw_Volunteers!$G$2:$G$926),1),Raw_Volunteers!G518)</f>
        <v>3</v>
      </c>
    </row>
    <row r="519" customFormat="false" ht="15" hidden="false" customHeight="true" outlineLevel="0" collapsed="false">
      <c r="A519" s="9" t="str">
        <f aca="false">Raw_Volunteers!A519</f>
        <v>V2100</v>
      </c>
      <c r="B519" s="9" t="str">
        <f aca="false">IF(COUNTIFS(Raw_Volunteers!$A$2:$A$926,Raw_Volunteers!A519,Raw_Volunteers!$D$2:$D$926,Raw_Volunteers!D519,Raw_Volunteers!$E$2:$E$926,Raw_Volunteers!E519,Raw_Volunteers!$G$2:$G$926,Raw_Volunteers!G519)&gt;1,"Possible Duplicate","")</f>
        <v/>
      </c>
      <c r="C519" s="9" t="str">
        <f aca="false">Raw_Volunteers!B519</f>
        <v>D1311</v>
      </c>
      <c r="D519" s="9" t="str">
        <f aca="false">IF(C519="","No","Yes")</f>
        <v>Yes</v>
      </c>
      <c r="E519" s="9" t="str">
        <f aca="false">Raw_Volunteers!C519</f>
        <v>Lisa Young</v>
      </c>
      <c r="F519" s="9" t="str">
        <f aca="false">Raw_Volunteers!D519</f>
        <v>01/22/2024</v>
      </c>
      <c r="G519" s="9" t="str">
        <f aca="false">PROPER(TRIM(Raw_Volunteers!E519))</f>
        <v>Food Sorting</v>
      </c>
      <c r="H519" s="9" t="str">
        <f aca="false">Raw_Volunteers!F519</f>
        <v>Mobile Unit - Route B</v>
      </c>
      <c r="I519" s="9" t="n">
        <f aca="false">IF(Raw_Volunteers!G519="",ROUND(AVERAGE(Raw_Volunteers!$G$2:$G$926),1),Raw_Volunteers!G519)</f>
        <v>3</v>
      </c>
    </row>
    <row r="520" customFormat="false" ht="15" hidden="false" customHeight="true" outlineLevel="0" collapsed="false">
      <c r="A520" s="9" t="str">
        <f aca="false">Raw_Volunteers!A520</f>
        <v>V2100</v>
      </c>
      <c r="B520" s="9" t="str">
        <f aca="false">IF(COUNTIFS(Raw_Volunteers!$A$2:$A$926,Raw_Volunteers!A520,Raw_Volunteers!$D$2:$D$926,Raw_Volunteers!D520,Raw_Volunteers!$E$2:$E$926,Raw_Volunteers!E520,Raw_Volunteers!$G$2:$G$926,Raw_Volunteers!G520)&gt;1,"Possible Duplicate","")</f>
        <v/>
      </c>
      <c r="C520" s="9" t="str">
        <f aca="false">Raw_Volunteers!B520</f>
        <v>D1311</v>
      </c>
      <c r="D520" s="9" t="str">
        <f aca="false">IF(C520="","No","Yes")</f>
        <v>Yes</v>
      </c>
      <c r="E520" s="9" t="str">
        <f aca="false">Raw_Volunteers!C520</f>
        <v>Lisa Young</v>
      </c>
      <c r="F520" s="9" t="str">
        <f aca="false">Raw_Volunteers!D520</f>
        <v>12/31/2024</v>
      </c>
      <c r="G520" s="9" t="str">
        <f aca="false">PROPER(TRIM(Raw_Volunteers!E520))</f>
        <v>Warehouse Loading</v>
      </c>
      <c r="H520" s="9" t="str">
        <f aca="false">Raw_Volunteers!F520</f>
        <v>Main Warehouse</v>
      </c>
      <c r="I520" s="9" t="n">
        <f aca="false">IF(Raw_Volunteers!G520="",ROUND(AVERAGE(Raw_Volunteers!$G$2:$G$926),1),Raw_Volunteers!G520)</f>
        <v>3</v>
      </c>
    </row>
    <row r="521" customFormat="false" ht="15" hidden="false" customHeight="true" outlineLevel="0" collapsed="false">
      <c r="A521" s="9" t="str">
        <f aca="false">Raw_Volunteers!A521</f>
        <v>V2100</v>
      </c>
      <c r="B521" s="9" t="str">
        <f aca="false">IF(COUNTIFS(Raw_Volunteers!$A$2:$A$926,Raw_Volunteers!A521,Raw_Volunteers!$D$2:$D$926,Raw_Volunteers!D521,Raw_Volunteers!$E$2:$E$926,Raw_Volunteers!E521,Raw_Volunteers!$G$2:$G$926,Raw_Volunteers!G521)&gt;1,"Possible Duplicate","")</f>
        <v/>
      </c>
      <c r="C521" s="9" t="str">
        <f aca="false">Raw_Volunteers!B521</f>
        <v>D1311</v>
      </c>
      <c r="D521" s="9" t="str">
        <f aca="false">IF(C521="","No","Yes")</f>
        <v>Yes</v>
      </c>
      <c r="E521" s="9" t="str">
        <f aca="false">Raw_Volunteers!C521</f>
        <v>Lisa Young</v>
      </c>
      <c r="F521" s="9" t="str">
        <f aca="false">Raw_Volunteers!D521</f>
        <v>04/08/2026</v>
      </c>
      <c r="G521" s="9" t="str">
        <f aca="false">PROPER(TRIM(Raw_Volunteers!E521))</f>
        <v>Holiday Box Packing</v>
      </c>
      <c r="H521" s="9" t="str">
        <f aca="false">Raw_Volunteers!F521</f>
        <v>Main Warehouse</v>
      </c>
      <c r="I521" s="9" t="n">
        <f aca="false">IF(Raw_Volunteers!G521="",ROUND(AVERAGE(Raw_Volunteers!$G$2:$G$926),1),Raw_Volunteers!G521)</f>
        <v>2</v>
      </c>
    </row>
    <row r="522" customFormat="false" ht="15" hidden="false" customHeight="true" outlineLevel="0" collapsed="false">
      <c r="A522" s="9" t="str">
        <f aca="false">Raw_Volunteers!A522</f>
        <v>V2100</v>
      </c>
      <c r="B522" s="9" t="str">
        <f aca="false">IF(COUNTIFS(Raw_Volunteers!$A$2:$A$926,Raw_Volunteers!A522,Raw_Volunteers!$D$2:$D$926,Raw_Volunteers!D522,Raw_Volunteers!$E$2:$E$926,Raw_Volunteers!E522,Raw_Volunteers!$G$2:$G$926,Raw_Volunteers!G522)&gt;1,"Possible Duplicate","")</f>
        <v/>
      </c>
      <c r="C522" s="9" t="str">
        <f aca="false">Raw_Volunteers!B522</f>
        <v>D1311</v>
      </c>
      <c r="D522" s="9" t="str">
        <f aca="false">IF(C522="","No","Yes")</f>
        <v>Yes</v>
      </c>
      <c r="E522" s="9" t="str">
        <f aca="false">Raw_Volunteers!C522</f>
        <v>Lisa Young</v>
      </c>
      <c r="F522" s="9" t="str">
        <f aca="false">Raw_Volunteers!D522</f>
        <v>02/16/2024</v>
      </c>
      <c r="G522" s="9" t="str">
        <f aca="false">PROPER(TRIM(Raw_Volunteers!E522))</f>
        <v>Holiday Box Packing</v>
      </c>
      <c r="H522" s="9" t="str">
        <f aca="false">Raw_Volunteers!F522</f>
        <v>Community Center Site</v>
      </c>
      <c r="I522" s="9" t="n">
        <f aca="false">IF(Raw_Volunteers!G522="",ROUND(AVERAGE(Raw_Volunteers!$G$2:$G$926),1),Raw_Volunteers!G522)</f>
        <v>4</v>
      </c>
    </row>
    <row r="523" customFormat="false" ht="15" hidden="false" customHeight="true" outlineLevel="0" collapsed="false">
      <c r="A523" s="9" t="str">
        <f aca="false">Raw_Volunteers!A523</f>
        <v>V2100</v>
      </c>
      <c r="B523" s="9" t="str">
        <f aca="false">IF(COUNTIFS(Raw_Volunteers!$A$2:$A$926,Raw_Volunteers!A523,Raw_Volunteers!$D$2:$D$926,Raw_Volunteers!D523,Raw_Volunteers!$E$2:$E$926,Raw_Volunteers!E523,Raw_Volunteers!$G$2:$G$926,Raw_Volunteers!G523)&gt;1,"Possible Duplicate","")</f>
        <v/>
      </c>
      <c r="C523" s="9" t="str">
        <f aca="false">Raw_Volunteers!B523</f>
        <v>D1311</v>
      </c>
      <c r="D523" s="9" t="str">
        <f aca="false">IF(C523="","No","Yes")</f>
        <v>Yes</v>
      </c>
      <c r="E523" s="9" t="str">
        <f aca="false">Raw_Volunteers!C523</f>
        <v>Lisa Young</v>
      </c>
      <c r="F523" s="9" t="str">
        <f aca="false">Raw_Volunteers!D523</f>
        <v>11/16/2025</v>
      </c>
      <c r="G523" s="9" t="str">
        <f aca="false">PROPER(TRIM(Raw_Volunteers!E523))</f>
        <v>Pantry Stocking</v>
      </c>
      <c r="H523" s="9" t="str">
        <f aca="false">Raw_Volunteers!F523</f>
        <v>Mobile Unit - Route A</v>
      </c>
      <c r="I523" s="9" t="n">
        <f aca="false">IF(Raw_Volunteers!G523="",ROUND(AVERAGE(Raw_Volunteers!$G$2:$G$926),1),Raw_Volunteers!G523)</f>
        <v>6</v>
      </c>
    </row>
    <row r="524" customFormat="false" ht="15" hidden="false" customHeight="true" outlineLevel="0" collapsed="false">
      <c r="A524" s="9" t="str">
        <f aca="false">Raw_Volunteers!A524</f>
        <v>V2101</v>
      </c>
      <c r="B524" s="9" t="str">
        <f aca="false">IF(COUNTIFS(Raw_Volunteers!$A$2:$A$926,Raw_Volunteers!A524,Raw_Volunteers!$D$2:$D$926,Raw_Volunteers!D524,Raw_Volunteers!$E$2:$E$926,Raw_Volunteers!E524,Raw_Volunteers!$G$2:$G$926,Raw_Volunteers!G524)&gt;1,"Possible Duplicate","")</f>
        <v/>
      </c>
      <c r="C524" s="9" t="str">
        <f aca="false">Raw_Volunteers!B524</f>
        <v>D1554</v>
      </c>
      <c r="D524" s="9" t="str">
        <f aca="false">IF(C524="","No","Yes")</f>
        <v>Yes</v>
      </c>
      <c r="E524" s="9" t="str">
        <f aca="false">Raw_Volunteers!C524</f>
        <v>Margaret Nguyen</v>
      </c>
      <c r="F524" s="9" t="str">
        <f aca="false">Raw_Volunteers!D524</f>
        <v>10/26/2024</v>
      </c>
      <c r="G524" s="9" t="str">
        <f aca="false">PROPER(TRIM(Raw_Volunteers!E524))</f>
        <v>Event Setup</v>
      </c>
      <c r="H524" s="9" t="str">
        <f aca="false">Raw_Volunteers!F524</f>
        <v>Mobile Unit - Route A</v>
      </c>
      <c r="I524" s="9" t="n">
        <f aca="false">IF(Raw_Volunteers!G524="",ROUND(AVERAGE(Raw_Volunteers!$G$2:$G$926),1),Raw_Volunteers!G524)</f>
        <v>3</v>
      </c>
    </row>
    <row r="525" customFormat="false" ht="15" hidden="false" customHeight="true" outlineLevel="0" collapsed="false">
      <c r="A525" s="9" t="str">
        <f aca="false">Raw_Volunteers!A525</f>
        <v>V2101</v>
      </c>
      <c r="B525" s="9" t="str">
        <f aca="false">IF(COUNTIFS(Raw_Volunteers!$A$2:$A$926,Raw_Volunteers!A525,Raw_Volunteers!$D$2:$D$926,Raw_Volunteers!D525,Raw_Volunteers!$E$2:$E$926,Raw_Volunteers!E525,Raw_Volunteers!$G$2:$G$926,Raw_Volunteers!G525)&gt;1,"Possible Duplicate","")</f>
        <v/>
      </c>
      <c r="C525" s="9" t="str">
        <f aca="false">Raw_Volunteers!B525</f>
        <v>D1554</v>
      </c>
      <c r="D525" s="9" t="str">
        <f aca="false">IF(C525="","No","Yes")</f>
        <v>Yes</v>
      </c>
      <c r="E525" s="9" t="str">
        <f aca="false">Raw_Volunteers!C525</f>
        <v>Margaret Nguyen</v>
      </c>
      <c r="F525" s="9" t="str">
        <f aca="false">Raw_Volunteers!D525</f>
        <v>09/08/2024</v>
      </c>
      <c r="G525" s="9" t="str">
        <f aca="false">PROPER(TRIM(Raw_Volunteers!E525))</f>
        <v>Front Desk Greeter</v>
      </c>
      <c r="H525" s="9" t="str">
        <f aca="false">Raw_Volunteers!F525</f>
        <v>Main Warehouse</v>
      </c>
      <c r="I525" s="9" t="n">
        <f aca="false">IF(Raw_Volunteers!G525="",ROUND(AVERAGE(Raw_Volunteers!$G$2:$G$926),1),Raw_Volunteers!G525)</f>
        <v>2</v>
      </c>
    </row>
    <row r="526" customFormat="false" ht="15" hidden="false" customHeight="true" outlineLevel="0" collapsed="false">
      <c r="A526" s="9" t="str">
        <f aca="false">Raw_Volunteers!A526</f>
        <v>V2101</v>
      </c>
      <c r="B526" s="9" t="str">
        <f aca="false">IF(COUNTIFS(Raw_Volunteers!$A$2:$A$926,Raw_Volunteers!A526,Raw_Volunteers!$D$2:$D$926,Raw_Volunteers!D526,Raw_Volunteers!$E$2:$E$926,Raw_Volunteers!E526,Raw_Volunteers!$G$2:$G$926,Raw_Volunteers!G526)&gt;1,"Possible Duplicate","")</f>
        <v/>
      </c>
      <c r="C526" s="9" t="str">
        <f aca="false">Raw_Volunteers!B526</f>
        <v>D1554</v>
      </c>
      <c r="D526" s="9" t="str">
        <f aca="false">IF(C526="","No","Yes")</f>
        <v>Yes</v>
      </c>
      <c r="E526" s="9" t="str">
        <f aca="false">Raw_Volunteers!C526</f>
        <v>Margaret Nguyen</v>
      </c>
      <c r="F526" s="9" t="str">
        <f aca="false">Raw_Volunteers!D526</f>
        <v>11/09/2025</v>
      </c>
      <c r="G526" s="9" t="str">
        <f aca="false">PROPER(TRIM(Raw_Volunteers!E526))</f>
        <v>Client Intake Assistant</v>
      </c>
      <c r="H526" s="9" t="str">
        <f aca="false">Raw_Volunteers!F526</f>
        <v>Mobile Unit - Route A</v>
      </c>
      <c r="I526" s="9" t="n">
        <f aca="false">IF(Raw_Volunteers!G526="",ROUND(AVERAGE(Raw_Volunteers!$G$2:$G$926),1),Raw_Volunteers!G526)</f>
        <v>2</v>
      </c>
    </row>
    <row r="527" customFormat="false" ht="15" hidden="false" customHeight="true" outlineLevel="0" collapsed="false">
      <c r="A527" s="9" t="str">
        <f aca="false">Raw_Volunteers!A527</f>
        <v>V2101</v>
      </c>
      <c r="B527" s="9" t="str">
        <f aca="false">IF(COUNTIFS(Raw_Volunteers!$A$2:$A$926,Raw_Volunteers!A527,Raw_Volunteers!$D$2:$D$926,Raw_Volunteers!D527,Raw_Volunteers!$E$2:$E$926,Raw_Volunteers!E527,Raw_Volunteers!$G$2:$G$926,Raw_Volunteers!G527)&gt;1,"Possible Duplicate","")</f>
        <v/>
      </c>
      <c r="C527" s="9" t="str">
        <f aca="false">Raw_Volunteers!B527</f>
        <v>D1554</v>
      </c>
      <c r="D527" s="9" t="str">
        <f aca="false">IF(C527="","No","Yes")</f>
        <v>Yes</v>
      </c>
      <c r="E527" s="9" t="str">
        <f aca="false">Raw_Volunteers!C527</f>
        <v>Margaret Nguyen</v>
      </c>
      <c r="F527" s="9" t="str">
        <f aca="false">Raw_Volunteers!D527</f>
        <v>02/19/2024</v>
      </c>
      <c r="G527" s="9" t="str">
        <f aca="false">PROPER(TRIM(Raw_Volunteers!E527))</f>
        <v>Front Desk Greeter</v>
      </c>
      <c r="H527" s="9" t="str">
        <f aca="false">Raw_Volunteers!F527</f>
        <v>Downtown Pantry</v>
      </c>
      <c r="I527" s="9" t="n">
        <f aca="false">IF(Raw_Volunteers!G527="",ROUND(AVERAGE(Raw_Volunteers!$G$2:$G$926),1),Raw_Volunteers!G527)</f>
        <v>4</v>
      </c>
    </row>
    <row r="528" customFormat="false" ht="15" hidden="false" customHeight="true" outlineLevel="0" collapsed="false">
      <c r="A528" s="9" t="str">
        <f aca="false">Raw_Volunteers!A528</f>
        <v>V2101</v>
      </c>
      <c r="B528" s="9" t="str">
        <f aca="false">IF(COUNTIFS(Raw_Volunteers!$A$2:$A$926,Raw_Volunteers!A528,Raw_Volunteers!$D$2:$D$926,Raw_Volunteers!D528,Raw_Volunteers!$E$2:$E$926,Raw_Volunteers!E528,Raw_Volunteers!$G$2:$G$926,Raw_Volunteers!G528)&gt;1,"Possible Duplicate","")</f>
        <v/>
      </c>
      <c r="C528" s="9" t="str">
        <f aca="false">Raw_Volunteers!B528</f>
        <v>D1554</v>
      </c>
      <c r="D528" s="9" t="str">
        <f aca="false">IF(C528="","No","Yes")</f>
        <v>Yes</v>
      </c>
      <c r="E528" s="9" t="str">
        <f aca="false">Raw_Volunteers!C528</f>
        <v>Margaret Nguyen</v>
      </c>
      <c r="F528" s="9" t="str">
        <f aca="false">Raw_Volunteers!D528</f>
        <v>06/19/2024</v>
      </c>
      <c r="G528" s="9" t="str">
        <f aca="false">PROPER(TRIM(Raw_Volunteers!E528))</f>
        <v>Event Setup</v>
      </c>
      <c r="H528" s="9" t="str">
        <f aca="false">Raw_Volunteers!F528</f>
        <v>Main Warehouse</v>
      </c>
      <c r="I528" s="9" t="n">
        <f aca="false">IF(Raw_Volunteers!G528="",ROUND(AVERAGE(Raw_Volunteers!$G$2:$G$926),1),Raw_Volunteers!G528)</f>
        <v>3</v>
      </c>
    </row>
    <row r="529" customFormat="false" ht="15" hidden="false" customHeight="true" outlineLevel="0" collapsed="false">
      <c r="A529" s="9" t="str">
        <f aca="false">Raw_Volunteers!A529</f>
        <v>V2101</v>
      </c>
      <c r="B529" s="9" t="str">
        <f aca="false">IF(COUNTIFS(Raw_Volunteers!$A$2:$A$926,Raw_Volunteers!A529,Raw_Volunteers!$D$2:$D$926,Raw_Volunteers!D529,Raw_Volunteers!$E$2:$E$926,Raw_Volunteers!E529,Raw_Volunteers!$G$2:$G$926,Raw_Volunteers!G529)&gt;1,"Possible Duplicate","")</f>
        <v/>
      </c>
      <c r="C529" s="9" t="str">
        <f aca="false">Raw_Volunteers!B529</f>
        <v>D1554</v>
      </c>
      <c r="D529" s="9" t="str">
        <f aca="false">IF(C529="","No","Yes")</f>
        <v>Yes</v>
      </c>
      <c r="E529" s="9" t="str">
        <f aca="false">Raw_Volunteers!C529</f>
        <v>Margaret Nguyen</v>
      </c>
      <c r="F529" s="9" t="str">
        <f aca="false">Raw_Volunteers!D529</f>
        <v>02/20/2026</v>
      </c>
      <c r="G529" s="9" t="str">
        <f aca="false">PROPER(TRIM(Raw_Volunteers!E529))</f>
        <v>Mobile Distribution Driver</v>
      </c>
      <c r="H529" s="9" t="str">
        <f aca="false">Raw_Volunteers!F529</f>
        <v>Mobile Unit - Route A</v>
      </c>
      <c r="I529" s="9" t="n">
        <f aca="false">IF(Raw_Volunteers!G529="",ROUND(AVERAGE(Raw_Volunteers!$G$2:$G$926),1),Raw_Volunteers!G529)</f>
        <v>2</v>
      </c>
    </row>
    <row r="530" customFormat="false" ht="15" hidden="false" customHeight="true" outlineLevel="0" collapsed="false">
      <c r="A530" s="9" t="str">
        <f aca="false">Raw_Volunteers!A530</f>
        <v>V2101</v>
      </c>
      <c r="B530" s="9" t="str">
        <f aca="false">IF(COUNTIFS(Raw_Volunteers!$A$2:$A$926,Raw_Volunteers!A530,Raw_Volunteers!$D$2:$D$926,Raw_Volunteers!D530,Raw_Volunteers!$E$2:$E$926,Raw_Volunteers!E530,Raw_Volunteers!$G$2:$G$926,Raw_Volunteers!G530)&gt;1,"Possible Duplicate","")</f>
        <v/>
      </c>
      <c r="C530" s="9" t="str">
        <f aca="false">Raw_Volunteers!B530</f>
        <v>D1554</v>
      </c>
      <c r="D530" s="9" t="str">
        <f aca="false">IF(C530="","No","Yes")</f>
        <v>Yes</v>
      </c>
      <c r="E530" s="9" t="str">
        <f aca="false">Raw_Volunteers!C530</f>
        <v>Margaret Nguyen</v>
      </c>
      <c r="F530" s="9" t="str">
        <f aca="false">Raw_Volunteers!D530</f>
        <v>03/04/2025</v>
      </c>
      <c r="G530" s="9" t="str">
        <f aca="false">PROPER(TRIM(Raw_Volunteers!E530))</f>
        <v>Pantry Stocking</v>
      </c>
      <c r="H530" s="9" t="str">
        <f aca="false">Raw_Volunteers!F530</f>
        <v>Community Center Site</v>
      </c>
      <c r="I530" s="9" t="n">
        <f aca="false">IF(Raw_Volunteers!G530="",ROUND(AVERAGE(Raw_Volunteers!$G$2:$G$926),1),Raw_Volunteers!G530)</f>
        <v>2</v>
      </c>
    </row>
    <row r="531" customFormat="false" ht="15" hidden="false" customHeight="true" outlineLevel="0" collapsed="false">
      <c r="A531" s="9" t="str">
        <f aca="false">Raw_Volunteers!A531</f>
        <v>V2101</v>
      </c>
      <c r="B531" s="9" t="str">
        <f aca="false">IF(COUNTIFS(Raw_Volunteers!$A$2:$A$926,Raw_Volunteers!A531,Raw_Volunteers!$D$2:$D$926,Raw_Volunteers!D531,Raw_Volunteers!$E$2:$E$926,Raw_Volunteers!E531,Raw_Volunteers!$G$2:$G$926,Raw_Volunteers!G531)&gt;1,"Possible Duplicate","")</f>
        <v/>
      </c>
      <c r="C531" s="9" t="str">
        <f aca="false">Raw_Volunteers!B531</f>
        <v>D1554</v>
      </c>
      <c r="D531" s="9" t="str">
        <f aca="false">IF(C531="","No","Yes")</f>
        <v>Yes</v>
      </c>
      <c r="E531" s="9" t="str">
        <f aca="false">Raw_Volunteers!C531</f>
        <v>Margaret Nguyen</v>
      </c>
      <c r="F531" s="9" t="str">
        <f aca="false">Raw_Volunteers!D531</f>
        <v>09/04/2024</v>
      </c>
      <c r="G531" s="9" t="str">
        <f aca="false">PROPER(TRIM(Raw_Volunteers!E531))</f>
        <v>Event Setup</v>
      </c>
      <c r="H531" s="9" t="str">
        <f aca="false">Raw_Volunteers!F531</f>
        <v>Main Warehouse</v>
      </c>
      <c r="I531" s="9" t="n">
        <f aca="false">IF(Raw_Volunteers!G531="",ROUND(AVERAGE(Raw_Volunteers!$G$2:$G$926),1),Raw_Volunteers!G531)</f>
        <v>2</v>
      </c>
    </row>
    <row r="532" customFormat="false" ht="15" hidden="false" customHeight="true" outlineLevel="0" collapsed="false">
      <c r="A532" s="9" t="str">
        <f aca="false">Raw_Volunteers!A532</f>
        <v>V2102</v>
      </c>
      <c r="B532" s="9" t="str">
        <f aca="false">IF(COUNTIFS(Raw_Volunteers!$A$2:$A$926,Raw_Volunteers!A532,Raw_Volunteers!$D$2:$D$926,Raw_Volunteers!D532,Raw_Volunteers!$E$2:$E$926,Raw_Volunteers!E532,Raw_Volunteers!$G$2:$G$926,Raw_Volunteers!G532)&gt;1,"Possible Duplicate","")</f>
        <v/>
      </c>
      <c r="C532" s="9" t="str">
        <f aca="false">Raw_Volunteers!B532</f>
        <v>D1525</v>
      </c>
      <c r="D532" s="9" t="str">
        <f aca="false">IF(C532="","No","Yes")</f>
        <v>Yes</v>
      </c>
      <c r="E532" s="9" t="str">
        <f aca="false">Raw_Volunteers!C532</f>
        <v>Patricia Flores</v>
      </c>
      <c r="F532" s="9" t="str">
        <f aca="false">Raw_Volunteers!D532</f>
        <v>04/25/2024</v>
      </c>
      <c r="G532" s="9" t="str">
        <f aca="false">PROPER(TRIM(Raw_Volunteers!E532))</f>
        <v>Client Intake Assistant</v>
      </c>
      <c r="H532" s="9" t="str">
        <f aca="false">Raw_Volunteers!F532</f>
        <v>Mobile Unit - Route A</v>
      </c>
      <c r="I532" s="9" t="n">
        <f aca="false">IF(Raw_Volunteers!G532="",ROUND(AVERAGE(Raw_Volunteers!$G$2:$G$926),1),Raw_Volunteers!G532)</f>
        <v>2</v>
      </c>
    </row>
    <row r="533" customFormat="false" ht="15" hidden="false" customHeight="true" outlineLevel="0" collapsed="false">
      <c r="A533" s="9" t="str">
        <f aca="false">Raw_Volunteers!A533</f>
        <v>V2102</v>
      </c>
      <c r="B533" s="9" t="str">
        <f aca="false">IF(COUNTIFS(Raw_Volunteers!$A$2:$A$926,Raw_Volunteers!A533,Raw_Volunteers!$D$2:$D$926,Raw_Volunteers!D533,Raw_Volunteers!$E$2:$E$926,Raw_Volunteers!E533,Raw_Volunteers!$G$2:$G$926,Raw_Volunteers!G533)&gt;1,"Possible Duplicate","")</f>
        <v/>
      </c>
      <c r="C533" s="9" t="str">
        <f aca="false">Raw_Volunteers!B533</f>
        <v>D1525</v>
      </c>
      <c r="D533" s="9" t="str">
        <f aca="false">IF(C533="","No","Yes")</f>
        <v>Yes</v>
      </c>
      <c r="E533" s="9" t="str">
        <f aca="false">Raw_Volunteers!C533</f>
        <v>Patricia Flores</v>
      </c>
      <c r="F533" s="9" t="str">
        <f aca="false">Raw_Volunteers!D533</f>
        <v>11/16/2024</v>
      </c>
      <c r="G533" s="9" t="str">
        <f aca="false">PROPER(TRIM(Raw_Volunteers!E533))</f>
        <v>Warehouse Loading</v>
      </c>
      <c r="H533" s="9" t="str">
        <f aca="false">Raw_Volunteers!F533</f>
        <v>Main Warehouse</v>
      </c>
      <c r="I533" s="9" t="n">
        <f aca="false">IF(Raw_Volunteers!G533="",ROUND(AVERAGE(Raw_Volunteers!$G$2:$G$926),1),Raw_Volunteers!G533)</f>
        <v>2</v>
      </c>
    </row>
    <row r="534" customFormat="false" ht="15" hidden="false" customHeight="true" outlineLevel="0" collapsed="false">
      <c r="A534" s="9" t="str">
        <f aca="false">Raw_Volunteers!A534</f>
        <v>V2102</v>
      </c>
      <c r="B534" s="9" t="str">
        <f aca="false">IF(COUNTIFS(Raw_Volunteers!$A$2:$A$926,Raw_Volunteers!A534,Raw_Volunteers!$D$2:$D$926,Raw_Volunteers!D534,Raw_Volunteers!$E$2:$E$926,Raw_Volunteers!E534,Raw_Volunteers!$G$2:$G$926,Raw_Volunteers!G534)&gt;1,"Possible Duplicate","")</f>
        <v/>
      </c>
      <c r="C534" s="9" t="str">
        <f aca="false">Raw_Volunteers!B534</f>
        <v>D1525</v>
      </c>
      <c r="D534" s="9" t="str">
        <f aca="false">IF(C534="","No","Yes")</f>
        <v>Yes</v>
      </c>
      <c r="E534" s="9" t="str">
        <f aca="false">Raw_Volunteers!C534</f>
        <v>Patricia Flores</v>
      </c>
      <c r="F534" s="9" t="str">
        <f aca="false">Raw_Volunteers!D534</f>
        <v>01/27/2024</v>
      </c>
      <c r="G534" s="9" t="str">
        <f aca="false">PROPER(TRIM(Raw_Volunteers!E534))</f>
        <v>Mobile Distribution Driver</v>
      </c>
      <c r="H534" s="9" t="str">
        <f aca="false">Raw_Volunteers!F534</f>
        <v>Mobile Unit - Route B</v>
      </c>
      <c r="I534" s="9" t="n">
        <f aca="false">IF(Raw_Volunteers!G534="",ROUND(AVERAGE(Raw_Volunteers!$G$2:$G$926),1),Raw_Volunteers!G534)</f>
        <v>2</v>
      </c>
    </row>
    <row r="535" customFormat="false" ht="15" hidden="false" customHeight="true" outlineLevel="0" collapsed="false">
      <c r="A535" s="9" t="str">
        <f aca="false">Raw_Volunteers!A535</f>
        <v>V2103</v>
      </c>
      <c r="B535" s="9" t="str">
        <f aca="false">IF(COUNTIFS(Raw_Volunteers!$A$2:$A$926,Raw_Volunteers!A535,Raw_Volunteers!$D$2:$D$926,Raw_Volunteers!D535,Raw_Volunteers!$E$2:$E$926,Raw_Volunteers!E535,Raw_Volunteers!$G$2:$G$926,Raw_Volunteers!G535)&gt;1,"Possible Duplicate","")</f>
        <v/>
      </c>
      <c r="C535" s="9" t="str">
        <f aca="false">Raw_Volunteers!B535</f>
        <v>D1147</v>
      </c>
      <c r="D535" s="9" t="str">
        <f aca="false">IF(C535="","No","Yes")</f>
        <v>Yes</v>
      </c>
      <c r="E535" s="9" t="str">
        <f aca="false">Raw_Volunteers!C535</f>
        <v>Linda Perez</v>
      </c>
      <c r="F535" s="9" t="str">
        <f aca="false">Raw_Volunteers!D535</f>
        <v>01/19/2024</v>
      </c>
      <c r="G535" s="9" t="str">
        <f aca="false">PROPER(TRIM(Raw_Volunteers!E535))</f>
        <v>Warehouse Loading</v>
      </c>
      <c r="H535" s="9" t="str">
        <f aca="false">Raw_Volunteers!F535</f>
        <v>Mobile Unit - Route B</v>
      </c>
      <c r="I535" s="9" t="n">
        <f aca="false">IF(Raw_Volunteers!G535="",ROUND(AVERAGE(Raw_Volunteers!$G$2:$G$926),1),Raw_Volunteers!G535)</f>
        <v>2</v>
      </c>
    </row>
    <row r="536" customFormat="false" ht="15" hidden="false" customHeight="true" outlineLevel="0" collapsed="false">
      <c r="A536" s="9" t="str">
        <f aca="false">Raw_Volunteers!A536</f>
        <v>V2103</v>
      </c>
      <c r="B536" s="9" t="str">
        <f aca="false">IF(COUNTIFS(Raw_Volunteers!$A$2:$A$926,Raw_Volunteers!A536,Raw_Volunteers!$D$2:$D$926,Raw_Volunteers!D536,Raw_Volunteers!$E$2:$E$926,Raw_Volunteers!E536,Raw_Volunteers!$G$2:$G$926,Raw_Volunteers!G536)&gt;1,"Possible Duplicate","")</f>
        <v/>
      </c>
      <c r="C536" s="9" t="str">
        <f aca="false">Raw_Volunteers!B536</f>
        <v>D1147</v>
      </c>
      <c r="D536" s="9" t="str">
        <f aca="false">IF(C536="","No","Yes")</f>
        <v>Yes</v>
      </c>
      <c r="E536" s="9" t="str">
        <f aca="false">Raw_Volunteers!C536</f>
        <v>Linda Perez</v>
      </c>
      <c r="F536" s="9" t="str">
        <f aca="false">Raw_Volunteers!D536</f>
        <v>05/12/2025</v>
      </c>
      <c r="G536" s="9" t="str">
        <f aca="false">PROPER(TRIM(Raw_Volunteers!E536))</f>
        <v>Food Sorting</v>
      </c>
      <c r="H536" s="9" t="str">
        <f aca="false">Raw_Volunteers!F536</f>
        <v>Community Center Site</v>
      </c>
      <c r="I536" s="9" t="n">
        <f aca="false">IF(Raw_Volunteers!G536="",ROUND(AVERAGE(Raw_Volunteers!$G$2:$G$926),1),Raw_Volunteers!G536)</f>
        <v>2</v>
      </c>
    </row>
    <row r="537" customFormat="false" ht="15" hidden="false" customHeight="true" outlineLevel="0" collapsed="false">
      <c r="A537" s="9" t="str">
        <f aca="false">Raw_Volunteers!A537</f>
        <v>V2103</v>
      </c>
      <c r="B537" s="9" t="str">
        <f aca="false">IF(COUNTIFS(Raw_Volunteers!$A$2:$A$926,Raw_Volunteers!A537,Raw_Volunteers!$D$2:$D$926,Raw_Volunteers!D537,Raw_Volunteers!$E$2:$E$926,Raw_Volunteers!E537,Raw_Volunteers!$G$2:$G$926,Raw_Volunteers!G537)&gt;1,"Possible Duplicate","")</f>
        <v/>
      </c>
      <c r="C537" s="9" t="str">
        <f aca="false">Raw_Volunteers!B537</f>
        <v>D1147</v>
      </c>
      <c r="D537" s="9" t="str">
        <f aca="false">IF(C537="","No","Yes")</f>
        <v>Yes</v>
      </c>
      <c r="E537" s="9" t="str">
        <f aca="false">Raw_Volunteers!C537</f>
        <v>Linda Perez</v>
      </c>
      <c r="F537" s="9" t="str">
        <f aca="false">Raw_Volunteers!D537</f>
        <v>03/17/2024</v>
      </c>
      <c r="G537" s="9" t="str">
        <f aca="false">PROPER(TRIM(Raw_Volunteers!E537))</f>
        <v>Client Intake Assistant</v>
      </c>
      <c r="H537" s="9" t="str">
        <f aca="false">Raw_Volunteers!F537</f>
        <v>Mobile Unit - Route A</v>
      </c>
      <c r="I537" s="9" t="n">
        <f aca="false">IF(Raw_Volunteers!G537="",ROUND(AVERAGE(Raw_Volunteers!$G$2:$G$926),1),Raw_Volunteers!G537)</f>
        <v>3</v>
      </c>
    </row>
    <row r="538" customFormat="false" ht="15" hidden="false" customHeight="true" outlineLevel="0" collapsed="false">
      <c r="A538" s="9" t="str">
        <f aca="false">Raw_Volunteers!A538</f>
        <v>V2103</v>
      </c>
      <c r="B538" s="9" t="str">
        <f aca="false">IF(COUNTIFS(Raw_Volunteers!$A$2:$A$926,Raw_Volunteers!A538,Raw_Volunteers!$D$2:$D$926,Raw_Volunteers!D538,Raw_Volunteers!$E$2:$E$926,Raw_Volunteers!E538,Raw_Volunteers!$G$2:$G$926,Raw_Volunteers!G538)&gt;1,"Possible Duplicate","")</f>
        <v/>
      </c>
      <c r="C538" s="9" t="str">
        <f aca="false">Raw_Volunteers!B538</f>
        <v>D1147</v>
      </c>
      <c r="D538" s="9" t="str">
        <f aca="false">IF(C538="","No","Yes")</f>
        <v>Yes</v>
      </c>
      <c r="E538" s="9" t="str">
        <f aca="false">Raw_Volunteers!C538</f>
        <v>Linda Perez</v>
      </c>
      <c r="F538" s="9" t="str">
        <f aca="false">Raw_Volunteers!D538</f>
        <v>12/14/2025</v>
      </c>
      <c r="G538" s="9" t="str">
        <f aca="false">PROPER(TRIM(Raw_Volunteers!E538))</f>
        <v>Event Setup</v>
      </c>
      <c r="H538" s="9" t="str">
        <f aca="false">Raw_Volunteers!F538</f>
        <v>Mobile Unit - Route B</v>
      </c>
      <c r="I538" s="9" t="n">
        <f aca="false">IF(Raw_Volunteers!G538="",ROUND(AVERAGE(Raw_Volunteers!$G$2:$G$926),1),Raw_Volunteers!G538)</f>
        <v>2</v>
      </c>
    </row>
    <row r="539" customFormat="false" ht="15" hidden="false" customHeight="true" outlineLevel="0" collapsed="false">
      <c r="A539" s="9" t="str">
        <f aca="false">Raw_Volunteers!A539</f>
        <v>V2103</v>
      </c>
      <c r="B539" s="9" t="str">
        <f aca="false">IF(COUNTIFS(Raw_Volunteers!$A$2:$A$926,Raw_Volunteers!A539,Raw_Volunteers!$D$2:$D$926,Raw_Volunteers!D539,Raw_Volunteers!$E$2:$E$926,Raw_Volunteers!E539,Raw_Volunteers!$G$2:$G$926,Raw_Volunteers!G539)&gt;1,"Possible Duplicate","")</f>
        <v/>
      </c>
      <c r="C539" s="9" t="str">
        <f aca="false">Raw_Volunteers!B539</f>
        <v>D1147</v>
      </c>
      <c r="D539" s="9" t="str">
        <f aca="false">IF(C539="","No","Yes")</f>
        <v>Yes</v>
      </c>
      <c r="E539" s="9" t="str">
        <f aca="false">Raw_Volunteers!C539</f>
        <v>Linda Perez</v>
      </c>
      <c r="F539" s="9" t="str">
        <f aca="false">Raw_Volunteers!D539</f>
        <v>02/04/2026</v>
      </c>
      <c r="G539" s="9" t="str">
        <f aca="false">PROPER(TRIM(Raw_Volunteers!E539))</f>
        <v>Pantry Stocking</v>
      </c>
      <c r="H539" s="9" t="str">
        <f aca="false">Raw_Volunteers!F539</f>
        <v>Downtown Pantry</v>
      </c>
      <c r="I539" s="9" t="n">
        <f aca="false">IF(Raw_Volunteers!G539="",ROUND(AVERAGE(Raw_Volunteers!$G$2:$G$926),1),Raw_Volunteers!G539)</f>
        <v>2</v>
      </c>
    </row>
    <row r="540" customFormat="false" ht="15" hidden="false" customHeight="true" outlineLevel="0" collapsed="false">
      <c r="A540" s="9" t="str">
        <f aca="false">Raw_Volunteers!A540</f>
        <v>V2103</v>
      </c>
      <c r="B540" s="9" t="str">
        <f aca="false">IF(COUNTIFS(Raw_Volunteers!$A$2:$A$926,Raw_Volunteers!A540,Raw_Volunteers!$D$2:$D$926,Raw_Volunteers!D540,Raw_Volunteers!$E$2:$E$926,Raw_Volunteers!E540,Raw_Volunteers!$G$2:$G$926,Raw_Volunteers!G540)&gt;1,"Possible Duplicate","")</f>
        <v/>
      </c>
      <c r="C540" s="9" t="str">
        <f aca="false">Raw_Volunteers!B540</f>
        <v>D1147</v>
      </c>
      <c r="D540" s="9" t="str">
        <f aca="false">IF(C540="","No","Yes")</f>
        <v>Yes</v>
      </c>
      <c r="E540" s="9" t="str">
        <f aca="false">Raw_Volunteers!C540</f>
        <v>Linda Perez</v>
      </c>
      <c r="F540" s="9" t="str">
        <f aca="false">Raw_Volunteers!D540</f>
        <v>02/28/2025</v>
      </c>
      <c r="G540" s="9" t="str">
        <f aca="false">PROPER(TRIM(Raw_Volunteers!E540))</f>
        <v>Holiday Box Packing</v>
      </c>
      <c r="H540" s="9" t="str">
        <f aca="false">Raw_Volunteers!F540</f>
        <v>Downtown Pantry</v>
      </c>
      <c r="I540" s="9" t="n">
        <f aca="false">IF(Raw_Volunteers!G540="",ROUND(AVERAGE(Raw_Volunteers!$G$2:$G$926),1),Raw_Volunteers!G540)</f>
        <v>2</v>
      </c>
    </row>
    <row r="541" customFormat="false" ht="15" hidden="false" customHeight="true" outlineLevel="0" collapsed="false">
      <c r="A541" s="9" t="str">
        <f aca="false">Raw_Volunteers!A541</f>
        <v>V2103</v>
      </c>
      <c r="B541" s="9" t="str">
        <f aca="false">IF(COUNTIFS(Raw_Volunteers!$A$2:$A$926,Raw_Volunteers!A541,Raw_Volunteers!$D$2:$D$926,Raw_Volunteers!D541,Raw_Volunteers!$E$2:$E$926,Raw_Volunteers!E541,Raw_Volunteers!$G$2:$G$926,Raw_Volunteers!G541)&gt;1,"Possible Duplicate","")</f>
        <v/>
      </c>
      <c r="C541" s="9" t="str">
        <f aca="false">Raw_Volunteers!B541</f>
        <v>D1147</v>
      </c>
      <c r="D541" s="9" t="str">
        <f aca="false">IF(C541="","No","Yes")</f>
        <v>Yes</v>
      </c>
      <c r="E541" s="9" t="str">
        <f aca="false">Raw_Volunteers!C541</f>
        <v>Linda Perez</v>
      </c>
      <c r="F541" s="9" t="str">
        <f aca="false">Raw_Volunteers!D541</f>
        <v>01/09/2025</v>
      </c>
      <c r="G541" s="9" t="str">
        <f aca="false">PROPER(TRIM(Raw_Volunteers!E541))</f>
        <v>Holiday Box Packing</v>
      </c>
      <c r="H541" s="9" t="str">
        <f aca="false">Raw_Volunteers!F541</f>
        <v>Downtown Pantry</v>
      </c>
      <c r="I541" s="9" t="n">
        <f aca="false">IF(Raw_Volunteers!G541="",ROUND(AVERAGE(Raw_Volunteers!$G$2:$G$926),1),Raw_Volunteers!G541)</f>
        <v>3</v>
      </c>
    </row>
    <row r="542" customFormat="false" ht="15" hidden="false" customHeight="true" outlineLevel="0" collapsed="false">
      <c r="A542" s="9" t="str">
        <f aca="false">Raw_Volunteers!A542</f>
        <v>V2103</v>
      </c>
      <c r="B542" s="9" t="str">
        <f aca="false">IF(COUNTIFS(Raw_Volunteers!$A$2:$A$926,Raw_Volunteers!A542,Raw_Volunteers!$D$2:$D$926,Raw_Volunteers!D542,Raw_Volunteers!$E$2:$E$926,Raw_Volunteers!E542,Raw_Volunteers!$G$2:$G$926,Raw_Volunteers!G542)&gt;1,"Possible Duplicate","")</f>
        <v/>
      </c>
      <c r="C542" s="9" t="str">
        <f aca="false">Raw_Volunteers!B542</f>
        <v>D1147</v>
      </c>
      <c r="D542" s="9" t="str">
        <f aca="false">IF(C542="","No","Yes")</f>
        <v>Yes</v>
      </c>
      <c r="E542" s="9" t="str">
        <f aca="false">Raw_Volunteers!C542</f>
        <v>Linda Perez</v>
      </c>
      <c r="F542" s="9" t="str">
        <f aca="false">Raw_Volunteers!D542</f>
        <v>01/16/2025</v>
      </c>
      <c r="G542" s="9" t="str">
        <f aca="false">PROPER(TRIM(Raw_Volunteers!E542))</f>
        <v>Warehouse Loading</v>
      </c>
      <c r="H542" s="9" t="str">
        <f aca="false">Raw_Volunteers!F542</f>
        <v>Mobile Unit - Route A</v>
      </c>
      <c r="I542" s="9" t="n">
        <f aca="false">IF(Raw_Volunteers!G542="",ROUND(AVERAGE(Raw_Volunteers!$G$2:$G$926),1),Raw_Volunteers!G542)</f>
        <v>4</v>
      </c>
    </row>
    <row r="543" customFormat="false" ht="15" hidden="false" customHeight="true" outlineLevel="0" collapsed="false">
      <c r="A543" s="9" t="str">
        <f aca="false">Raw_Volunteers!A543</f>
        <v>V2103</v>
      </c>
      <c r="B543" s="9" t="str">
        <f aca="false">IF(COUNTIFS(Raw_Volunteers!$A$2:$A$926,Raw_Volunteers!A543,Raw_Volunteers!$D$2:$D$926,Raw_Volunteers!D543,Raw_Volunteers!$E$2:$E$926,Raw_Volunteers!E543,Raw_Volunteers!$G$2:$G$926,Raw_Volunteers!G543)&gt;1,"Possible Duplicate","")</f>
        <v/>
      </c>
      <c r="C543" s="9" t="str">
        <f aca="false">Raw_Volunteers!B543</f>
        <v>D1147</v>
      </c>
      <c r="D543" s="9" t="str">
        <f aca="false">IF(C543="","No","Yes")</f>
        <v>Yes</v>
      </c>
      <c r="E543" s="9" t="str">
        <f aca="false">Raw_Volunteers!C543</f>
        <v>Linda Perez</v>
      </c>
      <c r="F543" s="9" t="str">
        <f aca="false">Raw_Volunteers!D543</f>
        <v>05/06/2025</v>
      </c>
      <c r="G543" s="9" t="str">
        <f aca="false">PROPER(TRIM(Raw_Volunteers!E543))</f>
        <v>Pantry Stocking</v>
      </c>
      <c r="H543" s="9" t="str">
        <f aca="false">Raw_Volunteers!F543</f>
        <v>Main Warehouse</v>
      </c>
      <c r="I543" s="9" t="n">
        <f aca="false">IF(Raw_Volunteers!G543="",ROUND(AVERAGE(Raw_Volunteers!$G$2:$G$926),1),Raw_Volunteers!G543)</f>
        <v>4</v>
      </c>
    </row>
    <row r="544" customFormat="false" ht="15" hidden="false" customHeight="true" outlineLevel="0" collapsed="false">
      <c r="A544" s="9" t="str">
        <f aca="false">Raw_Volunteers!A544</f>
        <v>V2103</v>
      </c>
      <c r="B544" s="9" t="str">
        <f aca="false">IF(COUNTIFS(Raw_Volunteers!$A$2:$A$926,Raw_Volunteers!A544,Raw_Volunteers!$D$2:$D$926,Raw_Volunteers!D544,Raw_Volunteers!$E$2:$E$926,Raw_Volunteers!E544,Raw_Volunteers!$G$2:$G$926,Raw_Volunteers!G544)&gt;1,"Possible Duplicate","")</f>
        <v/>
      </c>
      <c r="C544" s="9" t="str">
        <f aca="false">Raw_Volunteers!B544</f>
        <v>D1147</v>
      </c>
      <c r="D544" s="9" t="str">
        <f aca="false">IF(C544="","No","Yes")</f>
        <v>Yes</v>
      </c>
      <c r="E544" s="9" t="str">
        <f aca="false">Raw_Volunteers!C544</f>
        <v>Linda Perez</v>
      </c>
      <c r="F544" s="9" t="str">
        <f aca="false">Raw_Volunteers!D544</f>
        <v>03/27/2024</v>
      </c>
      <c r="G544" s="9" t="str">
        <f aca="false">PROPER(TRIM(Raw_Volunteers!E544))</f>
        <v>Client Intake Assistant</v>
      </c>
      <c r="H544" s="9" t="str">
        <f aca="false">Raw_Volunteers!F544</f>
        <v>Community Center Site</v>
      </c>
      <c r="I544" s="9" t="n">
        <f aca="false">IF(Raw_Volunteers!G544="",ROUND(AVERAGE(Raw_Volunteers!$G$2:$G$926),1),Raw_Volunteers!G544)</f>
        <v>2</v>
      </c>
    </row>
    <row r="545" customFormat="false" ht="15" hidden="false" customHeight="true" outlineLevel="0" collapsed="false">
      <c r="A545" s="9" t="str">
        <f aca="false">Raw_Volunteers!A545</f>
        <v>V2104</v>
      </c>
      <c r="B545" s="9" t="str">
        <f aca="false">IF(COUNTIFS(Raw_Volunteers!$A$2:$A$926,Raw_Volunteers!A545,Raw_Volunteers!$D$2:$D$926,Raw_Volunteers!D545,Raw_Volunteers!$E$2:$E$926,Raw_Volunteers!E545,Raw_Volunteers!$G$2:$G$926,Raw_Volunteers!G545)&gt;1,"Possible Duplicate","")</f>
        <v/>
      </c>
      <c r="C545" s="9" t="str">
        <f aca="false">Raw_Volunteers!B545</f>
        <v>D1016</v>
      </c>
      <c r="D545" s="9" t="str">
        <f aca="false">IF(C545="","No","Yes")</f>
        <v>Yes</v>
      </c>
      <c r="E545" s="9" t="str">
        <f aca="false">Raw_Volunteers!C545</f>
        <v>Kimberly Hill</v>
      </c>
      <c r="F545" s="9" t="str">
        <f aca="false">Raw_Volunteers!D545</f>
        <v>07/30/2025</v>
      </c>
      <c r="G545" s="9" t="str">
        <f aca="false">PROPER(TRIM(Raw_Volunteers!E545))</f>
        <v>Holiday Box Packing</v>
      </c>
      <c r="H545" s="9" t="str">
        <f aca="false">Raw_Volunteers!F545</f>
        <v>Main Warehouse</v>
      </c>
      <c r="I545" s="9" t="n">
        <f aca="false">IF(Raw_Volunteers!G545="",ROUND(AVERAGE(Raw_Volunteers!$G$2:$G$926),1),Raw_Volunteers!G545)</f>
        <v>3</v>
      </c>
    </row>
    <row r="546" customFormat="false" ht="15" hidden="false" customHeight="true" outlineLevel="0" collapsed="false">
      <c r="A546" s="9" t="str">
        <f aca="false">Raw_Volunteers!A546</f>
        <v>V2104</v>
      </c>
      <c r="B546" s="9" t="str">
        <f aca="false">IF(COUNTIFS(Raw_Volunteers!$A$2:$A$926,Raw_Volunteers!A546,Raw_Volunteers!$D$2:$D$926,Raw_Volunteers!D546,Raw_Volunteers!$E$2:$E$926,Raw_Volunteers!E546,Raw_Volunteers!$G$2:$G$926,Raw_Volunteers!G546)&gt;1,"Possible Duplicate","")</f>
        <v/>
      </c>
      <c r="C546" s="9" t="str">
        <f aca="false">Raw_Volunteers!B546</f>
        <v>D1016</v>
      </c>
      <c r="D546" s="9" t="str">
        <f aca="false">IF(C546="","No","Yes")</f>
        <v>Yes</v>
      </c>
      <c r="E546" s="9" t="str">
        <f aca="false">Raw_Volunteers!C546</f>
        <v>Kimberly Hill</v>
      </c>
      <c r="F546" s="9" t="str">
        <f aca="false">Raw_Volunteers!D546</f>
        <v>08/14/2024</v>
      </c>
      <c r="G546" s="9" t="str">
        <f aca="false">PROPER(TRIM(Raw_Volunteers!E546))</f>
        <v>Mobile Distribution Driver</v>
      </c>
      <c r="H546" s="9" t="str">
        <f aca="false">Raw_Volunteers!F546</f>
        <v>Mobile Unit - Route A</v>
      </c>
      <c r="I546" s="9" t="n">
        <f aca="false">IF(Raw_Volunteers!G546="",ROUND(AVERAGE(Raw_Volunteers!$G$2:$G$926),1),Raw_Volunteers!G546)</f>
        <v>2</v>
      </c>
    </row>
    <row r="547" customFormat="false" ht="15" hidden="false" customHeight="true" outlineLevel="0" collapsed="false">
      <c r="A547" s="9" t="str">
        <f aca="false">Raw_Volunteers!A547</f>
        <v>V2104</v>
      </c>
      <c r="B547" s="9" t="str">
        <f aca="false">IF(COUNTIFS(Raw_Volunteers!$A$2:$A$926,Raw_Volunteers!A547,Raw_Volunteers!$D$2:$D$926,Raw_Volunteers!D547,Raw_Volunteers!$E$2:$E$926,Raw_Volunteers!E547,Raw_Volunteers!$G$2:$G$926,Raw_Volunteers!G547)&gt;1,"Possible Duplicate","")</f>
        <v/>
      </c>
      <c r="C547" s="9" t="str">
        <f aca="false">Raw_Volunteers!B547</f>
        <v>D1016</v>
      </c>
      <c r="D547" s="9" t="str">
        <f aca="false">IF(C547="","No","Yes")</f>
        <v>Yes</v>
      </c>
      <c r="E547" s="9" t="str">
        <f aca="false">Raw_Volunteers!C547</f>
        <v>Kimberly Hill</v>
      </c>
      <c r="F547" s="9" t="str">
        <f aca="false">Raw_Volunteers!D547</f>
        <v>06/03/2024</v>
      </c>
      <c r="G547" s="9" t="str">
        <f aca="false">PROPER(TRIM(Raw_Volunteers!E547))</f>
        <v>Warehouse Loading</v>
      </c>
      <c r="H547" s="9" t="str">
        <f aca="false">Raw_Volunteers!F547</f>
        <v>Mobile Unit - Route A</v>
      </c>
      <c r="I547" s="9" t="n">
        <f aca="false">IF(Raw_Volunteers!G547="",ROUND(AVERAGE(Raw_Volunteers!$G$2:$G$926),1),Raw_Volunteers!G547)</f>
        <v>3</v>
      </c>
    </row>
    <row r="548" customFormat="false" ht="15" hidden="false" customHeight="true" outlineLevel="0" collapsed="false">
      <c r="A548" s="9" t="str">
        <f aca="false">Raw_Volunteers!A548</f>
        <v>V2105</v>
      </c>
      <c r="B548" s="9" t="str">
        <f aca="false">IF(COUNTIFS(Raw_Volunteers!$A$2:$A$926,Raw_Volunteers!A548,Raw_Volunteers!$D$2:$D$926,Raw_Volunteers!D548,Raw_Volunteers!$E$2:$E$926,Raw_Volunteers!E548,Raw_Volunteers!$G$2:$G$926,Raw_Volunteers!G548)&gt;1,"Possible Duplicate","")</f>
        <v/>
      </c>
      <c r="C548" s="9" t="str">
        <f aca="false">Raw_Volunteers!B548</f>
        <v>D1184</v>
      </c>
      <c r="D548" s="9" t="str">
        <f aca="false">IF(C548="","No","Yes")</f>
        <v>Yes</v>
      </c>
      <c r="E548" s="9" t="str">
        <f aca="false">Raw_Volunteers!C548</f>
        <v>Emily Nguyen</v>
      </c>
      <c r="F548" s="9" t="str">
        <f aca="false">Raw_Volunteers!D548</f>
        <v>06/24/2025</v>
      </c>
      <c r="G548" s="9" t="str">
        <f aca="false">PROPER(TRIM(Raw_Volunteers!E548))</f>
        <v>Food Sorting</v>
      </c>
      <c r="H548" s="9" t="str">
        <f aca="false">Raw_Volunteers!F548</f>
        <v>Mobile Unit - Route A</v>
      </c>
      <c r="I548" s="9" t="n">
        <f aca="false">IF(Raw_Volunteers!G548="",ROUND(AVERAGE(Raw_Volunteers!$G$2:$G$926),1),Raw_Volunteers!G548)</f>
        <v>4</v>
      </c>
    </row>
    <row r="549" customFormat="false" ht="15" hidden="false" customHeight="true" outlineLevel="0" collapsed="false">
      <c r="A549" s="9" t="str">
        <f aca="false">Raw_Volunteers!A549</f>
        <v>V2105</v>
      </c>
      <c r="B549" s="9" t="str">
        <f aca="false">IF(COUNTIFS(Raw_Volunteers!$A$2:$A$926,Raw_Volunteers!A549,Raw_Volunteers!$D$2:$D$926,Raw_Volunteers!D549,Raw_Volunteers!$E$2:$E$926,Raw_Volunteers!E549,Raw_Volunteers!$G$2:$G$926,Raw_Volunteers!G549)&gt;1,"Possible Duplicate","")</f>
        <v/>
      </c>
      <c r="C549" s="9" t="str">
        <f aca="false">Raw_Volunteers!B549</f>
        <v>D1184</v>
      </c>
      <c r="D549" s="9" t="str">
        <f aca="false">IF(C549="","No","Yes")</f>
        <v>Yes</v>
      </c>
      <c r="E549" s="9" t="str">
        <f aca="false">Raw_Volunteers!C549</f>
        <v>Emily Nguyen</v>
      </c>
      <c r="F549" s="9" t="str">
        <f aca="false">Raw_Volunteers!D549</f>
        <v>02/05/2025</v>
      </c>
      <c r="G549" s="9" t="str">
        <f aca="false">PROPER(TRIM(Raw_Volunteers!E549))</f>
        <v>Client Intake Assistant</v>
      </c>
      <c r="H549" s="9" t="str">
        <f aca="false">Raw_Volunteers!F549</f>
        <v>Mobile Unit - Route B</v>
      </c>
      <c r="I549" s="9" t="n">
        <f aca="false">IF(Raw_Volunteers!G549="",ROUND(AVERAGE(Raw_Volunteers!$G$2:$G$926),1),Raw_Volunteers!G549)</f>
        <v>4</v>
      </c>
    </row>
    <row r="550" customFormat="false" ht="15" hidden="false" customHeight="true" outlineLevel="0" collapsed="false">
      <c r="A550" s="9" t="str">
        <f aca="false">Raw_Volunteers!A550</f>
        <v>V2105</v>
      </c>
      <c r="B550" s="9" t="str">
        <f aca="false">IF(COUNTIFS(Raw_Volunteers!$A$2:$A$926,Raw_Volunteers!A550,Raw_Volunteers!$D$2:$D$926,Raw_Volunteers!D550,Raw_Volunteers!$E$2:$E$926,Raw_Volunteers!E550,Raw_Volunteers!$G$2:$G$926,Raw_Volunteers!G550)&gt;1,"Possible Duplicate","")</f>
        <v/>
      </c>
      <c r="C550" s="9" t="str">
        <f aca="false">Raw_Volunteers!B550</f>
        <v>D1184</v>
      </c>
      <c r="D550" s="9" t="str">
        <f aca="false">IF(C550="","No","Yes")</f>
        <v>Yes</v>
      </c>
      <c r="E550" s="9" t="str">
        <f aca="false">Raw_Volunteers!C550</f>
        <v>Emily Nguyen</v>
      </c>
      <c r="F550" s="9" t="str">
        <f aca="false">Raw_Volunteers!D550</f>
        <v>01/11/2024</v>
      </c>
      <c r="G550" s="9" t="str">
        <f aca="false">PROPER(TRIM(Raw_Volunteers!E550))</f>
        <v>Pantry Stocking</v>
      </c>
      <c r="H550" s="9" t="str">
        <f aca="false">Raw_Volunteers!F550</f>
        <v>Mobile Unit - Route A</v>
      </c>
      <c r="I550" s="9" t="n">
        <f aca="false">IF(Raw_Volunteers!G550="",ROUND(AVERAGE(Raw_Volunteers!$G$2:$G$926),1),Raw_Volunteers!G550)</f>
        <v>2</v>
      </c>
    </row>
    <row r="551" customFormat="false" ht="15" hidden="false" customHeight="true" outlineLevel="0" collapsed="false">
      <c r="A551" s="9" t="str">
        <f aca="false">Raw_Volunteers!A551</f>
        <v>V2105</v>
      </c>
      <c r="B551" s="9" t="str">
        <f aca="false">IF(COUNTIFS(Raw_Volunteers!$A$2:$A$926,Raw_Volunteers!A551,Raw_Volunteers!$D$2:$D$926,Raw_Volunteers!D551,Raw_Volunteers!$E$2:$E$926,Raw_Volunteers!E551,Raw_Volunteers!$G$2:$G$926,Raw_Volunteers!G551)&gt;1,"Possible Duplicate","")</f>
        <v/>
      </c>
      <c r="C551" s="9" t="str">
        <f aca="false">Raw_Volunteers!B551</f>
        <v>D1184</v>
      </c>
      <c r="D551" s="9" t="str">
        <f aca="false">IF(C551="","No","Yes")</f>
        <v>Yes</v>
      </c>
      <c r="E551" s="9" t="str">
        <f aca="false">Raw_Volunteers!C551</f>
        <v>Emily Nguyen</v>
      </c>
      <c r="F551" s="9" t="str">
        <f aca="false">Raw_Volunteers!D551</f>
        <v>02/19/2026</v>
      </c>
      <c r="G551" s="9" t="str">
        <f aca="false">PROPER(TRIM(Raw_Volunteers!E551))</f>
        <v>Front Desk Greeter</v>
      </c>
      <c r="H551" s="9" t="str">
        <f aca="false">Raw_Volunteers!F551</f>
        <v>Mobile Unit - Route A</v>
      </c>
      <c r="I551" s="9" t="n">
        <f aca="false">IF(Raw_Volunteers!G551="",ROUND(AVERAGE(Raw_Volunteers!$G$2:$G$926),1),Raw_Volunteers!G551)</f>
        <v>2</v>
      </c>
    </row>
    <row r="552" customFormat="false" ht="15" hidden="false" customHeight="true" outlineLevel="0" collapsed="false">
      <c r="A552" s="9" t="str">
        <f aca="false">Raw_Volunteers!A552</f>
        <v>V2105</v>
      </c>
      <c r="B552" s="9" t="str">
        <f aca="false">IF(COUNTIFS(Raw_Volunteers!$A$2:$A$926,Raw_Volunteers!A552,Raw_Volunteers!$D$2:$D$926,Raw_Volunteers!D552,Raw_Volunteers!$E$2:$E$926,Raw_Volunteers!E552,Raw_Volunteers!$G$2:$G$926,Raw_Volunteers!G552)&gt;1,"Possible Duplicate","")</f>
        <v/>
      </c>
      <c r="C552" s="9" t="str">
        <f aca="false">Raw_Volunteers!B552</f>
        <v>D1184</v>
      </c>
      <c r="D552" s="9" t="str">
        <f aca="false">IF(C552="","No","Yes")</f>
        <v>Yes</v>
      </c>
      <c r="E552" s="9" t="str">
        <f aca="false">Raw_Volunteers!C552</f>
        <v>Emily Nguyen</v>
      </c>
      <c r="F552" s="9" t="str">
        <f aca="false">Raw_Volunteers!D552</f>
        <v>03/14/2026</v>
      </c>
      <c r="G552" s="9" t="str">
        <f aca="false">PROPER(TRIM(Raw_Volunteers!E552))</f>
        <v>Event Setup</v>
      </c>
      <c r="H552" s="9" t="str">
        <f aca="false">Raw_Volunteers!F552</f>
        <v>Main Warehouse</v>
      </c>
      <c r="I552" s="9" t="n">
        <f aca="false">IF(Raw_Volunteers!G552="",ROUND(AVERAGE(Raw_Volunteers!$G$2:$G$926),1),Raw_Volunteers!G552)</f>
        <v>2</v>
      </c>
    </row>
    <row r="553" customFormat="false" ht="15" hidden="false" customHeight="true" outlineLevel="0" collapsed="false">
      <c r="A553" s="9" t="str">
        <f aca="false">Raw_Volunteers!A553</f>
        <v>V2105</v>
      </c>
      <c r="B553" s="9" t="str">
        <f aca="false">IF(COUNTIFS(Raw_Volunteers!$A$2:$A$926,Raw_Volunteers!A553,Raw_Volunteers!$D$2:$D$926,Raw_Volunteers!D553,Raw_Volunteers!$E$2:$E$926,Raw_Volunteers!E553,Raw_Volunteers!$G$2:$G$926,Raw_Volunteers!G553)&gt;1,"Possible Duplicate","")</f>
        <v/>
      </c>
      <c r="C553" s="9" t="str">
        <f aca="false">Raw_Volunteers!B553</f>
        <v>D1184</v>
      </c>
      <c r="D553" s="9" t="str">
        <f aca="false">IF(C553="","No","Yes")</f>
        <v>Yes</v>
      </c>
      <c r="E553" s="9" t="str">
        <f aca="false">Raw_Volunteers!C553</f>
        <v>Emily Nguyen</v>
      </c>
      <c r="F553" s="9" t="str">
        <f aca="false">Raw_Volunteers!D553</f>
        <v>11/23/2024</v>
      </c>
      <c r="G553" s="9" t="str">
        <f aca="false">PROPER(TRIM(Raw_Volunteers!E553))</f>
        <v>Food Sorting</v>
      </c>
      <c r="H553" s="9" t="str">
        <f aca="false">Raw_Volunteers!F553</f>
        <v>Downtown Pantry</v>
      </c>
      <c r="I553" s="9" t="n">
        <f aca="false">IF(Raw_Volunteers!G553="",ROUND(AVERAGE(Raw_Volunteers!$G$2:$G$926),1),Raw_Volunteers!G553)</f>
        <v>5</v>
      </c>
    </row>
    <row r="554" customFormat="false" ht="15" hidden="false" customHeight="true" outlineLevel="0" collapsed="false">
      <c r="A554" s="9" t="str">
        <f aca="false">Raw_Volunteers!A554</f>
        <v>V2105</v>
      </c>
      <c r="B554" s="9" t="str">
        <f aca="false">IF(COUNTIFS(Raw_Volunteers!$A$2:$A$926,Raw_Volunteers!A554,Raw_Volunteers!$D$2:$D$926,Raw_Volunteers!D554,Raw_Volunteers!$E$2:$E$926,Raw_Volunteers!E554,Raw_Volunteers!$G$2:$G$926,Raw_Volunteers!G554)&gt;1,"Possible Duplicate","")</f>
        <v/>
      </c>
      <c r="C554" s="9" t="str">
        <f aca="false">Raw_Volunteers!B554</f>
        <v>D1184</v>
      </c>
      <c r="D554" s="9" t="str">
        <f aca="false">IF(C554="","No","Yes")</f>
        <v>Yes</v>
      </c>
      <c r="E554" s="9" t="str">
        <f aca="false">Raw_Volunteers!C554</f>
        <v>Emily Nguyen</v>
      </c>
      <c r="F554" s="9" t="str">
        <f aca="false">Raw_Volunteers!D554</f>
        <v>10/18/2024</v>
      </c>
      <c r="G554" s="9" t="str">
        <f aca="false">PROPER(TRIM(Raw_Volunteers!E554))</f>
        <v>Holiday Box Packing</v>
      </c>
      <c r="H554" s="9" t="str">
        <f aca="false">Raw_Volunteers!F554</f>
        <v>Mobile Unit - Route A</v>
      </c>
      <c r="I554" s="9" t="n">
        <f aca="false">IF(Raw_Volunteers!G554="",ROUND(AVERAGE(Raw_Volunteers!$G$2:$G$926),1),Raw_Volunteers!G554)</f>
        <v>3</v>
      </c>
    </row>
    <row r="555" customFormat="false" ht="15" hidden="false" customHeight="true" outlineLevel="0" collapsed="false">
      <c r="A555" s="9" t="str">
        <f aca="false">Raw_Volunteers!A555</f>
        <v>V2105</v>
      </c>
      <c r="B555" s="9" t="str">
        <f aca="false">IF(COUNTIFS(Raw_Volunteers!$A$2:$A$926,Raw_Volunteers!A555,Raw_Volunteers!$D$2:$D$926,Raw_Volunteers!D555,Raw_Volunteers!$E$2:$E$926,Raw_Volunteers!E555,Raw_Volunteers!$G$2:$G$926,Raw_Volunteers!G555)&gt;1,"Possible Duplicate","")</f>
        <v/>
      </c>
      <c r="C555" s="9" t="str">
        <f aca="false">Raw_Volunteers!B555</f>
        <v>D1184</v>
      </c>
      <c r="D555" s="9" t="str">
        <f aca="false">IF(C555="","No","Yes")</f>
        <v>Yes</v>
      </c>
      <c r="E555" s="9" t="str">
        <f aca="false">Raw_Volunteers!C555</f>
        <v>Emily Nguyen</v>
      </c>
      <c r="F555" s="9" t="str">
        <f aca="false">Raw_Volunteers!D555</f>
        <v>05/16/2026</v>
      </c>
      <c r="G555" s="9" t="str">
        <f aca="false">PROPER(TRIM(Raw_Volunteers!E555))</f>
        <v>Event Setup</v>
      </c>
      <c r="H555" s="9" t="str">
        <f aca="false">Raw_Volunteers!F555</f>
        <v>Main Warehouse</v>
      </c>
      <c r="I555" s="9" t="n">
        <f aca="false">IF(Raw_Volunteers!G555="",ROUND(AVERAGE(Raw_Volunteers!$G$2:$G$926),1),Raw_Volunteers!G555)</f>
        <v>3</v>
      </c>
    </row>
    <row r="556" customFormat="false" ht="15" hidden="false" customHeight="true" outlineLevel="0" collapsed="false">
      <c r="A556" s="9" t="str">
        <f aca="false">Raw_Volunteers!A556</f>
        <v>V2105</v>
      </c>
      <c r="B556" s="9" t="str">
        <f aca="false">IF(COUNTIFS(Raw_Volunteers!$A$2:$A$926,Raw_Volunteers!A556,Raw_Volunteers!$D$2:$D$926,Raw_Volunteers!D556,Raw_Volunteers!$E$2:$E$926,Raw_Volunteers!E556,Raw_Volunteers!$G$2:$G$926,Raw_Volunteers!G556)&gt;1,"Possible Duplicate","")</f>
        <v/>
      </c>
      <c r="C556" s="9" t="str">
        <f aca="false">Raw_Volunteers!B556</f>
        <v>D1184</v>
      </c>
      <c r="D556" s="9" t="str">
        <f aca="false">IF(C556="","No","Yes")</f>
        <v>Yes</v>
      </c>
      <c r="E556" s="9" t="str">
        <f aca="false">Raw_Volunteers!C556</f>
        <v>Emily Nguyen</v>
      </c>
      <c r="F556" s="9" t="str">
        <f aca="false">Raw_Volunteers!D556</f>
        <v>01/04/2026</v>
      </c>
      <c r="G556" s="9" t="str">
        <f aca="false">PROPER(TRIM(Raw_Volunteers!E556))</f>
        <v>Event Setup</v>
      </c>
      <c r="H556" s="9" t="str">
        <f aca="false">Raw_Volunteers!F556</f>
        <v>Mobile Unit - Route B</v>
      </c>
      <c r="I556" s="9" t="n">
        <f aca="false">IF(Raw_Volunteers!G556="",ROUND(AVERAGE(Raw_Volunteers!$G$2:$G$926),1),Raw_Volunteers!G556)</f>
        <v>3</v>
      </c>
    </row>
    <row r="557" customFormat="false" ht="15" hidden="false" customHeight="true" outlineLevel="0" collapsed="false">
      <c r="A557" s="9" t="str">
        <f aca="false">Raw_Volunteers!A557</f>
        <v>V2105</v>
      </c>
      <c r="B557" s="9" t="str">
        <f aca="false">IF(COUNTIFS(Raw_Volunteers!$A$2:$A$926,Raw_Volunteers!A557,Raw_Volunteers!$D$2:$D$926,Raw_Volunteers!D557,Raw_Volunteers!$E$2:$E$926,Raw_Volunteers!E557,Raw_Volunteers!$G$2:$G$926,Raw_Volunteers!G557)&gt;1,"Possible Duplicate","")</f>
        <v/>
      </c>
      <c r="C557" s="9" t="str">
        <f aca="false">Raw_Volunteers!B557</f>
        <v>D1184</v>
      </c>
      <c r="D557" s="9" t="str">
        <f aca="false">IF(C557="","No","Yes")</f>
        <v>Yes</v>
      </c>
      <c r="E557" s="9" t="str">
        <f aca="false">Raw_Volunteers!C557</f>
        <v>Emily Nguyen</v>
      </c>
      <c r="F557" s="9" t="str">
        <f aca="false">Raw_Volunteers!D557</f>
        <v>03/27/2025</v>
      </c>
      <c r="G557" s="9" t="str">
        <f aca="false">PROPER(TRIM(Raw_Volunteers!E557))</f>
        <v>Front Desk Greeter</v>
      </c>
      <c r="H557" s="9" t="str">
        <f aca="false">Raw_Volunteers!F557</f>
        <v>Community Center Site</v>
      </c>
      <c r="I557" s="9" t="n">
        <f aca="false">IF(Raw_Volunteers!G557="",ROUND(AVERAGE(Raw_Volunteers!$G$2:$G$926),1),Raw_Volunteers!G557)</f>
        <v>3</v>
      </c>
    </row>
    <row r="558" customFormat="false" ht="15" hidden="false" customHeight="true" outlineLevel="0" collapsed="false">
      <c r="A558" s="9" t="str">
        <f aca="false">Raw_Volunteers!A558</f>
        <v>V2105</v>
      </c>
      <c r="B558" s="9" t="str">
        <f aca="false">IF(COUNTIFS(Raw_Volunteers!$A$2:$A$926,Raw_Volunteers!A558,Raw_Volunteers!$D$2:$D$926,Raw_Volunteers!D558,Raw_Volunteers!$E$2:$E$926,Raw_Volunteers!E558,Raw_Volunteers!$G$2:$G$926,Raw_Volunteers!G558)&gt;1,"Possible Duplicate","")</f>
        <v/>
      </c>
      <c r="C558" s="9" t="str">
        <f aca="false">Raw_Volunteers!B558</f>
        <v>D1184</v>
      </c>
      <c r="D558" s="9" t="str">
        <f aca="false">IF(C558="","No","Yes")</f>
        <v>Yes</v>
      </c>
      <c r="E558" s="9" t="str">
        <f aca="false">Raw_Volunteers!C558</f>
        <v>Emily Nguyen</v>
      </c>
      <c r="F558" s="9" t="str">
        <f aca="false">Raw_Volunteers!D558</f>
        <v>08/04/2024</v>
      </c>
      <c r="G558" s="9" t="str">
        <f aca="false">PROPER(TRIM(Raw_Volunteers!E558))</f>
        <v>Event Setup</v>
      </c>
      <c r="H558" s="9" t="str">
        <f aca="false">Raw_Volunteers!F558</f>
        <v>Community Center Site</v>
      </c>
      <c r="I558" s="9" t="n">
        <f aca="false">IF(Raw_Volunteers!G558="",ROUND(AVERAGE(Raw_Volunteers!$G$2:$G$926),1),Raw_Volunteers!G558)</f>
        <v>6</v>
      </c>
    </row>
    <row r="559" customFormat="false" ht="15" hidden="false" customHeight="true" outlineLevel="0" collapsed="false">
      <c r="A559" s="9" t="str">
        <f aca="false">Raw_Volunteers!A559</f>
        <v>V2105</v>
      </c>
      <c r="B559" s="9" t="str">
        <f aca="false">IF(COUNTIFS(Raw_Volunteers!$A$2:$A$926,Raw_Volunteers!A559,Raw_Volunteers!$D$2:$D$926,Raw_Volunteers!D559,Raw_Volunteers!$E$2:$E$926,Raw_Volunteers!E559,Raw_Volunteers!$G$2:$G$926,Raw_Volunteers!G559)&gt;1,"Possible Duplicate","")</f>
        <v/>
      </c>
      <c r="C559" s="9" t="str">
        <f aca="false">Raw_Volunteers!B559</f>
        <v>D1184</v>
      </c>
      <c r="D559" s="9" t="str">
        <f aca="false">IF(C559="","No","Yes")</f>
        <v>Yes</v>
      </c>
      <c r="E559" s="9" t="str">
        <f aca="false">Raw_Volunteers!C559</f>
        <v>Emily Nguyen</v>
      </c>
      <c r="F559" s="9" t="str">
        <f aca="false">Raw_Volunteers!D559</f>
        <v>02/11/2026</v>
      </c>
      <c r="G559" s="9" t="str">
        <f aca="false">PROPER(TRIM(Raw_Volunteers!E559))</f>
        <v>Pantry Stocking</v>
      </c>
      <c r="H559" s="9" t="str">
        <f aca="false">Raw_Volunteers!F559</f>
        <v>Downtown Pantry</v>
      </c>
      <c r="I559" s="9" t="n">
        <f aca="false">IF(Raw_Volunteers!G559="",ROUND(AVERAGE(Raw_Volunteers!$G$2:$G$926),1),Raw_Volunteers!G559)</f>
        <v>2.9</v>
      </c>
    </row>
    <row r="560" customFormat="false" ht="15" hidden="false" customHeight="true" outlineLevel="0" collapsed="false">
      <c r="A560" s="9" t="str">
        <f aca="false">Raw_Volunteers!A560</f>
        <v>V2106</v>
      </c>
      <c r="B560" s="9" t="str">
        <f aca="false">IF(COUNTIFS(Raw_Volunteers!$A$2:$A$926,Raw_Volunteers!A560,Raw_Volunteers!$D$2:$D$926,Raw_Volunteers!D560,Raw_Volunteers!$E$2:$E$926,Raw_Volunteers!E560,Raw_Volunteers!$G$2:$G$926,Raw_Volunteers!G560)&gt;1,"Possible Duplicate","")</f>
        <v/>
      </c>
      <c r="C560" s="9" t="str">
        <f aca="false">Raw_Volunteers!B560</f>
        <v>D1208</v>
      </c>
      <c r="D560" s="9" t="str">
        <f aca="false">IF(C560="","No","Yes")</f>
        <v>Yes</v>
      </c>
      <c r="E560" s="9" t="str">
        <f aca="false">Raw_Volunteers!C560</f>
        <v>Kimberly Wilson</v>
      </c>
      <c r="F560" s="9" t="str">
        <f aca="false">Raw_Volunteers!D560</f>
        <v>02/01/2025</v>
      </c>
      <c r="G560" s="9" t="str">
        <f aca="false">PROPER(TRIM(Raw_Volunteers!E560))</f>
        <v>Event Setup</v>
      </c>
      <c r="H560" s="9" t="str">
        <f aca="false">Raw_Volunteers!F560</f>
        <v>Downtown Pantry</v>
      </c>
      <c r="I560" s="9" t="n">
        <f aca="false">IF(Raw_Volunteers!G560="",ROUND(AVERAGE(Raw_Volunteers!$G$2:$G$926),1),Raw_Volunteers!G560)</f>
        <v>3</v>
      </c>
    </row>
    <row r="561" customFormat="false" ht="15" hidden="false" customHeight="true" outlineLevel="0" collapsed="false">
      <c r="A561" s="9" t="str">
        <f aca="false">Raw_Volunteers!A561</f>
        <v>V2106</v>
      </c>
      <c r="B561" s="9" t="str">
        <f aca="false">IF(COUNTIFS(Raw_Volunteers!$A$2:$A$926,Raw_Volunteers!A561,Raw_Volunteers!$D$2:$D$926,Raw_Volunteers!D561,Raw_Volunteers!$E$2:$E$926,Raw_Volunteers!E561,Raw_Volunteers!$G$2:$G$926,Raw_Volunteers!G561)&gt;1,"Possible Duplicate","")</f>
        <v/>
      </c>
      <c r="C561" s="9" t="str">
        <f aca="false">Raw_Volunteers!B561</f>
        <v>D1208</v>
      </c>
      <c r="D561" s="9" t="str">
        <f aca="false">IF(C561="","No","Yes")</f>
        <v>Yes</v>
      </c>
      <c r="E561" s="9" t="str">
        <f aca="false">Raw_Volunteers!C561</f>
        <v>Kimberly Wilson</v>
      </c>
      <c r="F561" s="9" t="str">
        <f aca="false">Raw_Volunteers!D561</f>
        <v>06/18/2024</v>
      </c>
      <c r="G561" s="9" t="str">
        <f aca="false">PROPER(TRIM(Raw_Volunteers!E561))</f>
        <v>Pantry Stocking</v>
      </c>
      <c r="H561" s="9" t="str">
        <f aca="false">Raw_Volunteers!F561</f>
        <v>Downtown Pantry</v>
      </c>
      <c r="I561" s="9" t="n">
        <f aca="false">IF(Raw_Volunteers!G561="",ROUND(AVERAGE(Raw_Volunteers!$G$2:$G$926),1),Raw_Volunteers!G561)</f>
        <v>3</v>
      </c>
    </row>
    <row r="562" customFormat="false" ht="15" hidden="false" customHeight="true" outlineLevel="0" collapsed="false">
      <c r="A562" s="9" t="str">
        <f aca="false">Raw_Volunteers!A562</f>
        <v>V2106</v>
      </c>
      <c r="B562" s="9" t="str">
        <f aca="false">IF(COUNTIFS(Raw_Volunteers!$A$2:$A$926,Raw_Volunteers!A562,Raw_Volunteers!$D$2:$D$926,Raw_Volunteers!D562,Raw_Volunteers!$E$2:$E$926,Raw_Volunteers!E562,Raw_Volunteers!$G$2:$G$926,Raw_Volunteers!G562)&gt;1,"Possible Duplicate","")</f>
        <v/>
      </c>
      <c r="C562" s="9" t="str">
        <f aca="false">Raw_Volunteers!B562</f>
        <v>D1208</v>
      </c>
      <c r="D562" s="9" t="str">
        <f aca="false">IF(C562="","No","Yes")</f>
        <v>Yes</v>
      </c>
      <c r="E562" s="9" t="str">
        <f aca="false">Raw_Volunteers!C562</f>
        <v>Kimberly Wilson</v>
      </c>
      <c r="F562" s="9" t="str">
        <f aca="false">Raw_Volunteers!D562</f>
        <v>01/31/2026</v>
      </c>
      <c r="G562" s="9" t="str">
        <f aca="false">PROPER(TRIM(Raw_Volunteers!E562))</f>
        <v>Holiday Box Packing</v>
      </c>
      <c r="H562" s="9" t="str">
        <f aca="false">Raw_Volunteers!F562</f>
        <v>Community Center Site</v>
      </c>
      <c r="I562" s="9" t="n">
        <f aca="false">IF(Raw_Volunteers!G562="",ROUND(AVERAGE(Raw_Volunteers!$G$2:$G$926),1),Raw_Volunteers!G562)</f>
        <v>2</v>
      </c>
    </row>
    <row r="563" customFormat="false" ht="15" hidden="false" customHeight="true" outlineLevel="0" collapsed="false">
      <c r="A563" s="9" t="str">
        <f aca="false">Raw_Volunteers!A563</f>
        <v>V2106</v>
      </c>
      <c r="B563" s="9" t="str">
        <f aca="false">IF(COUNTIFS(Raw_Volunteers!$A$2:$A$926,Raw_Volunteers!A563,Raw_Volunteers!$D$2:$D$926,Raw_Volunteers!D563,Raw_Volunteers!$E$2:$E$926,Raw_Volunteers!E563,Raw_Volunteers!$G$2:$G$926,Raw_Volunteers!G563)&gt;1,"Possible Duplicate","")</f>
        <v/>
      </c>
      <c r="C563" s="9" t="str">
        <f aca="false">Raw_Volunteers!B563</f>
        <v>D1208</v>
      </c>
      <c r="D563" s="9" t="str">
        <f aca="false">IF(C563="","No","Yes")</f>
        <v>Yes</v>
      </c>
      <c r="E563" s="9" t="str">
        <f aca="false">Raw_Volunteers!C563</f>
        <v>Kimberly Wilson</v>
      </c>
      <c r="F563" s="9" t="str">
        <f aca="false">Raw_Volunteers!D563</f>
        <v>07/30/2024</v>
      </c>
      <c r="G563" s="9" t="str">
        <f aca="false">PROPER(TRIM(Raw_Volunteers!E563))</f>
        <v>Warehouse Loading</v>
      </c>
      <c r="H563" s="9" t="str">
        <f aca="false">Raw_Volunteers!F563</f>
        <v>Downtown Pantry</v>
      </c>
      <c r="I563" s="9" t="n">
        <f aca="false">IF(Raw_Volunteers!G563="",ROUND(AVERAGE(Raw_Volunteers!$G$2:$G$926),1),Raw_Volunteers!G563)</f>
        <v>6</v>
      </c>
    </row>
    <row r="564" customFormat="false" ht="15" hidden="false" customHeight="true" outlineLevel="0" collapsed="false">
      <c r="A564" s="9" t="str">
        <f aca="false">Raw_Volunteers!A564</f>
        <v>V2106</v>
      </c>
      <c r="B564" s="9" t="str">
        <f aca="false">IF(COUNTIFS(Raw_Volunteers!$A$2:$A$926,Raw_Volunteers!A564,Raw_Volunteers!$D$2:$D$926,Raw_Volunteers!D564,Raw_Volunteers!$E$2:$E$926,Raw_Volunteers!E564,Raw_Volunteers!$G$2:$G$926,Raw_Volunteers!G564)&gt;1,"Possible Duplicate","")</f>
        <v/>
      </c>
      <c r="C564" s="9" t="str">
        <f aca="false">Raw_Volunteers!B564</f>
        <v>D1208</v>
      </c>
      <c r="D564" s="9" t="str">
        <f aca="false">IF(C564="","No","Yes")</f>
        <v>Yes</v>
      </c>
      <c r="E564" s="9" t="str">
        <f aca="false">Raw_Volunteers!C564</f>
        <v>Kimberly Wilson</v>
      </c>
      <c r="F564" s="9" t="str">
        <f aca="false">Raw_Volunteers!D564</f>
        <v>06/16/2024</v>
      </c>
      <c r="G564" s="9" t="str">
        <f aca="false">PROPER(TRIM(Raw_Volunteers!E564))</f>
        <v>Client Intake Assistant</v>
      </c>
      <c r="H564" s="9" t="str">
        <f aca="false">Raw_Volunteers!F564</f>
        <v>Mobile Unit - Route B</v>
      </c>
      <c r="I564" s="9" t="n">
        <f aca="false">IF(Raw_Volunteers!G564="",ROUND(AVERAGE(Raw_Volunteers!$G$2:$G$926),1),Raw_Volunteers!G564)</f>
        <v>3</v>
      </c>
    </row>
    <row r="565" customFormat="false" ht="15" hidden="false" customHeight="true" outlineLevel="0" collapsed="false">
      <c r="A565" s="9" t="str">
        <f aca="false">Raw_Volunteers!A565</f>
        <v>V2107</v>
      </c>
      <c r="B565" s="9" t="str">
        <f aca="false">IF(COUNTIFS(Raw_Volunteers!$A$2:$A$926,Raw_Volunteers!A565,Raw_Volunteers!$D$2:$D$926,Raw_Volunteers!D565,Raw_Volunteers!$E$2:$E$926,Raw_Volunteers!E565,Raw_Volunteers!$G$2:$G$926,Raw_Volunteers!G565)&gt;1,"Possible Duplicate","")</f>
        <v/>
      </c>
      <c r="C565" s="9" t="str">
        <f aca="false">Raw_Volunteers!B565</f>
        <v>D1296</v>
      </c>
      <c r="D565" s="9" t="str">
        <f aca="false">IF(C565="","No","Yes")</f>
        <v>Yes</v>
      </c>
      <c r="E565" s="9" t="str">
        <f aca="false">Raw_Volunteers!C565</f>
        <v>Susan Brown</v>
      </c>
      <c r="F565" s="9" t="str">
        <f aca="false">Raw_Volunteers!D565</f>
        <v>03/02/2025</v>
      </c>
      <c r="G565" s="9" t="str">
        <f aca="false">PROPER(TRIM(Raw_Volunteers!E565))</f>
        <v>Client Intake Assistant</v>
      </c>
      <c r="H565" s="9" t="str">
        <f aca="false">Raw_Volunteers!F565</f>
        <v>Mobile Unit - Route B</v>
      </c>
      <c r="I565" s="9" t="n">
        <f aca="false">IF(Raw_Volunteers!G565="",ROUND(AVERAGE(Raw_Volunteers!$G$2:$G$926),1),Raw_Volunteers!G565)</f>
        <v>3</v>
      </c>
    </row>
    <row r="566" customFormat="false" ht="15" hidden="false" customHeight="true" outlineLevel="0" collapsed="false">
      <c r="A566" s="9" t="str">
        <f aca="false">Raw_Volunteers!A566</f>
        <v>V2107</v>
      </c>
      <c r="B566" s="9" t="str">
        <f aca="false">IF(COUNTIFS(Raw_Volunteers!$A$2:$A$926,Raw_Volunteers!A566,Raw_Volunteers!$D$2:$D$926,Raw_Volunteers!D566,Raw_Volunteers!$E$2:$E$926,Raw_Volunteers!E566,Raw_Volunteers!$G$2:$G$926,Raw_Volunteers!G566)&gt;1,"Possible Duplicate","")</f>
        <v/>
      </c>
      <c r="C566" s="9" t="str">
        <f aca="false">Raw_Volunteers!B566</f>
        <v>D1296</v>
      </c>
      <c r="D566" s="9" t="str">
        <f aca="false">IF(C566="","No","Yes")</f>
        <v>Yes</v>
      </c>
      <c r="E566" s="9" t="str">
        <f aca="false">Raw_Volunteers!C566</f>
        <v>Susan Brown</v>
      </c>
      <c r="F566" s="9" t="str">
        <f aca="false">Raw_Volunteers!D566</f>
        <v>01/30/2024</v>
      </c>
      <c r="G566" s="9" t="str">
        <f aca="false">PROPER(TRIM(Raw_Volunteers!E566))</f>
        <v>Event Setup</v>
      </c>
      <c r="H566" s="9" t="str">
        <f aca="false">Raw_Volunteers!F566</f>
        <v>Community Center Site</v>
      </c>
      <c r="I566" s="9" t="n">
        <f aca="false">IF(Raw_Volunteers!G566="",ROUND(AVERAGE(Raw_Volunteers!$G$2:$G$926),1),Raw_Volunteers!G566)</f>
        <v>3</v>
      </c>
    </row>
    <row r="567" customFormat="false" ht="15" hidden="false" customHeight="true" outlineLevel="0" collapsed="false">
      <c r="A567" s="9" t="str">
        <f aca="false">Raw_Volunteers!A567</f>
        <v>V2107</v>
      </c>
      <c r="B567" s="9" t="str">
        <f aca="false">IF(COUNTIFS(Raw_Volunteers!$A$2:$A$926,Raw_Volunteers!A567,Raw_Volunteers!$D$2:$D$926,Raw_Volunteers!D567,Raw_Volunteers!$E$2:$E$926,Raw_Volunteers!E567,Raw_Volunteers!$G$2:$G$926,Raw_Volunteers!G567)&gt;1,"Possible Duplicate","")</f>
        <v/>
      </c>
      <c r="C567" s="9" t="str">
        <f aca="false">Raw_Volunteers!B567</f>
        <v>D1296</v>
      </c>
      <c r="D567" s="9" t="str">
        <f aca="false">IF(C567="","No","Yes")</f>
        <v>Yes</v>
      </c>
      <c r="E567" s="9" t="str">
        <f aca="false">Raw_Volunteers!C567</f>
        <v>Susan Brown</v>
      </c>
      <c r="F567" s="9" t="str">
        <f aca="false">Raw_Volunteers!D567</f>
        <v>10/17/2025</v>
      </c>
      <c r="G567" s="9" t="str">
        <f aca="false">PROPER(TRIM(Raw_Volunteers!E567))</f>
        <v>Event Setup</v>
      </c>
      <c r="H567" s="9" t="str">
        <f aca="false">Raw_Volunteers!F567</f>
        <v>Community Center Site</v>
      </c>
      <c r="I567" s="9" t="n">
        <f aca="false">IF(Raw_Volunteers!G567="",ROUND(AVERAGE(Raw_Volunteers!$G$2:$G$926),1),Raw_Volunteers!G567)</f>
        <v>4</v>
      </c>
    </row>
    <row r="568" customFormat="false" ht="15" hidden="false" customHeight="true" outlineLevel="0" collapsed="false">
      <c r="A568" s="9" t="str">
        <f aca="false">Raw_Volunteers!A568</f>
        <v>V2107</v>
      </c>
      <c r="B568" s="9" t="str">
        <f aca="false">IF(COUNTIFS(Raw_Volunteers!$A$2:$A$926,Raw_Volunteers!A568,Raw_Volunteers!$D$2:$D$926,Raw_Volunteers!D568,Raw_Volunteers!$E$2:$E$926,Raw_Volunteers!E568,Raw_Volunteers!$G$2:$G$926,Raw_Volunteers!G568)&gt;1,"Possible Duplicate","")</f>
        <v/>
      </c>
      <c r="C568" s="9" t="str">
        <f aca="false">Raw_Volunteers!B568</f>
        <v>D1296</v>
      </c>
      <c r="D568" s="9" t="str">
        <f aca="false">IF(C568="","No","Yes")</f>
        <v>Yes</v>
      </c>
      <c r="E568" s="9" t="str">
        <f aca="false">Raw_Volunteers!C568</f>
        <v>Susan Brown</v>
      </c>
      <c r="F568" s="9" t="str">
        <f aca="false">Raw_Volunteers!D568</f>
        <v>01/16/2025</v>
      </c>
      <c r="G568" s="9" t="str">
        <f aca="false">PROPER(TRIM(Raw_Volunteers!E568))</f>
        <v>Client Intake Assistant</v>
      </c>
      <c r="H568" s="9" t="str">
        <f aca="false">Raw_Volunteers!F568</f>
        <v>Main Warehouse</v>
      </c>
      <c r="I568" s="9" t="n">
        <f aca="false">IF(Raw_Volunteers!G568="",ROUND(AVERAGE(Raw_Volunteers!$G$2:$G$926),1),Raw_Volunteers!G568)</f>
        <v>3</v>
      </c>
    </row>
    <row r="569" customFormat="false" ht="15" hidden="false" customHeight="true" outlineLevel="0" collapsed="false">
      <c r="A569" s="9" t="str">
        <f aca="false">Raw_Volunteers!A569</f>
        <v>V2107</v>
      </c>
      <c r="B569" s="9" t="str">
        <f aca="false">IF(COUNTIFS(Raw_Volunteers!$A$2:$A$926,Raw_Volunteers!A569,Raw_Volunteers!$D$2:$D$926,Raw_Volunteers!D569,Raw_Volunteers!$E$2:$E$926,Raw_Volunteers!E569,Raw_Volunteers!$G$2:$G$926,Raw_Volunteers!G569)&gt;1,"Possible Duplicate","")</f>
        <v/>
      </c>
      <c r="C569" s="9" t="str">
        <f aca="false">Raw_Volunteers!B569</f>
        <v>D1296</v>
      </c>
      <c r="D569" s="9" t="str">
        <f aca="false">IF(C569="","No","Yes")</f>
        <v>Yes</v>
      </c>
      <c r="E569" s="9" t="str">
        <f aca="false">Raw_Volunteers!C569</f>
        <v>Susan Brown</v>
      </c>
      <c r="F569" s="9" t="str">
        <f aca="false">Raw_Volunteers!D569</f>
        <v>05/18/2026</v>
      </c>
      <c r="G569" s="9" t="str">
        <f aca="false">PROPER(TRIM(Raw_Volunteers!E569))</f>
        <v>Front Desk Greeter</v>
      </c>
      <c r="H569" s="9" t="str">
        <f aca="false">Raw_Volunteers!F569</f>
        <v>Mobile Unit - Route A</v>
      </c>
      <c r="I569" s="9" t="n">
        <f aca="false">IF(Raw_Volunteers!G569="",ROUND(AVERAGE(Raw_Volunteers!$G$2:$G$926),1),Raw_Volunteers!G569)</f>
        <v>2</v>
      </c>
    </row>
    <row r="570" customFormat="false" ht="15" hidden="false" customHeight="true" outlineLevel="0" collapsed="false">
      <c r="A570" s="9" t="str">
        <f aca="false">Raw_Volunteers!A570</f>
        <v>V2107</v>
      </c>
      <c r="B570" s="9" t="str">
        <f aca="false">IF(COUNTIFS(Raw_Volunteers!$A$2:$A$926,Raw_Volunteers!A570,Raw_Volunteers!$D$2:$D$926,Raw_Volunteers!D570,Raw_Volunteers!$E$2:$E$926,Raw_Volunteers!E570,Raw_Volunteers!$G$2:$G$926,Raw_Volunteers!G570)&gt;1,"Possible Duplicate","")</f>
        <v/>
      </c>
      <c r="C570" s="9" t="str">
        <f aca="false">Raw_Volunteers!B570</f>
        <v>D1296</v>
      </c>
      <c r="D570" s="9" t="str">
        <f aca="false">IF(C570="","No","Yes")</f>
        <v>Yes</v>
      </c>
      <c r="E570" s="9" t="str">
        <f aca="false">Raw_Volunteers!C570</f>
        <v>Susan Brown</v>
      </c>
      <c r="F570" s="9" t="str">
        <f aca="false">Raw_Volunteers!D570</f>
        <v>12/04/2024</v>
      </c>
      <c r="G570" s="9" t="str">
        <f aca="false">PROPER(TRIM(Raw_Volunteers!E570))</f>
        <v>Front Desk Greeter</v>
      </c>
      <c r="H570" s="9" t="str">
        <f aca="false">Raw_Volunteers!F570</f>
        <v>Community Center Site</v>
      </c>
      <c r="I570" s="9" t="n">
        <f aca="false">IF(Raw_Volunteers!G570="",ROUND(AVERAGE(Raw_Volunteers!$G$2:$G$926),1),Raw_Volunteers!G570)</f>
        <v>3</v>
      </c>
    </row>
    <row r="571" customFormat="false" ht="15" hidden="false" customHeight="true" outlineLevel="0" collapsed="false">
      <c r="A571" s="9" t="str">
        <f aca="false">Raw_Volunteers!A571</f>
        <v>V2108</v>
      </c>
      <c r="B571" s="9" t="str">
        <f aca="false">IF(COUNTIFS(Raw_Volunteers!$A$2:$A$926,Raw_Volunteers!A571,Raw_Volunteers!$D$2:$D$926,Raw_Volunteers!D571,Raw_Volunteers!$E$2:$E$926,Raw_Volunteers!E571,Raw_Volunteers!$G$2:$G$926,Raw_Volunteers!G571)&gt;1,"Possible Duplicate","")</f>
        <v/>
      </c>
      <c r="C571" s="9" t="str">
        <f aca="false">Raw_Volunteers!B571</f>
        <v>D1633</v>
      </c>
      <c r="D571" s="9" t="str">
        <f aca="false">IF(C571="","No","Yes")</f>
        <v>Yes</v>
      </c>
      <c r="E571" s="9" t="str">
        <f aca="false">Raw_Volunteers!C571</f>
        <v>Nancy Wilson</v>
      </c>
      <c r="F571" s="9" t="str">
        <f aca="false">Raw_Volunteers!D571</f>
        <v>05/25/2026</v>
      </c>
      <c r="G571" s="9" t="str">
        <f aca="false">PROPER(TRIM(Raw_Volunteers!E571))</f>
        <v>Front Desk Greeter</v>
      </c>
      <c r="H571" s="9" t="str">
        <f aca="false">Raw_Volunteers!F571</f>
        <v>Mobile Unit - Route A</v>
      </c>
      <c r="I571" s="9" t="n">
        <f aca="false">IF(Raw_Volunteers!G571="",ROUND(AVERAGE(Raw_Volunteers!$G$2:$G$926),1),Raw_Volunteers!G571)</f>
        <v>4</v>
      </c>
    </row>
    <row r="572" customFormat="false" ht="15" hidden="false" customHeight="true" outlineLevel="0" collapsed="false">
      <c r="A572" s="9" t="str">
        <f aca="false">Raw_Volunteers!A572</f>
        <v>V2108</v>
      </c>
      <c r="B572" s="9" t="str">
        <f aca="false">IF(COUNTIFS(Raw_Volunteers!$A$2:$A$926,Raw_Volunteers!A572,Raw_Volunteers!$D$2:$D$926,Raw_Volunteers!D572,Raw_Volunteers!$E$2:$E$926,Raw_Volunteers!E572,Raw_Volunteers!$G$2:$G$926,Raw_Volunteers!G572)&gt;1,"Possible Duplicate","")</f>
        <v/>
      </c>
      <c r="C572" s="9" t="str">
        <f aca="false">Raw_Volunteers!B572</f>
        <v>D1633</v>
      </c>
      <c r="D572" s="9" t="str">
        <f aca="false">IF(C572="","No","Yes")</f>
        <v>Yes</v>
      </c>
      <c r="E572" s="9" t="str">
        <f aca="false">Raw_Volunteers!C572</f>
        <v>Nancy Wilson</v>
      </c>
      <c r="F572" s="9" t="str">
        <f aca="false">Raw_Volunteers!D572</f>
        <v>09/23/2024</v>
      </c>
      <c r="G572" s="9" t="str">
        <f aca="false">PROPER(TRIM(Raw_Volunteers!E572))</f>
        <v>Pantry Stocking</v>
      </c>
      <c r="H572" s="9" t="str">
        <f aca="false">Raw_Volunteers!F572</f>
        <v>Community Center Site</v>
      </c>
      <c r="I572" s="9" t="n">
        <f aca="false">IF(Raw_Volunteers!G572="",ROUND(AVERAGE(Raw_Volunteers!$G$2:$G$926),1),Raw_Volunteers!G572)</f>
        <v>4</v>
      </c>
    </row>
    <row r="573" customFormat="false" ht="15" hidden="false" customHeight="true" outlineLevel="0" collapsed="false">
      <c r="A573" s="9" t="str">
        <f aca="false">Raw_Volunteers!A573</f>
        <v>V2108</v>
      </c>
      <c r="B573" s="9" t="str">
        <f aca="false">IF(COUNTIFS(Raw_Volunteers!$A$2:$A$926,Raw_Volunteers!A573,Raw_Volunteers!$D$2:$D$926,Raw_Volunteers!D573,Raw_Volunteers!$E$2:$E$926,Raw_Volunteers!E573,Raw_Volunteers!$G$2:$G$926,Raw_Volunteers!G573)&gt;1,"Possible Duplicate","")</f>
        <v/>
      </c>
      <c r="C573" s="9" t="str">
        <f aca="false">Raw_Volunteers!B573</f>
        <v>D1633</v>
      </c>
      <c r="D573" s="9" t="str">
        <f aca="false">IF(C573="","No","Yes")</f>
        <v>Yes</v>
      </c>
      <c r="E573" s="9" t="str">
        <f aca="false">Raw_Volunteers!C573</f>
        <v>Nancy Wilson</v>
      </c>
      <c r="F573" s="9" t="str">
        <f aca="false">Raw_Volunteers!D573</f>
        <v>06/24/2024</v>
      </c>
      <c r="G573" s="9" t="str">
        <f aca="false">PROPER(TRIM(Raw_Volunteers!E573))</f>
        <v>Front Desk Greeter</v>
      </c>
      <c r="H573" s="9" t="str">
        <f aca="false">Raw_Volunteers!F573</f>
        <v>Main Warehouse</v>
      </c>
      <c r="I573" s="9" t="n">
        <f aca="false">IF(Raw_Volunteers!G573="",ROUND(AVERAGE(Raw_Volunteers!$G$2:$G$926),1),Raw_Volunteers!G573)</f>
        <v>2</v>
      </c>
    </row>
    <row r="574" customFormat="false" ht="15" hidden="false" customHeight="true" outlineLevel="0" collapsed="false">
      <c r="A574" s="9" t="str">
        <f aca="false">Raw_Volunteers!A574</f>
        <v>V2108</v>
      </c>
      <c r="B574" s="9" t="str">
        <f aca="false">IF(COUNTIFS(Raw_Volunteers!$A$2:$A$926,Raw_Volunteers!A574,Raw_Volunteers!$D$2:$D$926,Raw_Volunteers!D574,Raw_Volunteers!$E$2:$E$926,Raw_Volunteers!E574,Raw_Volunteers!$G$2:$G$926,Raw_Volunteers!G574)&gt;1,"Possible Duplicate","")</f>
        <v/>
      </c>
      <c r="C574" s="9" t="str">
        <f aca="false">Raw_Volunteers!B574</f>
        <v>D1633</v>
      </c>
      <c r="D574" s="9" t="str">
        <f aca="false">IF(C574="","No","Yes")</f>
        <v>Yes</v>
      </c>
      <c r="E574" s="9" t="str">
        <f aca="false">Raw_Volunteers!C574</f>
        <v>Nancy Wilson</v>
      </c>
      <c r="F574" s="9" t="str">
        <f aca="false">Raw_Volunteers!D574</f>
        <v>05/11/2026</v>
      </c>
      <c r="G574" s="9" t="str">
        <f aca="false">PROPER(TRIM(Raw_Volunteers!E574))</f>
        <v>Warehouse Loading</v>
      </c>
      <c r="H574" s="9" t="str">
        <f aca="false">Raw_Volunteers!F574</f>
        <v>Main Warehouse</v>
      </c>
      <c r="I574" s="9" t="n">
        <f aca="false">IF(Raw_Volunteers!G574="",ROUND(AVERAGE(Raw_Volunteers!$G$2:$G$926),1),Raw_Volunteers!G574)</f>
        <v>2</v>
      </c>
    </row>
    <row r="575" customFormat="false" ht="15" hidden="false" customHeight="true" outlineLevel="0" collapsed="false">
      <c r="A575" s="9" t="str">
        <f aca="false">Raw_Volunteers!A575</f>
        <v>V2108</v>
      </c>
      <c r="B575" s="9" t="str">
        <f aca="false">IF(COUNTIFS(Raw_Volunteers!$A$2:$A$926,Raw_Volunteers!A575,Raw_Volunteers!$D$2:$D$926,Raw_Volunteers!D575,Raw_Volunteers!$E$2:$E$926,Raw_Volunteers!E575,Raw_Volunteers!$G$2:$G$926,Raw_Volunteers!G575)&gt;1,"Possible Duplicate","")</f>
        <v/>
      </c>
      <c r="C575" s="9" t="str">
        <f aca="false">Raw_Volunteers!B575</f>
        <v>D1633</v>
      </c>
      <c r="D575" s="9" t="str">
        <f aca="false">IF(C575="","No","Yes")</f>
        <v>Yes</v>
      </c>
      <c r="E575" s="9" t="str">
        <f aca="false">Raw_Volunteers!C575</f>
        <v>Nancy Wilson</v>
      </c>
      <c r="F575" s="9" t="str">
        <f aca="false">Raw_Volunteers!D575</f>
        <v>01/25/2024</v>
      </c>
      <c r="G575" s="9" t="str">
        <f aca="false">PROPER(TRIM(Raw_Volunteers!E575))</f>
        <v>Mobile Distribution Driver</v>
      </c>
      <c r="H575" s="9" t="str">
        <f aca="false">Raw_Volunteers!F575</f>
        <v>Mobile Unit - Route B</v>
      </c>
      <c r="I575" s="9" t="n">
        <f aca="false">IF(Raw_Volunteers!G575="",ROUND(AVERAGE(Raw_Volunteers!$G$2:$G$926),1),Raw_Volunteers!G575)</f>
        <v>4</v>
      </c>
    </row>
    <row r="576" customFormat="false" ht="15" hidden="false" customHeight="true" outlineLevel="0" collapsed="false">
      <c r="A576" s="9" t="str">
        <f aca="false">Raw_Volunteers!A576</f>
        <v>V2108</v>
      </c>
      <c r="B576" s="9" t="str">
        <f aca="false">IF(COUNTIFS(Raw_Volunteers!$A$2:$A$926,Raw_Volunteers!A576,Raw_Volunteers!$D$2:$D$926,Raw_Volunteers!D576,Raw_Volunteers!$E$2:$E$926,Raw_Volunteers!E576,Raw_Volunteers!$G$2:$G$926,Raw_Volunteers!G576)&gt;1,"Possible Duplicate","")</f>
        <v/>
      </c>
      <c r="C576" s="9" t="str">
        <f aca="false">Raw_Volunteers!B576</f>
        <v>D1633</v>
      </c>
      <c r="D576" s="9" t="str">
        <f aca="false">IF(C576="","No","Yes")</f>
        <v>Yes</v>
      </c>
      <c r="E576" s="9" t="str">
        <f aca="false">Raw_Volunteers!C576</f>
        <v>Nancy Wilson</v>
      </c>
      <c r="F576" s="9" t="str">
        <f aca="false">Raw_Volunteers!D576</f>
        <v>03/24/2026</v>
      </c>
      <c r="G576" s="9" t="str">
        <f aca="false">PROPER(TRIM(Raw_Volunteers!E576))</f>
        <v>Event Setup</v>
      </c>
      <c r="H576" s="9" t="str">
        <f aca="false">Raw_Volunteers!F576</f>
        <v>Main Warehouse</v>
      </c>
      <c r="I576" s="9" t="n">
        <f aca="false">IF(Raw_Volunteers!G576="",ROUND(AVERAGE(Raw_Volunteers!$G$2:$G$926),1),Raw_Volunteers!G576)</f>
        <v>3</v>
      </c>
    </row>
    <row r="577" customFormat="false" ht="15" hidden="false" customHeight="true" outlineLevel="0" collapsed="false">
      <c r="A577" s="9" t="str">
        <f aca="false">Raw_Volunteers!A577</f>
        <v>V2109</v>
      </c>
      <c r="B577" s="9" t="str">
        <f aca="false">IF(COUNTIFS(Raw_Volunteers!$A$2:$A$926,Raw_Volunteers!A577,Raw_Volunteers!$D$2:$D$926,Raw_Volunteers!D577,Raw_Volunteers!$E$2:$E$926,Raw_Volunteers!E577,Raw_Volunteers!$G$2:$G$926,Raw_Volunteers!G577)&gt;1,"Possible Duplicate","")</f>
        <v/>
      </c>
      <c r="C577" s="9" t="str">
        <f aca="false">Raw_Volunteers!B577</f>
        <v>D1721</v>
      </c>
      <c r="D577" s="9" t="str">
        <f aca="false">IF(C577="","No","Yes")</f>
        <v>Yes</v>
      </c>
      <c r="E577" s="9" t="str">
        <f aca="false">Raw_Volunteers!C577</f>
        <v>Steven Wilson</v>
      </c>
      <c r="F577" s="9" t="str">
        <f aca="false">Raw_Volunteers!D577</f>
        <v>02/24/2026</v>
      </c>
      <c r="G577" s="9" t="str">
        <f aca="false">PROPER(TRIM(Raw_Volunteers!E577))</f>
        <v>Holiday Box Packing</v>
      </c>
      <c r="H577" s="9" t="str">
        <f aca="false">Raw_Volunteers!F577</f>
        <v>Mobile Unit - Route B</v>
      </c>
      <c r="I577" s="9" t="n">
        <f aca="false">IF(Raw_Volunteers!G577="",ROUND(AVERAGE(Raw_Volunteers!$G$2:$G$926),1),Raw_Volunteers!G577)</f>
        <v>2</v>
      </c>
    </row>
    <row r="578" customFormat="false" ht="15" hidden="false" customHeight="true" outlineLevel="0" collapsed="false">
      <c r="A578" s="9" t="str">
        <f aca="false">Raw_Volunteers!A578</f>
        <v>V2109</v>
      </c>
      <c r="B578" s="9" t="str">
        <f aca="false">IF(COUNTIFS(Raw_Volunteers!$A$2:$A$926,Raw_Volunteers!A578,Raw_Volunteers!$D$2:$D$926,Raw_Volunteers!D578,Raw_Volunteers!$E$2:$E$926,Raw_Volunteers!E578,Raw_Volunteers!$G$2:$G$926,Raw_Volunteers!G578)&gt;1,"Possible Duplicate","")</f>
        <v/>
      </c>
      <c r="C578" s="9" t="str">
        <f aca="false">Raw_Volunteers!B578</f>
        <v>D1721</v>
      </c>
      <c r="D578" s="9" t="str">
        <f aca="false">IF(C578="","No","Yes")</f>
        <v>Yes</v>
      </c>
      <c r="E578" s="9" t="str">
        <f aca="false">Raw_Volunteers!C578</f>
        <v>Steven Wilson</v>
      </c>
      <c r="F578" s="9" t="str">
        <f aca="false">Raw_Volunteers!D578</f>
        <v>04/13/2024</v>
      </c>
      <c r="G578" s="9" t="str">
        <f aca="false">PROPER(TRIM(Raw_Volunteers!E578))</f>
        <v>Event Setup</v>
      </c>
      <c r="H578" s="9" t="str">
        <f aca="false">Raw_Volunteers!F578</f>
        <v>Mobile Unit - Route A</v>
      </c>
      <c r="I578" s="9" t="n">
        <f aca="false">IF(Raw_Volunteers!G578="",ROUND(AVERAGE(Raw_Volunteers!$G$2:$G$926),1),Raw_Volunteers!G578)</f>
        <v>2</v>
      </c>
    </row>
    <row r="579" customFormat="false" ht="15" hidden="false" customHeight="true" outlineLevel="0" collapsed="false">
      <c r="A579" s="9" t="str">
        <f aca="false">Raw_Volunteers!A579</f>
        <v>V2110</v>
      </c>
      <c r="B579" s="9" t="str">
        <f aca="false">IF(COUNTIFS(Raw_Volunteers!$A$2:$A$926,Raw_Volunteers!A579,Raw_Volunteers!$D$2:$D$926,Raw_Volunteers!D579,Raw_Volunteers!$E$2:$E$926,Raw_Volunteers!E579,Raw_Volunteers!$G$2:$G$926,Raw_Volunteers!G579)&gt;1,"Possible Duplicate","")</f>
        <v/>
      </c>
      <c r="C579" s="9" t="str">
        <f aca="false">Raw_Volunteers!B579</f>
        <v>D1214</v>
      </c>
      <c r="D579" s="9" t="str">
        <f aca="false">IF(C579="","No","Yes")</f>
        <v>Yes</v>
      </c>
      <c r="E579" s="9" t="str">
        <f aca="false">Raw_Volunteers!C579</f>
        <v>Karen Lopez</v>
      </c>
      <c r="F579" s="9" t="str">
        <f aca="false">Raw_Volunteers!D579</f>
        <v>10/02/2024</v>
      </c>
      <c r="G579" s="9" t="str">
        <f aca="false">PROPER(TRIM(Raw_Volunteers!E579))</f>
        <v>Mobile Distribution Driver</v>
      </c>
      <c r="H579" s="9" t="str">
        <f aca="false">Raw_Volunteers!F579</f>
        <v>Main Warehouse</v>
      </c>
      <c r="I579" s="9" t="n">
        <f aca="false">IF(Raw_Volunteers!G579="",ROUND(AVERAGE(Raw_Volunteers!$G$2:$G$926),1),Raw_Volunteers!G579)</f>
        <v>3</v>
      </c>
    </row>
    <row r="580" customFormat="false" ht="15" hidden="false" customHeight="true" outlineLevel="0" collapsed="false">
      <c r="A580" s="9" t="str">
        <f aca="false">Raw_Volunteers!A580</f>
        <v>V2110</v>
      </c>
      <c r="B580" s="9" t="str">
        <f aca="false">IF(COUNTIFS(Raw_Volunteers!$A$2:$A$926,Raw_Volunteers!A580,Raw_Volunteers!$D$2:$D$926,Raw_Volunteers!D580,Raw_Volunteers!$E$2:$E$926,Raw_Volunteers!E580,Raw_Volunteers!$G$2:$G$926,Raw_Volunteers!G580)&gt;1,"Possible Duplicate","")</f>
        <v/>
      </c>
      <c r="C580" s="9" t="str">
        <f aca="false">Raw_Volunteers!B580</f>
        <v>D1214</v>
      </c>
      <c r="D580" s="9" t="str">
        <f aca="false">IF(C580="","No","Yes")</f>
        <v>Yes</v>
      </c>
      <c r="E580" s="9" t="str">
        <f aca="false">Raw_Volunteers!C580</f>
        <v>Karen Lopez</v>
      </c>
      <c r="F580" s="9" t="str">
        <f aca="false">Raw_Volunteers!D580</f>
        <v>04/14/2025</v>
      </c>
      <c r="G580" s="9" t="str">
        <f aca="false">PROPER(TRIM(Raw_Volunteers!E580))</f>
        <v>Client Intake Assistant</v>
      </c>
      <c r="H580" s="9" t="str">
        <f aca="false">Raw_Volunteers!F580</f>
        <v>Mobile Unit - Route A</v>
      </c>
      <c r="I580" s="9" t="n">
        <f aca="false">IF(Raw_Volunteers!G580="",ROUND(AVERAGE(Raw_Volunteers!$G$2:$G$926),1),Raw_Volunteers!G580)</f>
        <v>5</v>
      </c>
    </row>
    <row r="581" customFormat="false" ht="15" hidden="false" customHeight="true" outlineLevel="0" collapsed="false">
      <c r="A581" s="9" t="str">
        <f aca="false">Raw_Volunteers!A581</f>
        <v>V2111</v>
      </c>
      <c r="B581" s="9" t="str">
        <f aca="false">IF(COUNTIFS(Raw_Volunteers!$A$2:$A$926,Raw_Volunteers!A581,Raw_Volunteers!$D$2:$D$926,Raw_Volunteers!D581,Raw_Volunteers!$E$2:$E$926,Raw_Volunteers!E581,Raw_Volunteers!$G$2:$G$926,Raw_Volunteers!G581)&gt;1,"Possible Duplicate","")</f>
        <v/>
      </c>
      <c r="C581" s="9" t="str">
        <f aca="false">Raw_Volunteers!B581</f>
        <v>D1361</v>
      </c>
      <c r="D581" s="9" t="str">
        <f aca="false">IF(C581="","No","Yes")</f>
        <v>Yes</v>
      </c>
      <c r="E581" s="9" t="str">
        <f aca="false">Raw_Volunteers!C581</f>
        <v>Sandra Rodriguez</v>
      </c>
      <c r="F581" s="9" t="str">
        <f aca="false">Raw_Volunteers!D581</f>
        <v>11/26/2025</v>
      </c>
      <c r="G581" s="9" t="str">
        <f aca="false">PROPER(TRIM(Raw_Volunteers!E581))</f>
        <v>Mobile Distribution Driver</v>
      </c>
      <c r="H581" s="9" t="str">
        <f aca="false">Raw_Volunteers!F581</f>
        <v>Main Warehouse</v>
      </c>
      <c r="I581" s="9" t="n">
        <f aca="false">IF(Raw_Volunteers!G581="",ROUND(AVERAGE(Raw_Volunteers!$G$2:$G$926),1),Raw_Volunteers!G581)</f>
        <v>2</v>
      </c>
    </row>
    <row r="582" customFormat="false" ht="15" hidden="false" customHeight="true" outlineLevel="0" collapsed="false">
      <c r="A582" s="9" t="str">
        <f aca="false">Raw_Volunteers!A582</f>
        <v>V2112</v>
      </c>
      <c r="B582" s="9" t="str">
        <f aca="false">IF(COUNTIFS(Raw_Volunteers!$A$2:$A$926,Raw_Volunteers!A582,Raw_Volunteers!$D$2:$D$926,Raw_Volunteers!D582,Raw_Volunteers!$E$2:$E$926,Raw_Volunteers!E582,Raw_Volunteers!$G$2:$G$926,Raw_Volunteers!G582)&gt;1,"Possible Duplicate","")</f>
        <v/>
      </c>
      <c r="C582" s="9" t="str">
        <f aca="false">Raw_Volunteers!B582</f>
        <v>D1631</v>
      </c>
      <c r="D582" s="9" t="str">
        <f aca="false">IF(C582="","No","Yes")</f>
        <v>Yes</v>
      </c>
      <c r="E582" s="9" t="str">
        <f aca="false">Raw_Volunteers!C582</f>
        <v>Jessica Wilson</v>
      </c>
      <c r="F582" s="9" t="str">
        <f aca="false">Raw_Volunteers!D582</f>
        <v>11/10/2025</v>
      </c>
      <c r="G582" s="9" t="str">
        <f aca="false">PROPER(TRIM(Raw_Volunteers!E582))</f>
        <v>Client Intake Assistant</v>
      </c>
      <c r="H582" s="9" t="str">
        <f aca="false">Raw_Volunteers!F582</f>
        <v>Main Warehouse</v>
      </c>
      <c r="I582" s="9" t="n">
        <f aca="false">IF(Raw_Volunteers!G582="",ROUND(AVERAGE(Raw_Volunteers!$G$2:$G$926),1),Raw_Volunteers!G582)</f>
        <v>6</v>
      </c>
    </row>
    <row r="583" customFormat="false" ht="15" hidden="false" customHeight="true" outlineLevel="0" collapsed="false">
      <c r="A583" s="9" t="str">
        <f aca="false">Raw_Volunteers!A583</f>
        <v>V2112</v>
      </c>
      <c r="B583" s="9" t="str">
        <f aca="false">IF(COUNTIFS(Raw_Volunteers!$A$2:$A$926,Raw_Volunteers!A583,Raw_Volunteers!$D$2:$D$926,Raw_Volunteers!D583,Raw_Volunteers!$E$2:$E$926,Raw_Volunteers!E583,Raw_Volunteers!$G$2:$G$926,Raw_Volunteers!G583)&gt;1,"Possible Duplicate","")</f>
        <v/>
      </c>
      <c r="C583" s="9" t="str">
        <f aca="false">Raw_Volunteers!B583</f>
        <v>D1631</v>
      </c>
      <c r="D583" s="9" t="str">
        <f aca="false">IF(C583="","No","Yes")</f>
        <v>Yes</v>
      </c>
      <c r="E583" s="9" t="str">
        <f aca="false">Raw_Volunteers!C583</f>
        <v>Jessica Wilson</v>
      </c>
      <c r="F583" s="9" t="str">
        <f aca="false">Raw_Volunteers!D583</f>
        <v>06/26/2025</v>
      </c>
      <c r="G583" s="9" t="str">
        <f aca="false">PROPER(TRIM(Raw_Volunteers!E583))</f>
        <v>Holiday Box Packing</v>
      </c>
      <c r="H583" s="9" t="str">
        <f aca="false">Raw_Volunteers!F583</f>
        <v>Main Warehouse</v>
      </c>
      <c r="I583" s="9" t="n">
        <f aca="false">IF(Raw_Volunteers!G583="",ROUND(AVERAGE(Raw_Volunteers!$G$2:$G$926),1),Raw_Volunteers!G583)</f>
        <v>2</v>
      </c>
    </row>
    <row r="584" customFormat="false" ht="15" hidden="false" customHeight="true" outlineLevel="0" collapsed="false">
      <c r="A584" s="9" t="str">
        <f aca="false">Raw_Volunteers!A584</f>
        <v>V2112</v>
      </c>
      <c r="B584" s="9" t="str">
        <f aca="false">IF(COUNTIFS(Raw_Volunteers!$A$2:$A$926,Raw_Volunteers!A584,Raw_Volunteers!$D$2:$D$926,Raw_Volunteers!D584,Raw_Volunteers!$E$2:$E$926,Raw_Volunteers!E584,Raw_Volunteers!$G$2:$G$926,Raw_Volunteers!G584)&gt;1,"Possible Duplicate","")</f>
        <v/>
      </c>
      <c r="C584" s="9" t="str">
        <f aca="false">Raw_Volunteers!B584</f>
        <v>D1631</v>
      </c>
      <c r="D584" s="9" t="str">
        <f aca="false">IF(C584="","No","Yes")</f>
        <v>Yes</v>
      </c>
      <c r="E584" s="9" t="str">
        <f aca="false">Raw_Volunteers!C584</f>
        <v>Jessica Wilson</v>
      </c>
      <c r="F584" s="9" t="str">
        <f aca="false">Raw_Volunteers!D584</f>
        <v>01/20/2024</v>
      </c>
      <c r="G584" s="9" t="str">
        <f aca="false">PROPER(TRIM(Raw_Volunteers!E584))</f>
        <v>Pantry Stocking</v>
      </c>
      <c r="H584" s="9" t="str">
        <f aca="false">Raw_Volunteers!F584</f>
        <v>Mobile Unit - Route A</v>
      </c>
      <c r="I584" s="9" t="n">
        <f aca="false">IF(Raw_Volunteers!G584="",ROUND(AVERAGE(Raw_Volunteers!$G$2:$G$926),1),Raw_Volunteers!G584)</f>
        <v>4</v>
      </c>
    </row>
    <row r="585" customFormat="false" ht="15" hidden="false" customHeight="true" outlineLevel="0" collapsed="false">
      <c r="A585" s="9" t="str">
        <f aca="false">Raw_Volunteers!A585</f>
        <v>V2112</v>
      </c>
      <c r="B585" s="9" t="str">
        <f aca="false">IF(COUNTIFS(Raw_Volunteers!$A$2:$A$926,Raw_Volunteers!A585,Raw_Volunteers!$D$2:$D$926,Raw_Volunteers!D585,Raw_Volunteers!$E$2:$E$926,Raw_Volunteers!E585,Raw_Volunteers!$G$2:$G$926,Raw_Volunteers!G585)&gt;1,"Possible Duplicate","")</f>
        <v/>
      </c>
      <c r="C585" s="9" t="str">
        <f aca="false">Raw_Volunteers!B585</f>
        <v>D1631</v>
      </c>
      <c r="D585" s="9" t="str">
        <f aca="false">IF(C585="","No","Yes")</f>
        <v>Yes</v>
      </c>
      <c r="E585" s="9" t="str">
        <f aca="false">Raw_Volunteers!C585</f>
        <v>Jessica Wilson</v>
      </c>
      <c r="F585" s="9" t="str">
        <f aca="false">Raw_Volunteers!D585</f>
        <v>09/12/2024</v>
      </c>
      <c r="G585" s="9" t="str">
        <f aca="false">PROPER(TRIM(Raw_Volunteers!E585))</f>
        <v>Pantry Stocking</v>
      </c>
      <c r="H585" s="9" t="str">
        <f aca="false">Raw_Volunteers!F585</f>
        <v>Mobile Unit - Route A</v>
      </c>
      <c r="I585" s="9" t="n">
        <f aca="false">IF(Raw_Volunteers!G585="",ROUND(AVERAGE(Raw_Volunteers!$G$2:$G$926),1),Raw_Volunteers!G585)</f>
        <v>3</v>
      </c>
    </row>
    <row r="586" customFormat="false" ht="15" hidden="false" customHeight="true" outlineLevel="0" collapsed="false">
      <c r="A586" s="9" t="str">
        <f aca="false">Raw_Volunteers!A586</f>
        <v>V2112</v>
      </c>
      <c r="B586" s="9" t="str">
        <f aca="false">IF(COUNTIFS(Raw_Volunteers!$A$2:$A$926,Raw_Volunteers!A586,Raw_Volunteers!$D$2:$D$926,Raw_Volunteers!D586,Raw_Volunteers!$E$2:$E$926,Raw_Volunteers!E586,Raw_Volunteers!$G$2:$G$926,Raw_Volunteers!G586)&gt;1,"Possible Duplicate","")</f>
        <v/>
      </c>
      <c r="C586" s="9" t="str">
        <f aca="false">Raw_Volunteers!B586</f>
        <v>D1631</v>
      </c>
      <c r="D586" s="9" t="str">
        <f aca="false">IF(C586="","No","Yes")</f>
        <v>Yes</v>
      </c>
      <c r="E586" s="9" t="str">
        <f aca="false">Raw_Volunteers!C586</f>
        <v>Jessica Wilson</v>
      </c>
      <c r="F586" s="9" t="str">
        <f aca="false">Raw_Volunteers!D586</f>
        <v>12/02/2024</v>
      </c>
      <c r="G586" s="9" t="str">
        <f aca="false">PROPER(TRIM(Raw_Volunteers!E586))</f>
        <v>Front Desk Greeter</v>
      </c>
      <c r="H586" s="9" t="str">
        <f aca="false">Raw_Volunteers!F586</f>
        <v>Mobile Unit - Route B</v>
      </c>
      <c r="I586" s="9" t="n">
        <f aca="false">IF(Raw_Volunteers!G586="",ROUND(AVERAGE(Raw_Volunteers!$G$2:$G$926),1),Raw_Volunteers!G586)</f>
        <v>3</v>
      </c>
    </row>
    <row r="587" customFormat="false" ht="15" hidden="false" customHeight="true" outlineLevel="0" collapsed="false">
      <c r="A587" s="9" t="str">
        <f aca="false">Raw_Volunteers!A587</f>
        <v>V2112</v>
      </c>
      <c r="B587" s="9" t="str">
        <f aca="false">IF(COUNTIFS(Raw_Volunteers!$A$2:$A$926,Raw_Volunteers!A587,Raw_Volunteers!$D$2:$D$926,Raw_Volunteers!D587,Raw_Volunteers!$E$2:$E$926,Raw_Volunteers!E587,Raw_Volunteers!$G$2:$G$926,Raw_Volunteers!G587)&gt;1,"Possible Duplicate","")</f>
        <v/>
      </c>
      <c r="C587" s="9" t="str">
        <f aca="false">Raw_Volunteers!B587</f>
        <v>D1631</v>
      </c>
      <c r="D587" s="9" t="str">
        <f aca="false">IF(C587="","No","Yes")</f>
        <v>Yes</v>
      </c>
      <c r="E587" s="9" t="str">
        <f aca="false">Raw_Volunteers!C587</f>
        <v>Jessica Wilson</v>
      </c>
      <c r="F587" s="9" t="str">
        <f aca="false">Raw_Volunteers!D587</f>
        <v>08/10/2025</v>
      </c>
      <c r="G587" s="9" t="str">
        <f aca="false">PROPER(TRIM(Raw_Volunteers!E587))</f>
        <v>Holiday Box Packing</v>
      </c>
      <c r="H587" s="9" t="str">
        <f aca="false">Raw_Volunteers!F587</f>
        <v>Downtown Pantry</v>
      </c>
      <c r="I587" s="9" t="n">
        <f aca="false">IF(Raw_Volunteers!G587="",ROUND(AVERAGE(Raw_Volunteers!$G$2:$G$926),1),Raw_Volunteers!G587)</f>
        <v>2</v>
      </c>
    </row>
    <row r="588" customFormat="false" ht="15" hidden="false" customHeight="true" outlineLevel="0" collapsed="false">
      <c r="A588" s="9" t="str">
        <f aca="false">Raw_Volunteers!A588</f>
        <v>V2112</v>
      </c>
      <c r="B588" s="9" t="str">
        <f aca="false">IF(COUNTIFS(Raw_Volunteers!$A$2:$A$926,Raw_Volunteers!A588,Raw_Volunteers!$D$2:$D$926,Raw_Volunteers!D588,Raw_Volunteers!$E$2:$E$926,Raw_Volunteers!E588,Raw_Volunteers!$G$2:$G$926,Raw_Volunteers!G588)&gt;1,"Possible Duplicate","")</f>
        <v/>
      </c>
      <c r="C588" s="9" t="str">
        <f aca="false">Raw_Volunteers!B588</f>
        <v>D1631</v>
      </c>
      <c r="D588" s="9" t="str">
        <f aca="false">IF(C588="","No","Yes")</f>
        <v>Yes</v>
      </c>
      <c r="E588" s="9" t="str">
        <f aca="false">Raw_Volunteers!C588</f>
        <v>Jessica Wilson</v>
      </c>
      <c r="F588" s="9" t="str">
        <f aca="false">Raw_Volunteers!D588</f>
        <v>02/19/2024</v>
      </c>
      <c r="G588" s="9" t="str">
        <f aca="false">PROPER(TRIM(Raw_Volunteers!E588))</f>
        <v>Food Sorting</v>
      </c>
      <c r="H588" s="9" t="str">
        <f aca="false">Raw_Volunteers!F588</f>
        <v>Mobile Unit - Route B</v>
      </c>
      <c r="I588" s="9" t="n">
        <f aca="false">IF(Raw_Volunteers!G588="",ROUND(AVERAGE(Raw_Volunteers!$G$2:$G$926),1),Raw_Volunteers!G588)</f>
        <v>4</v>
      </c>
    </row>
    <row r="589" customFormat="false" ht="15" hidden="false" customHeight="true" outlineLevel="0" collapsed="false">
      <c r="A589" s="9" t="str">
        <f aca="false">Raw_Volunteers!A589</f>
        <v>V2112</v>
      </c>
      <c r="B589" s="9" t="str">
        <f aca="false">IF(COUNTIFS(Raw_Volunteers!$A$2:$A$926,Raw_Volunteers!A589,Raw_Volunteers!$D$2:$D$926,Raw_Volunteers!D589,Raw_Volunteers!$E$2:$E$926,Raw_Volunteers!E589,Raw_Volunteers!$G$2:$G$926,Raw_Volunteers!G589)&gt;1,"Possible Duplicate","")</f>
        <v/>
      </c>
      <c r="C589" s="9" t="str">
        <f aca="false">Raw_Volunteers!B589</f>
        <v>D1631</v>
      </c>
      <c r="D589" s="9" t="str">
        <f aca="false">IF(C589="","No","Yes")</f>
        <v>Yes</v>
      </c>
      <c r="E589" s="9" t="str">
        <f aca="false">Raw_Volunteers!C589</f>
        <v>Jessica Wilson</v>
      </c>
      <c r="F589" s="9" t="str">
        <f aca="false">Raw_Volunteers!D589</f>
        <v>09/09/2025</v>
      </c>
      <c r="G589" s="9" t="str">
        <f aca="false">PROPER(TRIM(Raw_Volunteers!E589))</f>
        <v>Event Setup</v>
      </c>
      <c r="H589" s="9" t="str">
        <f aca="false">Raw_Volunteers!F589</f>
        <v>Mobile Unit - Route B</v>
      </c>
      <c r="I589" s="9" t="n">
        <f aca="false">IF(Raw_Volunteers!G589="",ROUND(AVERAGE(Raw_Volunteers!$G$2:$G$926),1),Raw_Volunteers!G589)</f>
        <v>3</v>
      </c>
    </row>
    <row r="590" customFormat="false" ht="15" hidden="false" customHeight="true" outlineLevel="0" collapsed="false">
      <c r="A590" s="9" t="str">
        <f aca="false">Raw_Volunteers!A590</f>
        <v>V2113</v>
      </c>
      <c r="B590" s="9" t="str">
        <f aca="false">IF(COUNTIFS(Raw_Volunteers!$A$2:$A$926,Raw_Volunteers!A590,Raw_Volunteers!$D$2:$D$926,Raw_Volunteers!D590,Raw_Volunteers!$E$2:$E$926,Raw_Volunteers!E590,Raw_Volunteers!$G$2:$G$926,Raw_Volunteers!G590)&gt;1,"Possible Duplicate","")</f>
        <v/>
      </c>
      <c r="C590" s="9" t="str">
        <f aca="false">Raw_Volunteers!B590</f>
        <v>D1192</v>
      </c>
      <c r="D590" s="9" t="str">
        <f aca="false">IF(C590="","No","Yes")</f>
        <v>Yes</v>
      </c>
      <c r="E590" s="9" t="str">
        <f aca="false">Raw_Volunteers!C590</f>
        <v>Karen Thomas</v>
      </c>
      <c r="F590" s="9" t="str">
        <f aca="false">Raw_Volunteers!D590</f>
        <v>11/07/2025</v>
      </c>
      <c r="G590" s="9" t="str">
        <f aca="false">PROPER(TRIM(Raw_Volunteers!E590))</f>
        <v>Pantry Stocking</v>
      </c>
      <c r="H590" s="9" t="str">
        <f aca="false">Raw_Volunteers!F590</f>
        <v>Downtown Pantry</v>
      </c>
      <c r="I590" s="9" t="n">
        <f aca="false">IF(Raw_Volunteers!G590="",ROUND(AVERAGE(Raw_Volunteers!$G$2:$G$926),1),Raw_Volunteers!G590)</f>
        <v>3</v>
      </c>
    </row>
    <row r="591" customFormat="false" ht="15" hidden="false" customHeight="true" outlineLevel="0" collapsed="false">
      <c r="A591" s="9" t="str">
        <f aca="false">Raw_Volunteers!A591</f>
        <v>V2113</v>
      </c>
      <c r="B591" s="9" t="str">
        <f aca="false">IF(COUNTIFS(Raw_Volunteers!$A$2:$A$926,Raw_Volunteers!A591,Raw_Volunteers!$D$2:$D$926,Raw_Volunteers!D591,Raw_Volunteers!$E$2:$E$926,Raw_Volunteers!E591,Raw_Volunteers!$G$2:$G$926,Raw_Volunteers!G591)&gt;1,"Possible Duplicate","")</f>
        <v/>
      </c>
      <c r="C591" s="9" t="str">
        <f aca="false">Raw_Volunteers!B591</f>
        <v>D1192</v>
      </c>
      <c r="D591" s="9" t="str">
        <f aca="false">IF(C591="","No","Yes")</f>
        <v>Yes</v>
      </c>
      <c r="E591" s="9" t="str">
        <f aca="false">Raw_Volunteers!C591</f>
        <v>Karen Thomas</v>
      </c>
      <c r="F591" s="9" t="str">
        <f aca="false">Raw_Volunteers!D591</f>
        <v>03/12/2024</v>
      </c>
      <c r="G591" s="9" t="str">
        <f aca="false">PROPER(TRIM(Raw_Volunteers!E591))</f>
        <v>Pantry Stocking</v>
      </c>
      <c r="H591" s="9" t="str">
        <f aca="false">Raw_Volunteers!F591</f>
        <v>Main Warehouse</v>
      </c>
      <c r="I591" s="9" t="n">
        <f aca="false">IF(Raw_Volunteers!G591="",ROUND(AVERAGE(Raw_Volunteers!$G$2:$G$926),1),Raw_Volunteers!G591)</f>
        <v>3</v>
      </c>
    </row>
    <row r="592" customFormat="false" ht="15" hidden="false" customHeight="true" outlineLevel="0" collapsed="false">
      <c r="A592" s="9" t="str">
        <f aca="false">Raw_Volunteers!A592</f>
        <v>V2113</v>
      </c>
      <c r="B592" s="9" t="str">
        <f aca="false">IF(COUNTIFS(Raw_Volunteers!$A$2:$A$926,Raw_Volunteers!A592,Raw_Volunteers!$D$2:$D$926,Raw_Volunteers!D592,Raw_Volunteers!$E$2:$E$926,Raw_Volunteers!E592,Raw_Volunteers!$G$2:$G$926,Raw_Volunteers!G592)&gt;1,"Possible Duplicate","")</f>
        <v/>
      </c>
      <c r="C592" s="9" t="str">
        <f aca="false">Raw_Volunteers!B592</f>
        <v>D1192</v>
      </c>
      <c r="D592" s="9" t="str">
        <f aca="false">IF(C592="","No","Yes")</f>
        <v>Yes</v>
      </c>
      <c r="E592" s="9" t="str">
        <f aca="false">Raw_Volunteers!C592</f>
        <v>Karen Thomas</v>
      </c>
      <c r="F592" s="9" t="str">
        <f aca="false">Raw_Volunteers!D592</f>
        <v>01/21/2026</v>
      </c>
      <c r="G592" s="9" t="str">
        <f aca="false">PROPER(TRIM(Raw_Volunteers!E592))</f>
        <v>Client Intake Assistant</v>
      </c>
      <c r="H592" s="9" t="str">
        <f aca="false">Raw_Volunteers!F592</f>
        <v>Community Center Site</v>
      </c>
      <c r="I592" s="9" t="n">
        <f aca="false">IF(Raw_Volunteers!G592="",ROUND(AVERAGE(Raw_Volunteers!$G$2:$G$926),1),Raw_Volunteers!G592)</f>
        <v>2</v>
      </c>
    </row>
    <row r="593" customFormat="false" ht="15" hidden="false" customHeight="true" outlineLevel="0" collapsed="false">
      <c r="A593" s="9" t="str">
        <f aca="false">Raw_Volunteers!A593</f>
        <v>V2113</v>
      </c>
      <c r="B593" s="9" t="str">
        <f aca="false">IF(COUNTIFS(Raw_Volunteers!$A$2:$A$926,Raw_Volunteers!A593,Raw_Volunteers!$D$2:$D$926,Raw_Volunteers!D593,Raw_Volunteers!$E$2:$E$926,Raw_Volunteers!E593,Raw_Volunteers!$G$2:$G$926,Raw_Volunteers!G593)&gt;1,"Possible Duplicate","")</f>
        <v/>
      </c>
      <c r="C593" s="9" t="str">
        <f aca="false">Raw_Volunteers!B593</f>
        <v>D1192</v>
      </c>
      <c r="D593" s="9" t="str">
        <f aca="false">IF(C593="","No","Yes")</f>
        <v>Yes</v>
      </c>
      <c r="E593" s="9" t="str">
        <f aca="false">Raw_Volunteers!C593</f>
        <v>Karen Thomas</v>
      </c>
      <c r="F593" s="9" t="str">
        <f aca="false">Raw_Volunteers!D593</f>
        <v>04/10/2024</v>
      </c>
      <c r="G593" s="9" t="str">
        <f aca="false">PROPER(TRIM(Raw_Volunteers!E593))</f>
        <v>Client Intake Assistant</v>
      </c>
      <c r="H593" s="9" t="str">
        <f aca="false">Raw_Volunteers!F593</f>
        <v>Mobile Unit - Route B</v>
      </c>
      <c r="I593" s="9" t="n">
        <f aca="false">IF(Raw_Volunteers!G593="",ROUND(AVERAGE(Raw_Volunteers!$G$2:$G$926),1),Raw_Volunteers!G593)</f>
        <v>2</v>
      </c>
    </row>
    <row r="594" customFormat="false" ht="15" hidden="false" customHeight="true" outlineLevel="0" collapsed="false">
      <c r="A594" s="9" t="str">
        <f aca="false">Raw_Volunteers!A594</f>
        <v>V2113</v>
      </c>
      <c r="B594" s="9" t="str">
        <f aca="false">IF(COUNTIFS(Raw_Volunteers!$A$2:$A$926,Raw_Volunteers!A594,Raw_Volunteers!$D$2:$D$926,Raw_Volunteers!D594,Raw_Volunteers!$E$2:$E$926,Raw_Volunteers!E594,Raw_Volunteers!$G$2:$G$926,Raw_Volunteers!G594)&gt;1,"Possible Duplicate","")</f>
        <v/>
      </c>
      <c r="C594" s="9" t="str">
        <f aca="false">Raw_Volunteers!B594</f>
        <v>D1192</v>
      </c>
      <c r="D594" s="9" t="str">
        <f aca="false">IF(C594="","No","Yes")</f>
        <v>Yes</v>
      </c>
      <c r="E594" s="9" t="str">
        <f aca="false">Raw_Volunteers!C594</f>
        <v>Karen Thomas</v>
      </c>
      <c r="F594" s="9" t="str">
        <f aca="false">Raw_Volunteers!D594</f>
        <v>08/24/2024</v>
      </c>
      <c r="G594" s="9" t="str">
        <f aca="false">PROPER(TRIM(Raw_Volunteers!E594))</f>
        <v>Warehouse Loading</v>
      </c>
      <c r="H594" s="9" t="str">
        <f aca="false">Raw_Volunteers!F594</f>
        <v>Mobile Unit - Route A</v>
      </c>
      <c r="I594" s="9" t="n">
        <f aca="false">IF(Raw_Volunteers!G594="",ROUND(AVERAGE(Raw_Volunteers!$G$2:$G$926),1),Raw_Volunteers!G594)</f>
        <v>2</v>
      </c>
    </row>
    <row r="595" customFormat="false" ht="15" hidden="false" customHeight="true" outlineLevel="0" collapsed="false">
      <c r="A595" s="9" t="str">
        <f aca="false">Raw_Volunteers!A595</f>
        <v>V2113</v>
      </c>
      <c r="B595" s="9" t="str">
        <f aca="false">IF(COUNTIFS(Raw_Volunteers!$A$2:$A$926,Raw_Volunteers!A595,Raw_Volunteers!$D$2:$D$926,Raw_Volunteers!D595,Raw_Volunteers!$E$2:$E$926,Raw_Volunteers!E595,Raw_Volunteers!$G$2:$G$926,Raw_Volunteers!G595)&gt;1,"Possible Duplicate","")</f>
        <v/>
      </c>
      <c r="C595" s="9" t="str">
        <f aca="false">Raw_Volunteers!B595</f>
        <v>D1192</v>
      </c>
      <c r="D595" s="9" t="str">
        <f aca="false">IF(C595="","No","Yes")</f>
        <v>Yes</v>
      </c>
      <c r="E595" s="9" t="str">
        <f aca="false">Raw_Volunteers!C595</f>
        <v>Karen Thomas</v>
      </c>
      <c r="F595" s="9" t="str">
        <f aca="false">Raw_Volunteers!D595</f>
        <v>08/05/2025</v>
      </c>
      <c r="G595" s="9" t="str">
        <f aca="false">PROPER(TRIM(Raw_Volunteers!E595))</f>
        <v>Event Setup</v>
      </c>
      <c r="H595" s="9" t="str">
        <f aca="false">Raw_Volunteers!F595</f>
        <v>Mobile Unit - Route B</v>
      </c>
      <c r="I595" s="9" t="n">
        <f aca="false">IF(Raw_Volunteers!G595="",ROUND(AVERAGE(Raw_Volunteers!$G$2:$G$926),1),Raw_Volunteers!G595)</f>
        <v>3</v>
      </c>
    </row>
    <row r="596" customFormat="false" ht="15" hidden="false" customHeight="true" outlineLevel="0" collapsed="false">
      <c r="A596" s="9" t="str">
        <f aca="false">Raw_Volunteers!A596</f>
        <v>V2113</v>
      </c>
      <c r="B596" s="9" t="str">
        <f aca="false">IF(COUNTIFS(Raw_Volunteers!$A$2:$A$926,Raw_Volunteers!A596,Raw_Volunteers!$D$2:$D$926,Raw_Volunteers!D596,Raw_Volunteers!$E$2:$E$926,Raw_Volunteers!E596,Raw_Volunteers!$G$2:$G$926,Raw_Volunteers!G596)&gt;1,"Possible Duplicate","")</f>
        <v/>
      </c>
      <c r="C596" s="9" t="str">
        <f aca="false">Raw_Volunteers!B596</f>
        <v>D1192</v>
      </c>
      <c r="D596" s="9" t="str">
        <f aca="false">IF(C596="","No","Yes")</f>
        <v>Yes</v>
      </c>
      <c r="E596" s="9" t="str">
        <f aca="false">Raw_Volunteers!C596</f>
        <v>Karen Thomas</v>
      </c>
      <c r="F596" s="9" t="str">
        <f aca="false">Raw_Volunteers!D596</f>
        <v>06/22/2025</v>
      </c>
      <c r="G596" s="9" t="str">
        <f aca="false">PROPER(TRIM(Raw_Volunteers!E596))</f>
        <v>Client Intake Assistant</v>
      </c>
      <c r="H596" s="9" t="str">
        <f aca="false">Raw_Volunteers!F596</f>
        <v>Mobile Unit - Route B</v>
      </c>
      <c r="I596" s="9" t="n">
        <f aca="false">IF(Raw_Volunteers!G596="",ROUND(AVERAGE(Raw_Volunteers!$G$2:$G$926),1),Raw_Volunteers!G596)</f>
        <v>4</v>
      </c>
    </row>
    <row r="597" customFormat="false" ht="15" hidden="false" customHeight="true" outlineLevel="0" collapsed="false">
      <c r="A597" s="9" t="str">
        <f aca="false">Raw_Volunteers!A597</f>
        <v>V2113</v>
      </c>
      <c r="B597" s="9" t="str">
        <f aca="false">IF(COUNTIFS(Raw_Volunteers!$A$2:$A$926,Raw_Volunteers!A597,Raw_Volunteers!$D$2:$D$926,Raw_Volunteers!D597,Raw_Volunteers!$E$2:$E$926,Raw_Volunteers!E597,Raw_Volunteers!$G$2:$G$926,Raw_Volunteers!G597)&gt;1,"Possible Duplicate","")</f>
        <v/>
      </c>
      <c r="C597" s="9" t="str">
        <f aca="false">Raw_Volunteers!B597</f>
        <v>D1192</v>
      </c>
      <c r="D597" s="9" t="str">
        <f aca="false">IF(C597="","No","Yes")</f>
        <v>Yes</v>
      </c>
      <c r="E597" s="9" t="str">
        <f aca="false">Raw_Volunteers!C597</f>
        <v>Karen Thomas</v>
      </c>
      <c r="F597" s="9" t="str">
        <f aca="false">Raw_Volunteers!D597</f>
        <v>01/18/2024</v>
      </c>
      <c r="G597" s="9" t="str">
        <f aca="false">PROPER(TRIM(Raw_Volunteers!E597))</f>
        <v>Food Sorting</v>
      </c>
      <c r="H597" s="9" t="str">
        <f aca="false">Raw_Volunteers!F597</f>
        <v>Main Warehouse</v>
      </c>
      <c r="I597" s="9" t="n">
        <f aca="false">IF(Raw_Volunteers!G597="",ROUND(AVERAGE(Raw_Volunteers!$G$2:$G$926),1),Raw_Volunteers!G597)</f>
        <v>3</v>
      </c>
    </row>
    <row r="598" customFormat="false" ht="15" hidden="false" customHeight="true" outlineLevel="0" collapsed="false">
      <c r="A598" s="9" t="str">
        <f aca="false">Raw_Volunteers!A598</f>
        <v>V2113</v>
      </c>
      <c r="B598" s="9" t="str">
        <f aca="false">IF(COUNTIFS(Raw_Volunteers!$A$2:$A$926,Raw_Volunteers!A598,Raw_Volunteers!$D$2:$D$926,Raw_Volunteers!D598,Raw_Volunteers!$E$2:$E$926,Raw_Volunteers!E598,Raw_Volunteers!$G$2:$G$926,Raw_Volunteers!G598)&gt;1,"Possible Duplicate","")</f>
        <v/>
      </c>
      <c r="C598" s="9" t="str">
        <f aca="false">Raw_Volunteers!B598</f>
        <v>D1192</v>
      </c>
      <c r="D598" s="9" t="str">
        <f aca="false">IF(C598="","No","Yes")</f>
        <v>Yes</v>
      </c>
      <c r="E598" s="9" t="str">
        <f aca="false">Raw_Volunteers!C598</f>
        <v>Karen Thomas</v>
      </c>
      <c r="F598" s="9" t="str">
        <f aca="false">Raw_Volunteers!D598</f>
        <v>04/21/2025</v>
      </c>
      <c r="G598" s="9" t="str">
        <f aca="false">PROPER(TRIM(Raw_Volunteers!E598))</f>
        <v>Holiday Box Packing</v>
      </c>
      <c r="H598" s="9" t="str">
        <f aca="false">Raw_Volunteers!F598</f>
        <v>Mobile Unit - Route B</v>
      </c>
      <c r="I598" s="9" t="n">
        <f aca="false">IF(Raw_Volunteers!G598="",ROUND(AVERAGE(Raw_Volunteers!$G$2:$G$926),1),Raw_Volunteers!G598)</f>
        <v>2</v>
      </c>
    </row>
    <row r="599" customFormat="false" ht="15" hidden="false" customHeight="true" outlineLevel="0" collapsed="false">
      <c r="A599" s="9" t="str">
        <f aca="false">Raw_Volunteers!A599</f>
        <v>V2113</v>
      </c>
      <c r="B599" s="9" t="str">
        <f aca="false">IF(COUNTIFS(Raw_Volunteers!$A$2:$A$926,Raw_Volunteers!A599,Raw_Volunteers!$D$2:$D$926,Raw_Volunteers!D599,Raw_Volunteers!$E$2:$E$926,Raw_Volunteers!E599,Raw_Volunteers!$G$2:$G$926,Raw_Volunteers!G599)&gt;1,"Possible Duplicate","")</f>
        <v/>
      </c>
      <c r="C599" s="9" t="str">
        <f aca="false">Raw_Volunteers!B599</f>
        <v>D1192</v>
      </c>
      <c r="D599" s="9" t="str">
        <f aca="false">IF(C599="","No","Yes")</f>
        <v>Yes</v>
      </c>
      <c r="E599" s="9" t="str">
        <f aca="false">Raw_Volunteers!C599</f>
        <v>Karen Thomas</v>
      </c>
      <c r="F599" s="9" t="str">
        <f aca="false">Raw_Volunteers!D599</f>
        <v>09/23/2025</v>
      </c>
      <c r="G599" s="9" t="str">
        <f aca="false">PROPER(TRIM(Raw_Volunteers!E599))</f>
        <v>Client Intake Assistant</v>
      </c>
      <c r="H599" s="9" t="str">
        <f aca="false">Raw_Volunteers!F599</f>
        <v>Main Warehouse</v>
      </c>
      <c r="I599" s="9" t="n">
        <f aca="false">IF(Raw_Volunteers!G599="",ROUND(AVERAGE(Raw_Volunteers!$G$2:$G$926),1),Raw_Volunteers!G599)</f>
        <v>2</v>
      </c>
    </row>
    <row r="600" customFormat="false" ht="15" hidden="false" customHeight="true" outlineLevel="0" collapsed="false">
      <c r="A600" s="9" t="str">
        <f aca="false">Raw_Volunteers!A600</f>
        <v>V2114</v>
      </c>
      <c r="B600" s="9" t="str">
        <f aca="false">IF(COUNTIFS(Raw_Volunteers!$A$2:$A$926,Raw_Volunteers!A600,Raw_Volunteers!$D$2:$D$926,Raw_Volunteers!D600,Raw_Volunteers!$E$2:$E$926,Raw_Volunteers!E600,Raw_Volunteers!$G$2:$G$926,Raw_Volunteers!G600)&gt;1,"Possible Duplicate","")</f>
        <v/>
      </c>
      <c r="C600" s="9" t="str">
        <f aca="false">Raw_Volunteers!B600</f>
        <v>D1741</v>
      </c>
      <c r="D600" s="9" t="str">
        <f aca="false">IF(C600="","No","Yes")</f>
        <v>Yes</v>
      </c>
      <c r="E600" s="9" t="str">
        <f aca="false">Raw_Volunteers!C600</f>
        <v>Christopher Gonzalez</v>
      </c>
      <c r="F600" s="9" t="str">
        <f aca="false">Raw_Volunteers!D600</f>
        <v>07/08/2024</v>
      </c>
      <c r="G600" s="9" t="str">
        <f aca="false">PROPER(TRIM(Raw_Volunteers!E600))</f>
        <v>Front Desk Greeter</v>
      </c>
      <c r="H600" s="9" t="str">
        <f aca="false">Raw_Volunteers!F600</f>
        <v>Mobile Unit - Route A</v>
      </c>
      <c r="I600" s="9" t="n">
        <f aca="false">IF(Raw_Volunteers!G600="",ROUND(AVERAGE(Raw_Volunteers!$G$2:$G$926),1),Raw_Volunteers!G600)</f>
        <v>3</v>
      </c>
    </row>
    <row r="601" customFormat="false" ht="15" hidden="false" customHeight="true" outlineLevel="0" collapsed="false">
      <c r="A601" s="9" t="str">
        <f aca="false">Raw_Volunteers!A601</f>
        <v>V2114</v>
      </c>
      <c r="B601" s="9" t="str">
        <f aca="false">IF(COUNTIFS(Raw_Volunteers!$A$2:$A$926,Raw_Volunteers!A601,Raw_Volunteers!$D$2:$D$926,Raw_Volunteers!D601,Raw_Volunteers!$E$2:$E$926,Raw_Volunteers!E601,Raw_Volunteers!$G$2:$G$926,Raw_Volunteers!G601)&gt;1,"Possible Duplicate","")</f>
        <v/>
      </c>
      <c r="C601" s="9" t="str">
        <f aca="false">Raw_Volunteers!B601</f>
        <v>D1741</v>
      </c>
      <c r="D601" s="9" t="str">
        <f aca="false">IF(C601="","No","Yes")</f>
        <v>Yes</v>
      </c>
      <c r="E601" s="9" t="str">
        <f aca="false">Raw_Volunteers!C601</f>
        <v>Christopher Gonzalez</v>
      </c>
      <c r="F601" s="9" t="str">
        <f aca="false">Raw_Volunteers!D601</f>
        <v>05/04/2025</v>
      </c>
      <c r="G601" s="9" t="str">
        <f aca="false">PROPER(TRIM(Raw_Volunteers!E601))</f>
        <v>Mobile Distribution Driver</v>
      </c>
      <c r="H601" s="9" t="str">
        <f aca="false">Raw_Volunteers!F601</f>
        <v>Mobile Unit - Route A</v>
      </c>
      <c r="I601" s="9" t="n">
        <f aca="false">IF(Raw_Volunteers!G601="",ROUND(AVERAGE(Raw_Volunteers!$G$2:$G$926),1),Raw_Volunteers!G601)</f>
        <v>3</v>
      </c>
    </row>
    <row r="602" customFormat="false" ht="15" hidden="false" customHeight="true" outlineLevel="0" collapsed="false">
      <c r="A602" s="9" t="str">
        <f aca="false">Raw_Volunteers!A602</f>
        <v>V2114</v>
      </c>
      <c r="B602" s="9" t="str">
        <f aca="false">IF(COUNTIFS(Raw_Volunteers!$A$2:$A$926,Raw_Volunteers!A602,Raw_Volunteers!$D$2:$D$926,Raw_Volunteers!D602,Raw_Volunteers!$E$2:$E$926,Raw_Volunteers!E602,Raw_Volunteers!$G$2:$G$926,Raw_Volunteers!G602)&gt;1,"Possible Duplicate","")</f>
        <v/>
      </c>
      <c r="C602" s="9" t="str">
        <f aca="false">Raw_Volunteers!B602</f>
        <v>D1741</v>
      </c>
      <c r="D602" s="9" t="str">
        <f aca="false">IF(C602="","No","Yes")</f>
        <v>Yes</v>
      </c>
      <c r="E602" s="9" t="str">
        <f aca="false">Raw_Volunteers!C602</f>
        <v>Christopher Gonzalez</v>
      </c>
      <c r="F602" s="9" t="str">
        <f aca="false">Raw_Volunteers!D602</f>
        <v>02/07/2026</v>
      </c>
      <c r="G602" s="9" t="str">
        <f aca="false">PROPER(TRIM(Raw_Volunteers!E602))</f>
        <v>Front Desk Greeter</v>
      </c>
      <c r="H602" s="9" t="str">
        <f aca="false">Raw_Volunteers!F602</f>
        <v>Downtown Pantry</v>
      </c>
      <c r="I602" s="9" t="n">
        <f aca="false">IF(Raw_Volunteers!G602="",ROUND(AVERAGE(Raw_Volunteers!$G$2:$G$926),1),Raw_Volunteers!G602)</f>
        <v>4</v>
      </c>
    </row>
    <row r="603" customFormat="false" ht="15" hidden="false" customHeight="true" outlineLevel="0" collapsed="false">
      <c r="A603" s="9" t="str">
        <f aca="false">Raw_Volunteers!A603</f>
        <v>V2115</v>
      </c>
      <c r="B603" s="9" t="str">
        <f aca="false">IF(COUNTIFS(Raw_Volunteers!$A$2:$A$926,Raw_Volunteers!A603,Raw_Volunteers!$D$2:$D$926,Raw_Volunteers!D603,Raw_Volunteers!$E$2:$E$926,Raw_Volunteers!E603,Raw_Volunteers!$G$2:$G$926,Raw_Volunteers!G603)&gt;1,"Possible Duplicate","")</f>
        <v/>
      </c>
      <c r="C603" s="9" t="str">
        <f aca="false">Raw_Volunteers!B603</f>
        <v>D1202</v>
      </c>
      <c r="D603" s="9" t="str">
        <f aca="false">IF(C603="","No","Yes")</f>
        <v>Yes</v>
      </c>
      <c r="E603" s="9" t="str">
        <f aca="false">Raw_Volunteers!C603</f>
        <v>Joshua Jackson</v>
      </c>
      <c r="F603" s="9" t="str">
        <f aca="false">Raw_Volunteers!D603</f>
        <v>11/12/2024</v>
      </c>
      <c r="G603" s="9" t="str">
        <f aca="false">PROPER(TRIM(Raw_Volunteers!E603))</f>
        <v>Event Setup</v>
      </c>
      <c r="H603" s="9" t="str">
        <f aca="false">Raw_Volunteers!F603</f>
        <v>Mobile Unit - Route B</v>
      </c>
      <c r="I603" s="9" t="n">
        <f aca="false">IF(Raw_Volunteers!G603="",ROUND(AVERAGE(Raw_Volunteers!$G$2:$G$926),1),Raw_Volunteers!G603)</f>
        <v>2</v>
      </c>
    </row>
    <row r="604" customFormat="false" ht="15" hidden="false" customHeight="true" outlineLevel="0" collapsed="false">
      <c r="A604" s="9" t="str">
        <f aca="false">Raw_Volunteers!A604</f>
        <v>V2115</v>
      </c>
      <c r="B604" s="9" t="str">
        <f aca="false">IF(COUNTIFS(Raw_Volunteers!$A$2:$A$926,Raw_Volunteers!A604,Raw_Volunteers!$D$2:$D$926,Raw_Volunteers!D604,Raw_Volunteers!$E$2:$E$926,Raw_Volunteers!E604,Raw_Volunteers!$G$2:$G$926,Raw_Volunteers!G604)&gt;1,"Possible Duplicate","")</f>
        <v/>
      </c>
      <c r="C604" s="9" t="str">
        <f aca="false">Raw_Volunteers!B604</f>
        <v>D1202</v>
      </c>
      <c r="D604" s="9" t="str">
        <f aca="false">IF(C604="","No","Yes")</f>
        <v>Yes</v>
      </c>
      <c r="E604" s="9" t="str">
        <f aca="false">Raw_Volunteers!C604</f>
        <v>Joshua Jackson</v>
      </c>
      <c r="F604" s="9" t="str">
        <f aca="false">Raw_Volunteers!D604</f>
        <v>07/09/2025</v>
      </c>
      <c r="G604" s="9" t="str">
        <f aca="false">PROPER(TRIM(Raw_Volunteers!E604))</f>
        <v>Client Intake Assistant</v>
      </c>
      <c r="H604" s="9" t="str">
        <f aca="false">Raw_Volunteers!F604</f>
        <v>Community Center Site</v>
      </c>
      <c r="I604" s="9" t="n">
        <f aca="false">IF(Raw_Volunteers!G604="",ROUND(AVERAGE(Raw_Volunteers!$G$2:$G$926),1),Raw_Volunteers!G604)</f>
        <v>2</v>
      </c>
    </row>
    <row r="605" customFormat="false" ht="15" hidden="false" customHeight="true" outlineLevel="0" collapsed="false">
      <c r="A605" s="9" t="str">
        <f aca="false">Raw_Volunteers!A605</f>
        <v>V2115</v>
      </c>
      <c r="B605" s="9" t="str">
        <f aca="false">IF(COUNTIFS(Raw_Volunteers!$A$2:$A$926,Raw_Volunteers!A605,Raw_Volunteers!$D$2:$D$926,Raw_Volunteers!D605,Raw_Volunteers!$E$2:$E$926,Raw_Volunteers!E605,Raw_Volunteers!$G$2:$G$926,Raw_Volunteers!G605)&gt;1,"Possible Duplicate","")</f>
        <v/>
      </c>
      <c r="C605" s="9" t="str">
        <f aca="false">Raw_Volunteers!B605</f>
        <v>D1202</v>
      </c>
      <c r="D605" s="9" t="str">
        <f aca="false">IF(C605="","No","Yes")</f>
        <v>Yes</v>
      </c>
      <c r="E605" s="9" t="str">
        <f aca="false">Raw_Volunteers!C605</f>
        <v>Joshua Jackson</v>
      </c>
      <c r="F605" s="9" t="str">
        <f aca="false">Raw_Volunteers!D605</f>
        <v>06/21/2025</v>
      </c>
      <c r="G605" s="9" t="str">
        <f aca="false">PROPER(TRIM(Raw_Volunteers!E605))</f>
        <v>Front Desk Greeter</v>
      </c>
      <c r="H605" s="9" t="str">
        <f aca="false">Raw_Volunteers!F605</f>
        <v>Downtown Pantry</v>
      </c>
      <c r="I605" s="9" t="n">
        <f aca="false">IF(Raw_Volunteers!G605="",ROUND(AVERAGE(Raw_Volunteers!$G$2:$G$926),1),Raw_Volunteers!G605)</f>
        <v>2</v>
      </c>
    </row>
    <row r="606" customFormat="false" ht="15" hidden="false" customHeight="true" outlineLevel="0" collapsed="false">
      <c r="A606" s="9" t="str">
        <f aca="false">Raw_Volunteers!A606</f>
        <v>V2115</v>
      </c>
      <c r="B606" s="9" t="str">
        <f aca="false">IF(COUNTIFS(Raw_Volunteers!$A$2:$A$926,Raw_Volunteers!A606,Raw_Volunteers!$D$2:$D$926,Raw_Volunteers!D606,Raw_Volunteers!$E$2:$E$926,Raw_Volunteers!E606,Raw_Volunteers!$G$2:$G$926,Raw_Volunteers!G606)&gt;1,"Possible Duplicate","")</f>
        <v/>
      </c>
      <c r="C606" s="9" t="str">
        <f aca="false">Raw_Volunteers!B606</f>
        <v>D1202</v>
      </c>
      <c r="D606" s="9" t="str">
        <f aca="false">IF(C606="","No","Yes")</f>
        <v>Yes</v>
      </c>
      <c r="E606" s="9" t="str">
        <f aca="false">Raw_Volunteers!C606</f>
        <v>Joshua Jackson</v>
      </c>
      <c r="F606" s="9" t="str">
        <f aca="false">Raw_Volunteers!D606</f>
        <v>12/10/2024</v>
      </c>
      <c r="G606" s="9" t="str">
        <f aca="false">PROPER(TRIM(Raw_Volunteers!E606))</f>
        <v>Warehouse Loading</v>
      </c>
      <c r="H606" s="9" t="str">
        <f aca="false">Raw_Volunteers!F606</f>
        <v>Community Center Site</v>
      </c>
      <c r="I606" s="9" t="n">
        <f aca="false">IF(Raw_Volunteers!G606="",ROUND(AVERAGE(Raw_Volunteers!$G$2:$G$926),1),Raw_Volunteers!G606)</f>
        <v>2</v>
      </c>
    </row>
    <row r="607" customFormat="false" ht="15" hidden="false" customHeight="true" outlineLevel="0" collapsed="false">
      <c r="A607" s="9" t="str">
        <f aca="false">Raw_Volunteers!A607</f>
        <v>V2115</v>
      </c>
      <c r="B607" s="9" t="str">
        <f aca="false">IF(COUNTIFS(Raw_Volunteers!$A$2:$A$926,Raw_Volunteers!A607,Raw_Volunteers!$D$2:$D$926,Raw_Volunteers!D607,Raw_Volunteers!$E$2:$E$926,Raw_Volunteers!E607,Raw_Volunteers!$G$2:$G$926,Raw_Volunteers!G607)&gt;1,"Possible Duplicate","")</f>
        <v/>
      </c>
      <c r="C607" s="9" t="str">
        <f aca="false">Raw_Volunteers!B607</f>
        <v>D1202</v>
      </c>
      <c r="D607" s="9" t="str">
        <f aca="false">IF(C607="","No","Yes")</f>
        <v>Yes</v>
      </c>
      <c r="E607" s="9" t="str">
        <f aca="false">Raw_Volunteers!C607</f>
        <v>Joshua Jackson</v>
      </c>
      <c r="F607" s="9" t="str">
        <f aca="false">Raw_Volunteers!D607</f>
        <v>08/04/2024</v>
      </c>
      <c r="G607" s="9" t="str">
        <f aca="false">PROPER(TRIM(Raw_Volunteers!E607))</f>
        <v>Pantry Stocking</v>
      </c>
      <c r="H607" s="9" t="str">
        <f aca="false">Raw_Volunteers!F607</f>
        <v>Mobile Unit - Route B</v>
      </c>
      <c r="I607" s="9" t="n">
        <f aca="false">IF(Raw_Volunteers!G607="",ROUND(AVERAGE(Raw_Volunteers!$G$2:$G$926),1),Raw_Volunteers!G607)</f>
        <v>3</v>
      </c>
    </row>
    <row r="608" customFormat="false" ht="15" hidden="false" customHeight="true" outlineLevel="0" collapsed="false">
      <c r="A608" s="9" t="str">
        <f aca="false">Raw_Volunteers!A608</f>
        <v>V2115</v>
      </c>
      <c r="B608" s="9" t="str">
        <f aca="false">IF(COUNTIFS(Raw_Volunteers!$A$2:$A$926,Raw_Volunteers!A608,Raw_Volunteers!$D$2:$D$926,Raw_Volunteers!D608,Raw_Volunteers!$E$2:$E$926,Raw_Volunteers!E608,Raw_Volunteers!$G$2:$G$926,Raw_Volunteers!G608)&gt;1,"Possible Duplicate","")</f>
        <v/>
      </c>
      <c r="C608" s="9" t="str">
        <f aca="false">Raw_Volunteers!B608</f>
        <v>D1202</v>
      </c>
      <c r="D608" s="9" t="str">
        <f aca="false">IF(C608="","No","Yes")</f>
        <v>Yes</v>
      </c>
      <c r="E608" s="9" t="str">
        <f aca="false">Raw_Volunteers!C608</f>
        <v>Joshua Jackson</v>
      </c>
      <c r="F608" s="9" t="str">
        <f aca="false">Raw_Volunteers!D608</f>
        <v>06/07/2024</v>
      </c>
      <c r="G608" s="9" t="str">
        <f aca="false">PROPER(TRIM(Raw_Volunteers!E608))</f>
        <v>Event Setup</v>
      </c>
      <c r="H608" s="9" t="str">
        <f aca="false">Raw_Volunteers!F608</f>
        <v>Mobile Unit - Route A</v>
      </c>
      <c r="I608" s="9" t="n">
        <f aca="false">IF(Raw_Volunteers!G608="",ROUND(AVERAGE(Raw_Volunteers!$G$2:$G$926),1),Raw_Volunteers!G608)</f>
        <v>2.9</v>
      </c>
    </row>
    <row r="609" customFormat="false" ht="15" hidden="false" customHeight="true" outlineLevel="0" collapsed="false">
      <c r="A609" s="9" t="str">
        <f aca="false">Raw_Volunteers!A609</f>
        <v>V2115</v>
      </c>
      <c r="B609" s="9" t="str">
        <f aca="false">IF(COUNTIFS(Raw_Volunteers!$A$2:$A$926,Raw_Volunteers!A609,Raw_Volunteers!$D$2:$D$926,Raw_Volunteers!D609,Raw_Volunteers!$E$2:$E$926,Raw_Volunteers!E609,Raw_Volunteers!$G$2:$G$926,Raw_Volunteers!G609)&gt;1,"Possible Duplicate","")</f>
        <v/>
      </c>
      <c r="C609" s="9" t="str">
        <f aca="false">Raw_Volunteers!B609</f>
        <v>D1202</v>
      </c>
      <c r="D609" s="9" t="str">
        <f aca="false">IF(C609="","No","Yes")</f>
        <v>Yes</v>
      </c>
      <c r="E609" s="9" t="str">
        <f aca="false">Raw_Volunteers!C609</f>
        <v>Joshua Jackson</v>
      </c>
      <c r="F609" s="9" t="str">
        <f aca="false">Raw_Volunteers!D609</f>
        <v>03/06/2024</v>
      </c>
      <c r="G609" s="9" t="str">
        <f aca="false">PROPER(TRIM(Raw_Volunteers!E609))</f>
        <v>Holiday Box Packing</v>
      </c>
      <c r="H609" s="9" t="str">
        <f aca="false">Raw_Volunteers!F609</f>
        <v>Mobile Unit - Route A</v>
      </c>
      <c r="I609" s="9" t="n">
        <f aca="false">IF(Raw_Volunteers!G609="",ROUND(AVERAGE(Raw_Volunteers!$G$2:$G$926),1),Raw_Volunteers!G609)</f>
        <v>3</v>
      </c>
    </row>
    <row r="610" customFormat="false" ht="15" hidden="false" customHeight="true" outlineLevel="0" collapsed="false">
      <c r="A610" s="9" t="str">
        <f aca="false">Raw_Volunteers!A610</f>
        <v>V2115</v>
      </c>
      <c r="B610" s="9" t="str">
        <f aca="false">IF(COUNTIFS(Raw_Volunteers!$A$2:$A$926,Raw_Volunteers!A610,Raw_Volunteers!$D$2:$D$926,Raw_Volunteers!D610,Raw_Volunteers!$E$2:$E$926,Raw_Volunteers!E610,Raw_Volunteers!$G$2:$G$926,Raw_Volunteers!G610)&gt;1,"Possible Duplicate","")</f>
        <v/>
      </c>
      <c r="C610" s="9" t="str">
        <f aca="false">Raw_Volunteers!B610</f>
        <v>D1202</v>
      </c>
      <c r="D610" s="9" t="str">
        <f aca="false">IF(C610="","No","Yes")</f>
        <v>Yes</v>
      </c>
      <c r="E610" s="9" t="str">
        <f aca="false">Raw_Volunteers!C610</f>
        <v>Joshua Jackson</v>
      </c>
      <c r="F610" s="9" t="str">
        <f aca="false">Raw_Volunteers!D610</f>
        <v>12/12/2025</v>
      </c>
      <c r="G610" s="9" t="str">
        <f aca="false">PROPER(TRIM(Raw_Volunteers!E610))</f>
        <v>Pantry Stocking</v>
      </c>
      <c r="H610" s="9" t="str">
        <f aca="false">Raw_Volunteers!F610</f>
        <v>Community Center Site</v>
      </c>
      <c r="I610" s="9" t="n">
        <f aca="false">IF(Raw_Volunteers!G610="",ROUND(AVERAGE(Raw_Volunteers!$G$2:$G$926),1),Raw_Volunteers!G610)</f>
        <v>2</v>
      </c>
    </row>
    <row r="611" customFormat="false" ht="15" hidden="false" customHeight="true" outlineLevel="0" collapsed="false">
      <c r="A611" s="9" t="str">
        <f aca="false">Raw_Volunteers!A611</f>
        <v>V2115</v>
      </c>
      <c r="B611" s="9" t="str">
        <f aca="false">IF(COUNTIFS(Raw_Volunteers!$A$2:$A$926,Raw_Volunteers!A611,Raw_Volunteers!$D$2:$D$926,Raw_Volunteers!D611,Raw_Volunteers!$E$2:$E$926,Raw_Volunteers!E611,Raw_Volunteers!$G$2:$G$926,Raw_Volunteers!G611)&gt;1,"Possible Duplicate","")</f>
        <v/>
      </c>
      <c r="C611" s="9" t="str">
        <f aca="false">Raw_Volunteers!B611</f>
        <v>D1202</v>
      </c>
      <c r="D611" s="9" t="str">
        <f aca="false">IF(C611="","No","Yes")</f>
        <v>Yes</v>
      </c>
      <c r="E611" s="9" t="str">
        <f aca="false">Raw_Volunteers!C611</f>
        <v>Joshua Jackson</v>
      </c>
      <c r="F611" s="9" t="str">
        <f aca="false">Raw_Volunteers!D611</f>
        <v>02/18/2026</v>
      </c>
      <c r="G611" s="9" t="str">
        <f aca="false">PROPER(TRIM(Raw_Volunteers!E611))</f>
        <v>Event Setup</v>
      </c>
      <c r="H611" s="9" t="str">
        <f aca="false">Raw_Volunteers!F611</f>
        <v>Community Center Site</v>
      </c>
      <c r="I611" s="9" t="n">
        <f aca="false">IF(Raw_Volunteers!G611="",ROUND(AVERAGE(Raw_Volunteers!$G$2:$G$926),1),Raw_Volunteers!G611)</f>
        <v>2</v>
      </c>
    </row>
    <row r="612" customFormat="false" ht="15" hidden="false" customHeight="true" outlineLevel="0" collapsed="false">
      <c r="A612" s="9" t="str">
        <f aca="false">Raw_Volunteers!A612</f>
        <v>V2115</v>
      </c>
      <c r="B612" s="9" t="str">
        <f aca="false">IF(COUNTIFS(Raw_Volunteers!$A$2:$A$926,Raw_Volunteers!A612,Raw_Volunteers!$D$2:$D$926,Raw_Volunteers!D612,Raw_Volunteers!$E$2:$E$926,Raw_Volunteers!E612,Raw_Volunteers!$G$2:$G$926,Raw_Volunteers!G612)&gt;1,"Possible Duplicate","")</f>
        <v/>
      </c>
      <c r="C612" s="9" t="str">
        <f aca="false">Raw_Volunteers!B612</f>
        <v>D1202</v>
      </c>
      <c r="D612" s="9" t="str">
        <f aca="false">IF(C612="","No","Yes")</f>
        <v>Yes</v>
      </c>
      <c r="E612" s="9" t="str">
        <f aca="false">Raw_Volunteers!C612</f>
        <v>Joshua Jackson</v>
      </c>
      <c r="F612" s="9" t="str">
        <f aca="false">Raw_Volunteers!D612</f>
        <v>12/28/2024</v>
      </c>
      <c r="G612" s="9" t="str">
        <f aca="false">PROPER(TRIM(Raw_Volunteers!E612))</f>
        <v>Warehouse Loading</v>
      </c>
      <c r="H612" s="9" t="str">
        <f aca="false">Raw_Volunteers!F612</f>
        <v>Main Warehouse</v>
      </c>
      <c r="I612" s="9" t="n">
        <f aca="false">IF(Raw_Volunteers!G612="",ROUND(AVERAGE(Raw_Volunteers!$G$2:$G$926),1),Raw_Volunteers!G612)</f>
        <v>3</v>
      </c>
    </row>
    <row r="613" customFormat="false" ht="15" hidden="false" customHeight="true" outlineLevel="0" collapsed="false">
      <c r="A613" s="9" t="str">
        <f aca="false">Raw_Volunteers!A613</f>
        <v>V2115</v>
      </c>
      <c r="B613" s="9" t="str">
        <f aca="false">IF(COUNTIFS(Raw_Volunteers!$A$2:$A$926,Raw_Volunteers!A613,Raw_Volunteers!$D$2:$D$926,Raw_Volunteers!D613,Raw_Volunteers!$E$2:$E$926,Raw_Volunteers!E613,Raw_Volunteers!$G$2:$G$926,Raw_Volunteers!G613)&gt;1,"Possible Duplicate","")</f>
        <v/>
      </c>
      <c r="C613" s="9" t="str">
        <f aca="false">Raw_Volunteers!B613</f>
        <v>D1202</v>
      </c>
      <c r="D613" s="9" t="str">
        <f aca="false">IF(C613="","No","Yes")</f>
        <v>Yes</v>
      </c>
      <c r="E613" s="9" t="str">
        <f aca="false">Raw_Volunteers!C613</f>
        <v>Joshua Jackson</v>
      </c>
      <c r="F613" s="9" t="str">
        <f aca="false">Raw_Volunteers!D613</f>
        <v>01/24/2025</v>
      </c>
      <c r="G613" s="9" t="str">
        <f aca="false">PROPER(TRIM(Raw_Volunteers!E613))</f>
        <v>Holiday Box Packing</v>
      </c>
      <c r="H613" s="9" t="str">
        <f aca="false">Raw_Volunteers!F613</f>
        <v>Mobile Unit - Route A</v>
      </c>
      <c r="I613" s="9" t="n">
        <f aca="false">IF(Raw_Volunteers!G613="",ROUND(AVERAGE(Raw_Volunteers!$G$2:$G$926),1),Raw_Volunteers!G613)</f>
        <v>4</v>
      </c>
    </row>
    <row r="614" customFormat="false" ht="15" hidden="false" customHeight="true" outlineLevel="0" collapsed="false">
      <c r="A614" s="9" t="str">
        <f aca="false">Raw_Volunteers!A614</f>
        <v>V2115</v>
      </c>
      <c r="B614" s="9" t="str">
        <f aca="false">IF(COUNTIFS(Raw_Volunteers!$A$2:$A$926,Raw_Volunteers!A614,Raw_Volunteers!$D$2:$D$926,Raw_Volunteers!D614,Raw_Volunteers!$E$2:$E$926,Raw_Volunteers!E614,Raw_Volunteers!$G$2:$G$926,Raw_Volunteers!G614)&gt;1,"Possible Duplicate","")</f>
        <v/>
      </c>
      <c r="C614" s="9" t="str">
        <f aca="false">Raw_Volunteers!B614</f>
        <v>D1202</v>
      </c>
      <c r="D614" s="9" t="str">
        <f aca="false">IF(C614="","No","Yes")</f>
        <v>Yes</v>
      </c>
      <c r="E614" s="9" t="str">
        <f aca="false">Raw_Volunteers!C614</f>
        <v>Joshua Jackson</v>
      </c>
      <c r="F614" s="9" t="str">
        <f aca="false">Raw_Volunteers!D614</f>
        <v>04/06/2024</v>
      </c>
      <c r="G614" s="9" t="str">
        <f aca="false">PROPER(TRIM(Raw_Volunteers!E614))</f>
        <v>Warehouse Loading</v>
      </c>
      <c r="H614" s="9" t="str">
        <f aca="false">Raw_Volunteers!F614</f>
        <v>Mobile Unit - Route B</v>
      </c>
      <c r="I614" s="9" t="n">
        <f aca="false">IF(Raw_Volunteers!G614="",ROUND(AVERAGE(Raw_Volunteers!$G$2:$G$926),1),Raw_Volunteers!G614)</f>
        <v>4</v>
      </c>
    </row>
    <row r="615" customFormat="false" ht="15" hidden="false" customHeight="true" outlineLevel="0" collapsed="false">
      <c r="A615" s="9" t="str">
        <f aca="false">Raw_Volunteers!A615</f>
        <v>V2116</v>
      </c>
      <c r="B615" s="9" t="str">
        <f aca="false">IF(COUNTIFS(Raw_Volunteers!$A$2:$A$926,Raw_Volunteers!A615,Raw_Volunteers!$D$2:$D$926,Raw_Volunteers!D615,Raw_Volunteers!$E$2:$E$926,Raw_Volunteers!E615,Raw_Volunteers!$G$2:$G$926,Raw_Volunteers!G615)&gt;1,"Possible Duplicate","")</f>
        <v/>
      </c>
      <c r="C615" s="9" t="str">
        <f aca="false">Raw_Volunteers!B615</f>
        <v>D1590</v>
      </c>
      <c r="D615" s="9" t="str">
        <f aca="false">IF(C615="","No","Yes")</f>
        <v>Yes</v>
      </c>
      <c r="E615" s="9" t="str">
        <f aca="false">Raw_Volunteers!C615</f>
        <v>Kimberly Moore</v>
      </c>
      <c r="F615" s="9" t="str">
        <f aca="false">Raw_Volunteers!D615</f>
        <v>11/21/2025</v>
      </c>
      <c r="G615" s="9" t="str">
        <f aca="false">PROPER(TRIM(Raw_Volunteers!E615))</f>
        <v>Warehouse Loading</v>
      </c>
      <c r="H615" s="9" t="str">
        <f aca="false">Raw_Volunteers!F615</f>
        <v>Main Warehouse</v>
      </c>
      <c r="I615" s="9" t="n">
        <f aca="false">IF(Raw_Volunteers!G615="",ROUND(AVERAGE(Raw_Volunteers!$G$2:$G$926),1),Raw_Volunteers!G615)</f>
        <v>3</v>
      </c>
    </row>
    <row r="616" customFormat="false" ht="15" hidden="false" customHeight="true" outlineLevel="0" collapsed="false">
      <c r="A616" s="9" t="str">
        <f aca="false">Raw_Volunteers!A616</f>
        <v>V2116</v>
      </c>
      <c r="B616" s="9" t="str">
        <f aca="false">IF(COUNTIFS(Raw_Volunteers!$A$2:$A$926,Raw_Volunteers!A616,Raw_Volunteers!$D$2:$D$926,Raw_Volunteers!D616,Raw_Volunteers!$E$2:$E$926,Raw_Volunteers!E616,Raw_Volunteers!$G$2:$G$926,Raw_Volunteers!G616)&gt;1,"Possible Duplicate","")</f>
        <v/>
      </c>
      <c r="C616" s="9" t="str">
        <f aca="false">Raw_Volunteers!B616</f>
        <v>D1590</v>
      </c>
      <c r="D616" s="9" t="str">
        <f aca="false">IF(C616="","No","Yes")</f>
        <v>Yes</v>
      </c>
      <c r="E616" s="9" t="str">
        <f aca="false">Raw_Volunteers!C616</f>
        <v>Kimberly Moore</v>
      </c>
      <c r="F616" s="9" t="str">
        <f aca="false">Raw_Volunteers!D616</f>
        <v>12/22/2024</v>
      </c>
      <c r="G616" s="9" t="str">
        <f aca="false">PROPER(TRIM(Raw_Volunteers!E616))</f>
        <v>Food Sorting</v>
      </c>
      <c r="H616" s="9" t="str">
        <f aca="false">Raw_Volunteers!F616</f>
        <v>Mobile Unit - Route B</v>
      </c>
      <c r="I616" s="9" t="n">
        <f aca="false">IF(Raw_Volunteers!G616="",ROUND(AVERAGE(Raw_Volunteers!$G$2:$G$926),1),Raw_Volunteers!G616)</f>
        <v>2</v>
      </c>
    </row>
    <row r="617" customFormat="false" ht="15" hidden="false" customHeight="true" outlineLevel="0" collapsed="false">
      <c r="A617" s="9" t="str">
        <f aca="false">Raw_Volunteers!A617</f>
        <v>V2116</v>
      </c>
      <c r="B617" s="9" t="str">
        <f aca="false">IF(COUNTIFS(Raw_Volunteers!$A$2:$A$926,Raw_Volunteers!A617,Raw_Volunteers!$D$2:$D$926,Raw_Volunteers!D617,Raw_Volunteers!$E$2:$E$926,Raw_Volunteers!E617,Raw_Volunteers!$G$2:$G$926,Raw_Volunteers!G617)&gt;1,"Possible Duplicate","")</f>
        <v/>
      </c>
      <c r="C617" s="9" t="str">
        <f aca="false">Raw_Volunteers!B617</f>
        <v>D1590</v>
      </c>
      <c r="D617" s="9" t="str">
        <f aca="false">IF(C617="","No","Yes")</f>
        <v>Yes</v>
      </c>
      <c r="E617" s="9" t="str">
        <f aca="false">Raw_Volunteers!C617</f>
        <v>Kimberly Moore</v>
      </c>
      <c r="F617" s="9" t="str">
        <f aca="false">Raw_Volunteers!D617</f>
        <v>07/07/2025</v>
      </c>
      <c r="G617" s="9" t="str">
        <f aca="false">PROPER(TRIM(Raw_Volunteers!E617))</f>
        <v>Warehouse Loading</v>
      </c>
      <c r="H617" s="9" t="str">
        <f aca="false">Raw_Volunteers!F617</f>
        <v>Main Warehouse</v>
      </c>
      <c r="I617" s="9" t="n">
        <f aca="false">IF(Raw_Volunteers!G617="",ROUND(AVERAGE(Raw_Volunteers!$G$2:$G$926),1),Raw_Volunteers!G617)</f>
        <v>2</v>
      </c>
    </row>
    <row r="618" customFormat="false" ht="15" hidden="false" customHeight="true" outlineLevel="0" collapsed="false">
      <c r="A618" s="9" t="str">
        <f aca="false">Raw_Volunteers!A618</f>
        <v>V2116</v>
      </c>
      <c r="B618" s="9" t="str">
        <f aca="false">IF(COUNTIFS(Raw_Volunteers!$A$2:$A$926,Raw_Volunteers!A618,Raw_Volunteers!$D$2:$D$926,Raw_Volunteers!D618,Raw_Volunteers!$E$2:$E$926,Raw_Volunteers!E618,Raw_Volunteers!$G$2:$G$926,Raw_Volunteers!G618)&gt;1,"Possible Duplicate","")</f>
        <v/>
      </c>
      <c r="C618" s="9" t="str">
        <f aca="false">Raw_Volunteers!B618</f>
        <v>D1590</v>
      </c>
      <c r="D618" s="9" t="str">
        <f aca="false">IF(C618="","No","Yes")</f>
        <v>Yes</v>
      </c>
      <c r="E618" s="9" t="str">
        <f aca="false">Raw_Volunteers!C618</f>
        <v>Kimberly Moore</v>
      </c>
      <c r="F618" s="9" t="str">
        <f aca="false">Raw_Volunteers!D618</f>
        <v>11/16/2025</v>
      </c>
      <c r="G618" s="9" t="str">
        <f aca="false">PROPER(TRIM(Raw_Volunteers!E618))</f>
        <v>Food Sorting</v>
      </c>
      <c r="H618" s="9" t="str">
        <f aca="false">Raw_Volunteers!F618</f>
        <v>Downtown Pantry</v>
      </c>
      <c r="I618" s="9" t="n">
        <f aca="false">IF(Raw_Volunteers!G618="",ROUND(AVERAGE(Raw_Volunteers!$G$2:$G$926),1),Raw_Volunteers!G618)</f>
        <v>3</v>
      </c>
    </row>
    <row r="619" customFormat="false" ht="15" hidden="false" customHeight="true" outlineLevel="0" collapsed="false">
      <c r="A619" s="9" t="str">
        <f aca="false">Raw_Volunteers!A619</f>
        <v>V2117</v>
      </c>
      <c r="B619" s="9" t="str">
        <f aca="false">IF(COUNTIFS(Raw_Volunteers!$A$2:$A$926,Raw_Volunteers!A619,Raw_Volunteers!$D$2:$D$926,Raw_Volunteers!D619,Raw_Volunteers!$E$2:$E$926,Raw_Volunteers!E619,Raw_Volunteers!$G$2:$G$926,Raw_Volunteers!G619)&gt;1,"Possible Duplicate","")</f>
        <v/>
      </c>
      <c r="C619" s="9" t="str">
        <f aca="false">Raw_Volunteers!B619</f>
        <v>D1236</v>
      </c>
      <c r="D619" s="9" t="str">
        <f aca="false">IF(C619="","No","Yes")</f>
        <v>Yes</v>
      </c>
      <c r="E619" s="9" t="str">
        <f aca="false">Raw_Volunteers!C619</f>
        <v>Matthew Thompson</v>
      </c>
      <c r="F619" s="9" t="str">
        <f aca="false">Raw_Volunteers!D619</f>
        <v>02/01/2025</v>
      </c>
      <c r="G619" s="9" t="str">
        <f aca="false">PROPER(TRIM(Raw_Volunteers!E619))</f>
        <v>Warehouse Loading</v>
      </c>
      <c r="H619" s="9" t="str">
        <f aca="false">Raw_Volunteers!F619</f>
        <v>Community Center Site</v>
      </c>
      <c r="I619" s="9" t="n">
        <f aca="false">IF(Raw_Volunteers!G619="",ROUND(AVERAGE(Raw_Volunteers!$G$2:$G$926),1),Raw_Volunteers!G619)</f>
        <v>2</v>
      </c>
    </row>
    <row r="620" customFormat="false" ht="15" hidden="false" customHeight="true" outlineLevel="0" collapsed="false">
      <c r="A620" s="9" t="str">
        <f aca="false">Raw_Volunteers!A620</f>
        <v>V2117</v>
      </c>
      <c r="B620" s="9" t="str">
        <f aca="false">IF(COUNTIFS(Raw_Volunteers!$A$2:$A$926,Raw_Volunteers!A620,Raw_Volunteers!$D$2:$D$926,Raw_Volunteers!D620,Raw_Volunteers!$E$2:$E$926,Raw_Volunteers!E620,Raw_Volunteers!$G$2:$G$926,Raw_Volunteers!G620)&gt;1,"Possible Duplicate","")</f>
        <v/>
      </c>
      <c r="C620" s="9" t="str">
        <f aca="false">Raw_Volunteers!B620</f>
        <v>D1236</v>
      </c>
      <c r="D620" s="9" t="str">
        <f aca="false">IF(C620="","No","Yes")</f>
        <v>Yes</v>
      </c>
      <c r="E620" s="9" t="str">
        <f aca="false">Raw_Volunteers!C620</f>
        <v>Matthew Thompson</v>
      </c>
      <c r="F620" s="9" t="str">
        <f aca="false">Raw_Volunteers!D620</f>
        <v>01/28/2025</v>
      </c>
      <c r="G620" s="9" t="str">
        <f aca="false">PROPER(TRIM(Raw_Volunteers!E620))</f>
        <v>Front Desk Greeter</v>
      </c>
      <c r="H620" s="9" t="str">
        <f aca="false">Raw_Volunteers!F620</f>
        <v>Mobile Unit - Route A</v>
      </c>
      <c r="I620" s="9" t="n">
        <f aca="false">IF(Raw_Volunteers!G620="",ROUND(AVERAGE(Raw_Volunteers!$G$2:$G$926),1),Raw_Volunteers!G620)</f>
        <v>2</v>
      </c>
    </row>
    <row r="621" customFormat="false" ht="15" hidden="false" customHeight="true" outlineLevel="0" collapsed="false">
      <c r="A621" s="9" t="str">
        <f aca="false">Raw_Volunteers!A621</f>
        <v>V2118</v>
      </c>
      <c r="B621" s="9" t="str">
        <f aca="false">IF(COUNTIFS(Raw_Volunteers!$A$2:$A$926,Raw_Volunteers!A621,Raw_Volunteers!$D$2:$D$926,Raw_Volunteers!D621,Raw_Volunteers!$E$2:$E$926,Raw_Volunteers!E621,Raw_Volunteers!$G$2:$G$926,Raw_Volunteers!G621)&gt;1,"Possible Duplicate","")</f>
        <v/>
      </c>
      <c r="C621" s="9" t="str">
        <f aca="false">Raw_Volunteers!B621</f>
        <v>D1064</v>
      </c>
      <c r="D621" s="9" t="str">
        <f aca="false">IF(C621="","No","Yes")</f>
        <v>Yes</v>
      </c>
      <c r="E621" s="9" t="str">
        <f aca="false">Raw_Volunteers!C621</f>
        <v>William Davis</v>
      </c>
      <c r="F621" s="9" t="str">
        <f aca="false">Raw_Volunteers!D621</f>
        <v>03/31/2026</v>
      </c>
      <c r="G621" s="9" t="str">
        <f aca="false">PROPER(TRIM(Raw_Volunteers!E621))</f>
        <v>Food Sorting</v>
      </c>
      <c r="H621" s="9" t="str">
        <f aca="false">Raw_Volunteers!F621</f>
        <v>Mobile Unit - Route B</v>
      </c>
      <c r="I621" s="9" t="n">
        <f aca="false">IF(Raw_Volunteers!G621="",ROUND(AVERAGE(Raw_Volunteers!$G$2:$G$926),1),Raw_Volunteers!G621)</f>
        <v>5</v>
      </c>
    </row>
    <row r="622" customFormat="false" ht="15" hidden="false" customHeight="true" outlineLevel="0" collapsed="false">
      <c r="A622" s="9" t="str">
        <f aca="false">Raw_Volunteers!A622</f>
        <v>V2119</v>
      </c>
      <c r="B622" s="9" t="str">
        <f aca="false">IF(COUNTIFS(Raw_Volunteers!$A$2:$A$926,Raw_Volunteers!A622,Raw_Volunteers!$D$2:$D$926,Raw_Volunteers!D622,Raw_Volunteers!$E$2:$E$926,Raw_Volunteers!E622,Raw_Volunteers!$G$2:$G$926,Raw_Volunteers!G622)&gt;1,"Possible Duplicate","")</f>
        <v/>
      </c>
      <c r="C622" s="9" t="str">
        <f aca="false">Raw_Volunteers!B622</f>
        <v>D1213</v>
      </c>
      <c r="D622" s="9" t="str">
        <f aca="false">IF(C622="","No","Yes")</f>
        <v>Yes</v>
      </c>
      <c r="E622" s="9" t="str">
        <f aca="false">Raw_Volunteers!C622</f>
        <v>Susan Allen</v>
      </c>
      <c r="F622" s="9" t="str">
        <f aca="false">Raw_Volunteers!D622</f>
        <v>08/14/2024</v>
      </c>
      <c r="G622" s="9" t="str">
        <f aca="false">PROPER(TRIM(Raw_Volunteers!E622))</f>
        <v>Event Setup</v>
      </c>
      <c r="H622" s="9" t="str">
        <f aca="false">Raw_Volunteers!F622</f>
        <v>Downtown Pantry</v>
      </c>
      <c r="I622" s="9" t="n">
        <f aca="false">IF(Raw_Volunteers!G622="",ROUND(AVERAGE(Raw_Volunteers!$G$2:$G$926),1),Raw_Volunteers!G622)</f>
        <v>2</v>
      </c>
    </row>
    <row r="623" customFormat="false" ht="15" hidden="false" customHeight="true" outlineLevel="0" collapsed="false">
      <c r="A623" s="9" t="str">
        <f aca="false">Raw_Volunteers!A623</f>
        <v>V2119</v>
      </c>
      <c r="B623" s="9" t="str">
        <f aca="false">IF(COUNTIFS(Raw_Volunteers!$A$2:$A$926,Raw_Volunteers!A623,Raw_Volunteers!$D$2:$D$926,Raw_Volunteers!D623,Raw_Volunteers!$E$2:$E$926,Raw_Volunteers!E623,Raw_Volunteers!$G$2:$G$926,Raw_Volunteers!G623)&gt;1,"Possible Duplicate","")</f>
        <v/>
      </c>
      <c r="C623" s="9" t="str">
        <f aca="false">Raw_Volunteers!B623</f>
        <v>D1213</v>
      </c>
      <c r="D623" s="9" t="str">
        <f aca="false">IF(C623="","No","Yes")</f>
        <v>Yes</v>
      </c>
      <c r="E623" s="9" t="str">
        <f aca="false">Raw_Volunteers!C623</f>
        <v>Susan Allen</v>
      </c>
      <c r="F623" s="9" t="str">
        <f aca="false">Raw_Volunteers!D623</f>
        <v>10/10/2024</v>
      </c>
      <c r="G623" s="9" t="str">
        <f aca="false">PROPER(TRIM(Raw_Volunteers!E623))</f>
        <v>Front Desk Greeter</v>
      </c>
      <c r="H623" s="9" t="str">
        <f aca="false">Raw_Volunteers!F623</f>
        <v>Mobile Unit - Route B</v>
      </c>
      <c r="I623" s="9" t="n">
        <f aca="false">IF(Raw_Volunteers!G623="",ROUND(AVERAGE(Raw_Volunteers!$G$2:$G$926),1),Raw_Volunteers!G623)</f>
        <v>4</v>
      </c>
    </row>
    <row r="624" customFormat="false" ht="15" hidden="false" customHeight="true" outlineLevel="0" collapsed="false">
      <c r="A624" s="9" t="str">
        <f aca="false">Raw_Volunteers!A624</f>
        <v>V2119</v>
      </c>
      <c r="B624" s="9" t="str">
        <f aca="false">IF(COUNTIFS(Raw_Volunteers!$A$2:$A$926,Raw_Volunteers!A624,Raw_Volunteers!$D$2:$D$926,Raw_Volunteers!D624,Raw_Volunteers!$E$2:$E$926,Raw_Volunteers!E624,Raw_Volunteers!$G$2:$G$926,Raw_Volunteers!G624)&gt;1,"Possible Duplicate","")</f>
        <v/>
      </c>
      <c r="C624" s="9" t="str">
        <f aca="false">Raw_Volunteers!B624</f>
        <v>D1213</v>
      </c>
      <c r="D624" s="9" t="str">
        <f aca="false">IF(C624="","No","Yes")</f>
        <v>Yes</v>
      </c>
      <c r="E624" s="9" t="str">
        <f aca="false">Raw_Volunteers!C624</f>
        <v>Susan Allen</v>
      </c>
      <c r="F624" s="9" t="str">
        <f aca="false">Raw_Volunteers!D624</f>
        <v>11/10/2024</v>
      </c>
      <c r="G624" s="9" t="str">
        <f aca="false">PROPER(TRIM(Raw_Volunteers!E624))</f>
        <v>Pantry Stocking</v>
      </c>
      <c r="H624" s="9" t="str">
        <f aca="false">Raw_Volunteers!F624</f>
        <v>Mobile Unit - Route A</v>
      </c>
      <c r="I624" s="9" t="n">
        <f aca="false">IF(Raw_Volunteers!G624="",ROUND(AVERAGE(Raw_Volunteers!$G$2:$G$926),1),Raw_Volunteers!G624)</f>
        <v>2</v>
      </c>
    </row>
    <row r="625" customFormat="false" ht="15" hidden="false" customHeight="true" outlineLevel="0" collapsed="false">
      <c r="A625" s="9" t="str">
        <f aca="false">Raw_Volunteers!A625</f>
        <v>V2119</v>
      </c>
      <c r="B625" s="9" t="str">
        <f aca="false">IF(COUNTIFS(Raw_Volunteers!$A$2:$A$926,Raw_Volunteers!A625,Raw_Volunteers!$D$2:$D$926,Raw_Volunteers!D625,Raw_Volunteers!$E$2:$E$926,Raw_Volunteers!E625,Raw_Volunteers!$G$2:$G$926,Raw_Volunteers!G625)&gt;1,"Possible Duplicate","")</f>
        <v/>
      </c>
      <c r="C625" s="9" t="str">
        <f aca="false">Raw_Volunteers!B625</f>
        <v>D1213</v>
      </c>
      <c r="D625" s="9" t="str">
        <f aca="false">IF(C625="","No","Yes")</f>
        <v>Yes</v>
      </c>
      <c r="E625" s="9" t="str">
        <f aca="false">Raw_Volunteers!C625</f>
        <v>Susan Allen</v>
      </c>
      <c r="F625" s="9" t="str">
        <f aca="false">Raw_Volunteers!D625</f>
        <v>03/16/2026</v>
      </c>
      <c r="G625" s="9" t="str">
        <f aca="false">PROPER(TRIM(Raw_Volunteers!E625))</f>
        <v>Event Setup</v>
      </c>
      <c r="H625" s="9" t="str">
        <f aca="false">Raw_Volunteers!F625</f>
        <v>Mobile Unit - Route B</v>
      </c>
      <c r="I625" s="9" t="n">
        <f aca="false">IF(Raw_Volunteers!G625="",ROUND(AVERAGE(Raw_Volunteers!$G$2:$G$926),1),Raw_Volunteers!G625)</f>
        <v>2</v>
      </c>
    </row>
    <row r="626" customFormat="false" ht="15" hidden="false" customHeight="true" outlineLevel="0" collapsed="false">
      <c r="A626" s="9" t="str">
        <f aca="false">Raw_Volunteers!A626</f>
        <v>V2119</v>
      </c>
      <c r="B626" s="9" t="str">
        <f aca="false">IF(COUNTIFS(Raw_Volunteers!$A$2:$A$926,Raw_Volunteers!A626,Raw_Volunteers!$D$2:$D$926,Raw_Volunteers!D626,Raw_Volunteers!$E$2:$E$926,Raw_Volunteers!E626,Raw_Volunteers!$G$2:$G$926,Raw_Volunteers!G626)&gt;1,"Possible Duplicate","")</f>
        <v/>
      </c>
      <c r="C626" s="9" t="str">
        <f aca="false">Raw_Volunteers!B626</f>
        <v>D1213</v>
      </c>
      <c r="D626" s="9" t="str">
        <f aca="false">IF(C626="","No","Yes")</f>
        <v>Yes</v>
      </c>
      <c r="E626" s="9" t="str">
        <f aca="false">Raw_Volunteers!C626</f>
        <v>Susan Allen</v>
      </c>
      <c r="F626" s="9" t="str">
        <f aca="false">Raw_Volunteers!D626</f>
        <v>02/08/2024</v>
      </c>
      <c r="G626" s="9" t="str">
        <f aca="false">PROPER(TRIM(Raw_Volunteers!E626))</f>
        <v>Warehouse Loading</v>
      </c>
      <c r="H626" s="9" t="str">
        <f aca="false">Raw_Volunteers!F626</f>
        <v>Mobile Unit - Route B</v>
      </c>
      <c r="I626" s="9" t="n">
        <f aca="false">IF(Raw_Volunteers!G626="",ROUND(AVERAGE(Raw_Volunteers!$G$2:$G$926),1),Raw_Volunteers!G626)</f>
        <v>5</v>
      </c>
    </row>
    <row r="627" customFormat="false" ht="15" hidden="false" customHeight="true" outlineLevel="0" collapsed="false">
      <c r="A627" s="9" t="str">
        <f aca="false">Raw_Volunteers!A627</f>
        <v>V2119</v>
      </c>
      <c r="B627" s="9" t="str">
        <f aca="false">IF(COUNTIFS(Raw_Volunteers!$A$2:$A$926,Raw_Volunteers!A627,Raw_Volunteers!$D$2:$D$926,Raw_Volunteers!D627,Raw_Volunteers!$E$2:$E$926,Raw_Volunteers!E627,Raw_Volunteers!$G$2:$G$926,Raw_Volunteers!G627)&gt;1,"Possible Duplicate","")</f>
        <v/>
      </c>
      <c r="C627" s="9" t="str">
        <f aca="false">Raw_Volunteers!B627</f>
        <v>D1213</v>
      </c>
      <c r="D627" s="9" t="str">
        <f aca="false">IF(C627="","No","Yes")</f>
        <v>Yes</v>
      </c>
      <c r="E627" s="9" t="str">
        <f aca="false">Raw_Volunteers!C627</f>
        <v>Susan Allen</v>
      </c>
      <c r="F627" s="9" t="str">
        <f aca="false">Raw_Volunteers!D627</f>
        <v>02/14/2026</v>
      </c>
      <c r="G627" s="9" t="str">
        <f aca="false">PROPER(TRIM(Raw_Volunteers!E627))</f>
        <v>Holiday Box Packing</v>
      </c>
      <c r="H627" s="9" t="str">
        <f aca="false">Raw_Volunteers!F627</f>
        <v>Main Warehouse</v>
      </c>
      <c r="I627" s="9" t="n">
        <f aca="false">IF(Raw_Volunteers!G627="",ROUND(AVERAGE(Raw_Volunteers!$G$2:$G$926),1),Raw_Volunteers!G627)</f>
        <v>3</v>
      </c>
    </row>
    <row r="628" customFormat="false" ht="15" hidden="false" customHeight="true" outlineLevel="0" collapsed="false">
      <c r="A628" s="9" t="str">
        <f aca="false">Raw_Volunteers!A628</f>
        <v>V2119</v>
      </c>
      <c r="B628" s="9" t="str">
        <f aca="false">IF(COUNTIFS(Raw_Volunteers!$A$2:$A$926,Raw_Volunteers!A628,Raw_Volunteers!$D$2:$D$926,Raw_Volunteers!D628,Raw_Volunteers!$E$2:$E$926,Raw_Volunteers!E628,Raw_Volunteers!$G$2:$G$926,Raw_Volunteers!G628)&gt;1,"Possible Duplicate","")</f>
        <v/>
      </c>
      <c r="C628" s="9" t="str">
        <f aca="false">Raw_Volunteers!B628</f>
        <v>D1213</v>
      </c>
      <c r="D628" s="9" t="str">
        <f aca="false">IF(C628="","No","Yes")</f>
        <v>Yes</v>
      </c>
      <c r="E628" s="9" t="str">
        <f aca="false">Raw_Volunteers!C628</f>
        <v>Susan Allen</v>
      </c>
      <c r="F628" s="9" t="str">
        <f aca="false">Raw_Volunteers!D628</f>
        <v>10/04/2025</v>
      </c>
      <c r="G628" s="9" t="str">
        <f aca="false">PROPER(TRIM(Raw_Volunteers!E628))</f>
        <v>Holiday Box Packing</v>
      </c>
      <c r="H628" s="9" t="str">
        <f aca="false">Raw_Volunteers!F628</f>
        <v>Main Warehouse</v>
      </c>
      <c r="I628" s="9" t="n">
        <f aca="false">IF(Raw_Volunteers!G628="",ROUND(AVERAGE(Raw_Volunteers!$G$2:$G$926),1),Raw_Volunteers!G628)</f>
        <v>2</v>
      </c>
    </row>
    <row r="629" customFormat="false" ht="15" hidden="false" customHeight="true" outlineLevel="0" collapsed="false">
      <c r="A629" s="9" t="str">
        <f aca="false">Raw_Volunteers!A629</f>
        <v>V2119</v>
      </c>
      <c r="B629" s="9" t="str">
        <f aca="false">IF(COUNTIFS(Raw_Volunteers!$A$2:$A$926,Raw_Volunteers!A629,Raw_Volunteers!$D$2:$D$926,Raw_Volunteers!D629,Raw_Volunteers!$E$2:$E$926,Raw_Volunteers!E629,Raw_Volunteers!$G$2:$G$926,Raw_Volunteers!G629)&gt;1,"Possible Duplicate","")</f>
        <v/>
      </c>
      <c r="C629" s="9" t="str">
        <f aca="false">Raw_Volunteers!B629</f>
        <v>D1213</v>
      </c>
      <c r="D629" s="9" t="str">
        <f aca="false">IF(C629="","No","Yes")</f>
        <v>Yes</v>
      </c>
      <c r="E629" s="9" t="str">
        <f aca="false">Raw_Volunteers!C629</f>
        <v>Susan Allen</v>
      </c>
      <c r="F629" s="9" t="str">
        <f aca="false">Raw_Volunteers!D629</f>
        <v>02/05/2025</v>
      </c>
      <c r="G629" s="9" t="str">
        <f aca="false">PROPER(TRIM(Raw_Volunteers!E629))</f>
        <v>Client Intake Assistant</v>
      </c>
      <c r="H629" s="9" t="str">
        <f aca="false">Raw_Volunteers!F629</f>
        <v>Mobile Unit - Route B</v>
      </c>
      <c r="I629" s="9" t="n">
        <f aca="false">IF(Raw_Volunteers!G629="",ROUND(AVERAGE(Raw_Volunteers!$G$2:$G$926),1),Raw_Volunteers!G629)</f>
        <v>2</v>
      </c>
    </row>
    <row r="630" customFormat="false" ht="15" hidden="false" customHeight="true" outlineLevel="0" collapsed="false">
      <c r="A630" s="9" t="str">
        <f aca="false">Raw_Volunteers!A630</f>
        <v>V2119</v>
      </c>
      <c r="B630" s="9" t="str">
        <f aca="false">IF(COUNTIFS(Raw_Volunteers!$A$2:$A$926,Raw_Volunteers!A630,Raw_Volunteers!$D$2:$D$926,Raw_Volunteers!D630,Raw_Volunteers!$E$2:$E$926,Raw_Volunteers!E630,Raw_Volunteers!$G$2:$G$926,Raw_Volunteers!G630)&gt;1,"Possible Duplicate","")</f>
        <v/>
      </c>
      <c r="C630" s="9" t="str">
        <f aca="false">Raw_Volunteers!B630</f>
        <v>D1213</v>
      </c>
      <c r="D630" s="9" t="str">
        <f aca="false">IF(C630="","No","Yes")</f>
        <v>Yes</v>
      </c>
      <c r="E630" s="9" t="str">
        <f aca="false">Raw_Volunteers!C630</f>
        <v>Susan Allen</v>
      </c>
      <c r="F630" s="9" t="str">
        <f aca="false">Raw_Volunteers!D630</f>
        <v>05/20/2024</v>
      </c>
      <c r="G630" s="9" t="str">
        <f aca="false">PROPER(TRIM(Raw_Volunteers!E630))</f>
        <v>Mobile Distribution Driver</v>
      </c>
      <c r="H630" s="9" t="str">
        <f aca="false">Raw_Volunteers!F630</f>
        <v>Mobile Unit - Route B</v>
      </c>
      <c r="I630" s="9" t="n">
        <f aca="false">IF(Raw_Volunteers!G630="",ROUND(AVERAGE(Raw_Volunteers!$G$2:$G$926),1),Raw_Volunteers!G630)</f>
        <v>3</v>
      </c>
    </row>
    <row r="631" customFormat="false" ht="15" hidden="false" customHeight="true" outlineLevel="0" collapsed="false">
      <c r="A631" s="9" t="str">
        <f aca="false">Raw_Volunteers!A631</f>
        <v>V2119</v>
      </c>
      <c r="B631" s="9" t="str">
        <f aca="false">IF(COUNTIFS(Raw_Volunteers!$A$2:$A$926,Raw_Volunteers!A631,Raw_Volunteers!$D$2:$D$926,Raw_Volunteers!D631,Raw_Volunteers!$E$2:$E$926,Raw_Volunteers!E631,Raw_Volunteers!$G$2:$G$926,Raw_Volunteers!G631)&gt;1,"Possible Duplicate","")</f>
        <v/>
      </c>
      <c r="C631" s="9" t="str">
        <f aca="false">Raw_Volunteers!B631</f>
        <v>D1213</v>
      </c>
      <c r="D631" s="9" t="str">
        <f aca="false">IF(C631="","No","Yes")</f>
        <v>Yes</v>
      </c>
      <c r="E631" s="9" t="str">
        <f aca="false">Raw_Volunteers!C631</f>
        <v>Susan Allen</v>
      </c>
      <c r="F631" s="9" t="str">
        <f aca="false">Raw_Volunteers!D631</f>
        <v>04/13/2026</v>
      </c>
      <c r="G631" s="9" t="str">
        <f aca="false">PROPER(TRIM(Raw_Volunteers!E631))</f>
        <v>Event Setup</v>
      </c>
      <c r="H631" s="9" t="str">
        <f aca="false">Raw_Volunteers!F631</f>
        <v>Mobile Unit - Route B</v>
      </c>
      <c r="I631" s="9" t="n">
        <f aca="false">IF(Raw_Volunteers!G631="",ROUND(AVERAGE(Raw_Volunteers!$G$2:$G$926),1),Raw_Volunteers!G631)</f>
        <v>2</v>
      </c>
    </row>
    <row r="632" customFormat="false" ht="15" hidden="false" customHeight="true" outlineLevel="0" collapsed="false">
      <c r="A632" s="9" t="str">
        <f aca="false">Raw_Volunteers!A632</f>
        <v>V2120</v>
      </c>
      <c r="B632" s="9" t="str">
        <f aca="false">IF(COUNTIFS(Raw_Volunteers!$A$2:$A$926,Raw_Volunteers!A632,Raw_Volunteers!$D$2:$D$926,Raw_Volunteers!D632,Raw_Volunteers!$E$2:$E$926,Raw_Volunteers!E632,Raw_Volunteers!$G$2:$G$926,Raw_Volunteers!G632)&gt;1,"Possible Duplicate","")</f>
        <v/>
      </c>
      <c r="C632" s="9" t="str">
        <f aca="false">Raw_Volunteers!B632</f>
        <v>D1081</v>
      </c>
      <c r="D632" s="9" t="str">
        <f aca="false">IF(C632="","No","Yes")</f>
        <v>Yes</v>
      </c>
      <c r="E632" s="9" t="str">
        <f aca="false">Raw_Volunteers!C632</f>
        <v>Anthony Thomas</v>
      </c>
      <c r="F632" s="9" t="str">
        <f aca="false">Raw_Volunteers!D632</f>
        <v>07/09/2025</v>
      </c>
      <c r="G632" s="9" t="str">
        <f aca="false">PROPER(TRIM(Raw_Volunteers!E632))</f>
        <v>Food Sorting</v>
      </c>
      <c r="H632" s="9" t="str">
        <f aca="false">Raw_Volunteers!F632</f>
        <v>Main Warehouse</v>
      </c>
      <c r="I632" s="9" t="n">
        <f aca="false">IF(Raw_Volunteers!G632="",ROUND(AVERAGE(Raw_Volunteers!$G$2:$G$926),1),Raw_Volunteers!G632)</f>
        <v>3</v>
      </c>
    </row>
    <row r="633" customFormat="false" ht="15" hidden="false" customHeight="true" outlineLevel="0" collapsed="false">
      <c r="A633" s="9" t="str">
        <f aca="false">Raw_Volunteers!A633</f>
        <v>V2120</v>
      </c>
      <c r="B633" s="9" t="str">
        <f aca="false">IF(COUNTIFS(Raw_Volunteers!$A$2:$A$926,Raw_Volunteers!A633,Raw_Volunteers!$D$2:$D$926,Raw_Volunteers!D633,Raw_Volunteers!$E$2:$E$926,Raw_Volunteers!E633,Raw_Volunteers!$G$2:$G$926,Raw_Volunteers!G633)&gt;1,"Possible Duplicate","")</f>
        <v/>
      </c>
      <c r="C633" s="9" t="str">
        <f aca="false">Raw_Volunteers!B633</f>
        <v>D1081</v>
      </c>
      <c r="D633" s="9" t="str">
        <f aca="false">IF(C633="","No","Yes")</f>
        <v>Yes</v>
      </c>
      <c r="E633" s="9" t="str">
        <f aca="false">Raw_Volunteers!C633</f>
        <v>Anthony Thomas</v>
      </c>
      <c r="F633" s="9" t="str">
        <f aca="false">Raw_Volunteers!D633</f>
        <v>04/10/2025</v>
      </c>
      <c r="G633" s="9" t="str">
        <f aca="false">PROPER(TRIM(Raw_Volunteers!E633))</f>
        <v>Front Desk Greeter</v>
      </c>
      <c r="H633" s="9" t="str">
        <f aca="false">Raw_Volunteers!F633</f>
        <v>Main Warehouse</v>
      </c>
      <c r="I633" s="9" t="n">
        <f aca="false">IF(Raw_Volunteers!G633="",ROUND(AVERAGE(Raw_Volunteers!$G$2:$G$926),1),Raw_Volunteers!G633)</f>
        <v>2</v>
      </c>
    </row>
    <row r="634" customFormat="false" ht="15" hidden="false" customHeight="true" outlineLevel="0" collapsed="false">
      <c r="A634" s="9" t="str">
        <f aca="false">Raw_Volunteers!A634</f>
        <v>V2120</v>
      </c>
      <c r="B634" s="9" t="str">
        <f aca="false">IF(COUNTIFS(Raw_Volunteers!$A$2:$A$926,Raw_Volunteers!A634,Raw_Volunteers!$D$2:$D$926,Raw_Volunteers!D634,Raw_Volunteers!$E$2:$E$926,Raw_Volunteers!E634,Raw_Volunteers!$G$2:$G$926,Raw_Volunteers!G634)&gt;1,"Possible Duplicate","")</f>
        <v/>
      </c>
      <c r="C634" s="9" t="str">
        <f aca="false">Raw_Volunteers!B634</f>
        <v>D1081</v>
      </c>
      <c r="D634" s="9" t="str">
        <f aca="false">IF(C634="","No","Yes")</f>
        <v>Yes</v>
      </c>
      <c r="E634" s="9" t="str">
        <f aca="false">Raw_Volunteers!C634</f>
        <v>Anthony Thomas</v>
      </c>
      <c r="F634" s="9" t="str">
        <f aca="false">Raw_Volunteers!D634</f>
        <v>01/08/2026</v>
      </c>
      <c r="G634" s="9" t="str">
        <f aca="false">PROPER(TRIM(Raw_Volunteers!E634))</f>
        <v>Mobile Distribution Driver</v>
      </c>
      <c r="H634" s="9" t="str">
        <f aca="false">Raw_Volunteers!F634</f>
        <v>Mobile Unit - Route B</v>
      </c>
      <c r="I634" s="9" t="n">
        <f aca="false">IF(Raw_Volunteers!G634="",ROUND(AVERAGE(Raw_Volunteers!$G$2:$G$926),1),Raw_Volunteers!G634)</f>
        <v>3</v>
      </c>
    </row>
    <row r="635" customFormat="false" ht="15" hidden="false" customHeight="true" outlineLevel="0" collapsed="false">
      <c r="A635" s="9" t="str">
        <f aca="false">Raw_Volunteers!A635</f>
        <v>V2121</v>
      </c>
      <c r="B635" s="9" t="str">
        <f aca="false">IF(COUNTIFS(Raw_Volunteers!$A$2:$A$926,Raw_Volunteers!A635,Raw_Volunteers!$D$2:$D$926,Raw_Volunteers!D635,Raw_Volunteers!$E$2:$E$926,Raw_Volunteers!E635,Raw_Volunteers!$G$2:$G$926,Raw_Volunteers!G635)&gt;1,"Possible Duplicate","")</f>
        <v/>
      </c>
      <c r="C635" s="9" t="n">
        <f aca="false">Raw_Volunteers!B635</f>
        <v>0</v>
      </c>
      <c r="D635" s="9" t="str">
        <f aca="false">IF(C635="","No","Yes")</f>
        <v>No</v>
      </c>
      <c r="E635" s="9" t="str">
        <f aca="false">Raw_Volunteers!C635</f>
        <v>Thomas Wilson</v>
      </c>
      <c r="F635" s="9" t="str">
        <f aca="false">Raw_Volunteers!D635</f>
        <v>01/22/2024</v>
      </c>
      <c r="G635" s="9" t="str">
        <f aca="false">PROPER(TRIM(Raw_Volunteers!E635))</f>
        <v>Client Intake Assistant</v>
      </c>
      <c r="H635" s="9" t="str">
        <f aca="false">Raw_Volunteers!F635</f>
        <v>Main Warehouse</v>
      </c>
      <c r="I635" s="9" t="n">
        <f aca="false">IF(Raw_Volunteers!G635="",ROUND(AVERAGE(Raw_Volunteers!$G$2:$G$926),1),Raw_Volunteers!G635)</f>
        <v>3</v>
      </c>
    </row>
    <row r="636" customFormat="false" ht="15" hidden="false" customHeight="true" outlineLevel="0" collapsed="false">
      <c r="A636" s="9" t="str">
        <f aca="false">Raw_Volunteers!A636</f>
        <v>V2121</v>
      </c>
      <c r="B636" s="9" t="str">
        <f aca="false">IF(COUNTIFS(Raw_Volunteers!$A$2:$A$926,Raw_Volunteers!A636,Raw_Volunteers!$D$2:$D$926,Raw_Volunteers!D636,Raw_Volunteers!$E$2:$E$926,Raw_Volunteers!E636,Raw_Volunteers!$G$2:$G$926,Raw_Volunteers!G636)&gt;1,"Possible Duplicate","")</f>
        <v/>
      </c>
      <c r="C636" s="9" t="n">
        <f aca="false">Raw_Volunteers!B636</f>
        <v>0</v>
      </c>
      <c r="D636" s="9" t="str">
        <f aca="false">IF(C636="","No","Yes")</f>
        <v>No</v>
      </c>
      <c r="E636" s="9" t="str">
        <f aca="false">Raw_Volunteers!C636</f>
        <v>Thomas Wilson</v>
      </c>
      <c r="F636" s="9" t="str">
        <f aca="false">Raw_Volunteers!D636</f>
        <v>02/26/2026</v>
      </c>
      <c r="G636" s="9" t="str">
        <f aca="false">PROPER(TRIM(Raw_Volunteers!E636))</f>
        <v>Event Setup</v>
      </c>
      <c r="H636" s="9" t="str">
        <f aca="false">Raw_Volunteers!F636</f>
        <v>Mobile Unit - Route A</v>
      </c>
      <c r="I636" s="9" t="n">
        <f aca="false">IF(Raw_Volunteers!G636="",ROUND(AVERAGE(Raw_Volunteers!$G$2:$G$926),1),Raw_Volunteers!G636)</f>
        <v>3</v>
      </c>
    </row>
    <row r="637" customFormat="false" ht="15" hidden="false" customHeight="true" outlineLevel="0" collapsed="false">
      <c r="A637" s="9" t="str">
        <f aca="false">Raw_Volunteers!A637</f>
        <v>V2121</v>
      </c>
      <c r="B637" s="9" t="str">
        <f aca="false">IF(COUNTIFS(Raw_Volunteers!$A$2:$A$926,Raw_Volunteers!A637,Raw_Volunteers!$D$2:$D$926,Raw_Volunteers!D637,Raw_Volunteers!$E$2:$E$926,Raw_Volunteers!E637,Raw_Volunteers!$G$2:$G$926,Raw_Volunteers!G637)&gt;1,"Possible Duplicate","")</f>
        <v/>
      </c>
      <c r="C637" s="9" t="n">
        <f aca="false">Raw_Volunteers!B637</f>
        <v>0</v>
      </c>
      <c r="D637" s="9" t="str">
        <f aca="false">IF(C637="","No","Yes")</f>
        <v>No</v>
      </c>
      <c r="E637" s="9" t="str">
        <f aca="false">Raw_Volunteers!C637</f>
        <v>Thomas Wilson</v>
      </c>
      <c r="F637" s="9" t="str">
        <f aca="false">Raw_Volunteers!D637</f>
        <v>07/26/2024</v>
      </c>
      <c r="G637" s="9" t="str">
        <f aca="false">PROPER(TRIM(Raw_Volunteers!E637))</f>
        <v>Warehouse Loading</v>
      </c>
      <c r="H637" s="9" t="str">
        <f aca="false">Raw_Volunteers!F637</f>
        <v>Downtown Pantry</v>
      </c>
      <c r="I637" s="9" t="n">
        <f aca="false">IF(Raw_Volunteers!G637="",ROUND(AVERAGE(Raw_Volunteers!$G$2:$G$926),1),Raw_Volunteers!G637)</f>
        <v>3</v>
      </c>
    </row>
    <row r="638" customFormat="false" ht="15" hidden="false" customHeight="true" outlineLevel="0" collapsed="false">
      <c r="A638" s="9" t="str">
        <f aca="false">Raw_Volunteers!A638</f>
        <v>V2121</v>
      </c>
      <c r="B638" s="9" t="str">
        <f aca="false">IF(COUNTIFS(Raw_Volunteers!$A$2:$A$926,Raw_Volunteers!A638,Raw_Volunteers!$D$2:$D$926,Raw_Volunteers!D638,Raw_Volunteers!$E$2:$E$926,Raw_Volunteers!E638,Raw_Volunteers!$G$2:$G$926,Raw_Volunteers!G638)&gt;1,"Possible Duplicate","")</f>
        <v/>
      </c>
      <c r="C638" s="9" t="n">
        <f aca="false">Raw_Volunteers!B638</f>
        <v>0</v>
      </c>
      <c r="D638" s="9" t="str">
        <f aca="false">IF(C638="","No","Yes")</f>
        <v>No</v>
      </c>
      <c r="E638" s="9" t="str">
        <f aca="false">Raw_Volunteers!C638</f>
        <v>Thomas Wilson</v>
      </c>
      <c r="F638" s="9" t="str">
        <f aca="false">Raw_Volunteers!D638</f>
        <v>03/25/2024</v>
      </c>
      <c r="G638" s="9" t="str">
        <f aca="false">PROPER(TRIM(Raw_Volunteers!E638))</f>
        <v>Client Intake Assistant</v>
      </c>
      <c r="H638" s="9" t="str">
        <f aca="false">Raw_Volunteers!F638</f>
        <v>Mobile Unit - Route B</v>
      </c>
      <c r="I638" s="9" t="n">
        <f aca="false">IF(Raw_Volunteers!G638="",ROUND(AVERAGE(Raw_Volunteers!$G$2:$G$926),1),Raw_Volunteers!G638)</f>
        <v>2</v>
      </c>
    </row>
    <row r="639" customFormat="false" ht="15" hidden="false" customHeight="true" outlineLevel="0" collapsed="false">
      <c r="A639" s="9" t="str">
        <f aca="false">Raw_Volunteers!A639</f>
        <v>V2122</v>
      </c>
      <c r="B639" s="9" t="str">
        <f aca="false">IF(COUNTIFS(Raw_Volunteers!$A$2:$A$926,Raw_Volunteers!A639,Raw_Volunteers!$D$2:$D$926,Raw_Volunteers!D639,Raw_Volunteers!$E$2:$E$926,Raw_Volunteers!E639,Raw_Volunteers!$G$2:$G$926,Raw_Volunteers!G639)&gt;1,"Possible Duplicate","")</f>
        <v/>
      </c>
      <c r="C639" s="9" t="n">
        <f aca="false">Raw_Volunteers!B639</f>
        <v>0</v>
      </c>
      <c r="D639" s="9" t="str">
        <f aca="false">IF(C639="","No","Yes")</f>
        <v>No</v>
      </c>
      <c r="E639" s="9" t="str">
        <f aca="false">Raw_Volunteers!C639</f>
        <v>Stephanie Lopez</v>
      </c>
      <c r="F639" s="9" t="str">
        <f aca="false">Raw_Volunteers!D639</f>
        <v>05/08/2024</v>
      </c>
      <c r="G639" s="9" t="str">
        <f aca="false">PROPER(TRIM(Raw_Volunteers!E639))</f>
        <v>Warehouse Loading</v>
      </c>
      <c r="H639" s="9" t="str">
        <f aca="false">Raw_Volunteers!F639</f>
        <v>Mobile Unit - Route B</v>
      </c>
      <c r="I639" s="9" t="n">
        <f aca="false">IF(Raw_Volunteers!G639="",ROUND(AVERAGE(Raw_Volunteers!$G$2:$G$926),1),Raw_Volunteers!G639)</f>
        <v>5</v>
      </c>
    </row>
    <row r="640" customFormat="false" ht="15" hidden="false" customHeight="true" outlineLevel="0" collapsed="false">
      <c r="A640" s="9" t="str">
        <f aca="false">Raw_Volunteers!A640</f>
        <v>V2122</v>
      </c>
      <c r="B640" s="9" t="str">
        <f aca="false">IF(COUNTIFS(Raw_Volunteers!$A$2:$A$926,Raw_Volunteers!A640,Raw_Volunteers!$D$2:$D$926,Raw_Volunteers!D640,Raw_Volunteers!$E$2:$E$926,Raw_Volunteers!E640,Raw_Volunteers!$G$2:$G$926,Raw_Volunteers!G640)&gt;1,"Possible Duplicate","")</f>
        <v/>
      </c>
      <c r="C640" s="9" t="n">
        <f aca="false">Raw_Volunteers!B640</f>
        <v>0</v>
      </c>
      <c r="D640" s="9" t="str">
        <f aca="false">IF(C640="","No","Yes")</f>
        <v>No</v>
      </c>
      <c r="E640" s="9" t="str">
        <f aca="false">Raw_Volunteers!C640</f>
        <v>Stephanie Lopez</v>
      </c>
      <c r="F640" s="9" t="str">
        <f aca="false">Raw_Volunteers!D640</f>
        <v>03/15/2024</v>
      </c>
      <c r="G640" s="9" t="str">
        <f aca="false">PROPER(TRIM(Raw_Volunteers!E640))</f>
        <v>Mobile Distribution Driver</v>
      </c>
      <c r="H640" s="9" t="str">
        <f aca="false">Raw_Volunteers!F640</f>
        <v>Downtown Pantry</v>
      </c>
      <c r="I640" s="9" t="n">
        <f aca="false">IF(Raw_Volunteers!G640="",ROUND(AVERAGE(Raw_Volunteers!$G$2:$G$926),1),Raw_Volunteers!G640)</f>
        <v>3</v>
      </c>
    </row>
    <row r="641" customFormat="false" ht="15" hidden="false" customHeight="true" outlineLevel="0" collapsed="false">
      <c r="A641" s="9" t="str">
        <f aca="false">Raw_Volunteers!A641</f>
        <v>V2122</v>
      </c>
      <c r="B641" s="9" t="str">
        <f aca="false">IF(COUNTIFS(Raw_Volunteers!$A$2:$A$926,Raw_Volunteers!A641,Raw_Volunteers!$D$2:$D$926,Raw_Volunteers!D641,Raw_Volunteers!$E$2:$E$926,Raw_Volunteers!E641,Raw_Volunteers!$G$2:$G$926,Raw_Volunteers!G641)&gt;1,"Possible Duplicate","")</f>
        <v/>
      </c>
      <c r="C641" s="9" t="n">
        <f aca="false">Raw_Volunteers!B641</f>
        <v>0</v>
      </c>
      <c r="D641" s="9" t="str">
        <f aca="false">IF(C641="","No","Yes")</f>
        <v>No</v>
      </c>
      <c r="E641" s="9" t="str">
        <f aca="false">Raw_Volunteers!C641</f>
        <v>Stephanie Lopez</v>
      </c>
      <c r="F641" s="9" t="str">
        <f aca="false">Raw_Volunteers!D641</f>
        <v>08/04/2025</v>
      </c>
      <c r="G641" s="9" t="str">
        <f aca="false">PROPER(TRIM(Raw_Volunteers!E641))</f>
        <v>Food Sorting</v>
      </c>
      <c r="H641" s="9" t="str">
        <f aca="false">Raw_Volunteers!F641</f>
        <v>Mobile Unit - Route B</v>
      </c>
      <c r="I641" s="9" t="n">
        <f aca="false">IF(Raw_Volunteers!G641="",ROUND(AVERAGE(Raw_Volunteers!$G$2:$G$926),1),Raw_Volunteers!G641)</f>
        <v>2</v>
      </c>
    </row>
    <row r="642" customFormat="false" ht="15" hidden="false" customHeight="true" outlineLevel="0" collapsed="false">
      <c r="A642" s="9" t="str">
        <f aca="false">Raw_Volunteers!A642</f>
        <v>V2122</v>
      </c>
      <c r="B642" s="9" t="str">
        <f aca="false">IF(COUNTIFS(Raw_Volunteers!$A$2:$A$926,Raw_Volunteers!A642,Raw_Volunteers!$D$2:$D$926,Raw_Volunteers!D642,Raw_Volunteers!$E$2:$E$926,Raw_Volunteers!E642,Raw_Volunteers!$G$2:$G$926,Raw_Volunteers!G642)&gt;1,"Possible Duplicate","")</f>
        <v/>
      </c>
      <c r="C642" s="9" t="n">
        <f aca="false">Raw_Volunteers!B642</f>
        <v>0</v>
      </c>
      <c r="D642" s="9" t="str">
        <f aca="false">IF(C642="","No","Yes")</f>
        <v>No</v>
      </c>
      <c r="E642" s="9" t="str">
        <f aca="false">Raw_Volunteers!C642</f>
        <v>Stephanie Lopez</v>
      </c>
      <c r="F642" s="9" t="str">
        <f aca="false">Raw_Volunteers!D642</f>
        <v>04/27/2026</v>
      </c>
      <c r="G642" s="9" t="str">
        <f aca="false">PROPER(TRIM(Raw_Volunteers!E642))</f>
        <v>Mobile Distribution Driver</v>
      </c>
      <c r="H642" s="9" t="str">
        <f aca="false">Raw_Volunteers!F642</f>
        <v>Mobile Unit - Route A</v>
      </c>
      <c r="I642" s="9" t="n">
        <f aca="false">IF(Raw_Volunteers!G642="",ROUND(AVERAGE(Raw_Volunteers!$G$2:$G$926),1),Raw_Volunteers!G642)</f>
        <v>3</v>
      </c>
    </row>
    <row r="643" customFormat="false" ht="15" hidden="false" customHeight="true" outlineLevel="0" collapsed="false">
      <c r="A643" s="9" t="str">
        <f aca="false">Raw_Volunteers!A643</f>
        <v>V2123</v>
      </c>
      <c r="B643" s="9" t="str">
        <f aca="false">IF(COUNTIFS(Raw_Volunteers!$A$2:$A$926,Raw_Volunteers!A643,Raw_Volunteers!$D$2:$D$926,Raw_Volunteers!D643,Raw_Volunteers!$E$2:$E$926,Raw_Volunteers!E643,Raw_Volunteers!$G$2:$G$926,Raw_Volunteers!G643)&gt;1,"Possible Duplicate","")</f>
        <v/>
      </c>
      <c r="C643" s="9" t="n">
        <f aca="false">Raw_Volunteers!B643</f>
        <v>0</v>
      </c>
      <c r="D643" s="9" t="str">
        <f aca="false">IF(C643="","No","Yes")</f>
        <v>No</v>
      </c>
      <c r="E643" s="9" t="str">
        <f aca="false">Raw_Volunteers!C643</f>
        <v>Melissa Robinson</v>
      </c>
      <c r="F643" s="9" t="str">
        <f aca="false">Raw_Volunteers!D643</f>
        <v>01/21/2024</v>
      </c>
      <c r="G643" s="9" t="str">
        <f aca="false">PROPER(TRIM(Raw_Volunteers!E643))</f>
        <v>Holiday Box Packing</v>
      </c>
      <c r="H643" s="9" t="str">
        <f aca="false">Raw_Volunteers!F643</f>
        <v>Community Center Site</v>
      </c>
      <c r="I643" s="9" t="n">
        <f aca="false">IF(Raw_Volunteers!G643="",ROUND(AVERAGE(Raw_Volunteers!$G$2:$G$926),1),Raw_Volunteers!G643)</f>
        <v>3</v>
      </c>
    </row>
    <row r="644" customFormat="false" ht="15" hidden="false" customHeight="true" outlineLevel="0" collapsed="false">
      <c r="A644" s="9" t="str">
        <f aca="false">Raw_Volunteers!A644</f>
        <v>V2124</v>
      </c>
      <c r="B644" s="9" t="str">
        <f aca="false">IF(COUNTIFS(Raw_Volunteers!$A$2:$A$926,Raw_Volunteers!A644,Raw_Volunteers!$D$2:$D$926,Raw_Volunteers!D644,Raw_Volunteers!$E$2:$E$926,Raw_Volunteers!E644,Raw_Volunteers!$G$2:$G$926,Raw_Volunteers!G644)&gt;1,"Possible Duplicate","")</f>
        <v/>
      </c>
      <c r="C644" s="9" t="n">
        <f aca="false">Raw_Volunteers!B644</f>
        <v>0</v>
      </c>
      <c r="D644" s="9" t="str">
        <f aca="false">IF(C644="","No","Yes")</f>
        <v>No</v>
      </c>
      <c r="E644" s="9" t="str">
        <f aca="false">Raw_Volunteers!C644</f>
        <v>Michael Gonzalez</v>
      </c>
      <c r="F644" s="9" t="str">
        <f aca="false">Raw_Volunteers!D644</f>
        <v>11/10/2025</v>
      </c>
      <c r="G644" s="9" t="str">
        <f aca="false">PROPER(TRIM(Raw_Volunteers!E644))</f>
        <v>Mobile Distribution Driver</v>
      </c>
      <c r="H644" s="9" t="str">
        <f aca="false">Raw_Volunteers!F644</f>
        <v>Downtown Pantry</v>
      </c>
      <c r="I644" s="9" t="n">
        <f aca="false">IF(Raw_Volunteers!G644="",ROUND(AVERAGE(Raw_Volunteers!$G$2:$G$926),1),Raw_Volunteers!G644)</f>
        <v>4</v>
      </c>
    </row>
    <row r="645" customFormat="false" ht="15" hidden="false" customHeight="true" outlineLevel="0" collapsed="false">
      <c r="A645" s="9" t="str">
        <f aca="false">Raw_Volunteers!A645</f>
        <v>V2124</v>
      </c>
      <c r="B645" s="9" t="str">
        <f aca="false">IF(COUNTIFS(Raw_Volunteers!$A$2:$A$926,Raw_Volunteers!A645,Raw_Volunteers!$D$2:$D$926,Raw_Volunteers!D645,Raw_Volunteers!$E$2:$E$926,Raw_Volunteers!E645,Raw_Volunteers!$G$2:$G$926,Raw_Volunteers!G645)&gt;1,"Possible Duplicate","")</f>
        <v/>
      </c>
      <c r="C645" s="9" t="n">
        <f aca="false">Raw_Volunteers!B645</f>
        <v>0</v>
      </c>
      <c r="D645" s="9" t="str">
        <f aca="false">IF(C645="","No","Yes")</f>
        <v>No</v>
      </c>
      <c r="E645" s="9" t="str">
        <f aca="false">Raw_Volunteers!C645</f>
        <v>Michael Gonzalez</v>
      </c>
      <c r="F645" s="9" t="str">
        <f aca="false">Raw_Volunteers!D645</f>
        <v>04/08/2025</v>
      </c>
      <c r="G645" s="9" t="str">
        <f aca="false">PROPER(TRIM(Raw_Volunteers!E645))</f>
        <v>Mobile Distribution Driver</v>
      </c>
      <c r="H645" s="9" t="str">
        <f aca="false">Raw_Volunteers!F645</f>
        <v>Main Warehouse</v>
      </c>
      <c r="I645" s="9" t="n">
        <f aca="false">IF(Raw_Volunteers!G645="",ROUND(AVERAGE(Raw_Volunteers!$G$2:$G$926),1),Raw_Volunteers!G645)</f>
        <v>2</v>
      </c>
    </row>
    <row r="646" customFormat="false" ht="15" hidden="false" customHeight="true" outlineLevel="0" collapsed="false">
      <c r="A646" s="9" t="str">
        <f aca="false">Raw_Volunteers!A646</f>
        <v>V2124</v>
      </c>
      <c r="B646" s="9" t="str">
        <f aca="false">IF(COUNTIFS(Raw_Volunteers!$A$2:$A$926,Raw_Volunteers!A646,Raw_Volunteers!$D$2:$D$926,Raw_Volunteers!D646,Raw_Volunteers!$E$2:$E$926,Raw_Volunteers!E646,Raw_Volunteers!$G$2:$G$926,Raw_Volunteers!G646)&gt;1,"Possible Duplicate","")</f>
        <v/>
      </c>
      <c r="C646" s="9" t="n">
        <f aca="false">Raw_Volunteers!B646</f>
        <v>0</v>
      </c>
      <c r="D646" s="9" t="str">
        <f aca="false">IF(C646="","No","Yes")</f>
        <v>No</v>
      </c>
      <c r="E646" s="9" t="str">
        <f aca="false">Raw_Volunteers!C646</f>
        <v>Michael Gonzalez</v>
      </c>
      <c r="F646" s="9" t="str">
        <f aca="false">Raw_Volunteers!D646</f>
        <v>02/07/2025</v>
      </c>
      <c r="G646" s="9" t="str">
        <f aca="false">PROPER(TRIM(Raw_Volunteers!E646))</f>
        <v>Pantry Stocking</v>
      </c>
      <c r="H646" s="9" t="str">
        <f aca="false">Raw_Volunteers!F646</f>
        <v>Main Warehouse</v>
      </c>
      <c r="I646" s="9" t="n">
        <f aca="false">IF(Raw_Volunteers!G646="",ROUND(AVERAGE(Raw_Volunteers!$G$2:$G$926),1),Raw_Volunteers!G646)</f>
        <v>2</v>
      </c>
    </row>
    <row r="647" customFormat="false" ht="15" hidden="false" customHeight="true" outlineLevel="0" collapsed="false">
      <c r="A647" s="9" t="str">
        <f aca="false">Raw_Volunteers!A647</f>
        <v>V2124</v>
      </c>
      <c r="B647" s="9" t="str">
        <f aca="false">IF(COUNTIFS(Raw_Volunteers!$A$2:$A$926,Raw_Volunteers!A647,Raw_Volunteers!$D$2:$D$926,Raw_Volunteers!D647,Raw_Volunteers!$E$2:$E$926,Raw_Volunteers!E647,Raw_Volunteers!$G$2:$G$926,Raw_Volunteers!G647)&gt;1,"Possible Duplicate","")</f>
        <v/>
      </c>
      <c r="C647" s="9" t="n">
        <f aca="false">Raw_Volunteers!B647</f>
        <v>0</v>
      </c>
      <c r="D647" s="9" t="str">
        <f aca="false">IF(C647="","No","Yes")</f>
        <v>No</v>
      </c>
      <c r="E647" s="9" t="str">
        <f aca="false">Raw_Volunteers!C647</f>
        <v>Michael Gonzalez</v>
      </c>
      <c r="F647" s="9" t="str">
        <f aca="false">Raw_Volunteers!D647</f>
        <v>10/05/2025</v>
      </c>
      <c r="G647" s="9" t="str">
        <f aca="false">PROPER(TRIM(Raw_Volunteers!E647))</f>
        <v>Client Intake Assistant</v>
      </c>
      <c r="H647" s="9" t="str">
        <f aca="false">Raw_Volunteers!F647</f>
        <v>Mobile Unit - Route B</v>
      </c>
      <c r="I647" s="9" t="n">
        <f aca="false">IF(Raw_Volunteers!G647="",ROUND(AVERAGE(Raw_Volunteers!$G$2:$G$926),1),Raw_Volunteers!G647)</f>
        <v>3</v>
      </c>
    </row>
    <row r="648" customFormat="false" ht="15" hidden="false" customHeight="true" outlineLevel="0" collapsed="false">
      <c r="A648" s="9" t="str">
        <f aca="false">Raw_Volunteers!A648</f>
        <v>V2124</v>
      </c>
      <c r="B648" s="9" t="str">
        <f aca="false">IF(COUNTIFS(Raw_Volunteers!$A$2:$A$926,Raw_Volunteers!A648,Raw_Volunteers!$D$2:$D$926,Raw_Volunteers!D648,Raw_Volunteers!$E$2:$E$926,Raw_Volunteers!E648,Raw_Volunteers!$G$2:$G$926,Raw_Volunteers!G648)&gt;1,"Possible Duplicate","")</f>
        <v/>
      </c>
      <c r="C648" s="9" t="n">
        <f aca="false">Raw_Volunteers!B648</f>
        <v>0</v>
      </c>
      <c r="D648" s="9" t="str">
        <f aca="false">IF(C648="","No","Yes")</f>
        <v>No</v>
      </c>
      <c r="E648" s="9" t="str">
        <f aca="false">Raw_Volunteers!C648</f>
        <v>Michael Gonzalez</v>
      </c>
      <c r="F648" s="9" t="str">
        <f aca="false">Raw_Volunteers!D648</f>
        <v>05/07/2024</v>
      </c>
      <c r="G648" s="9" t="str">
        <f aca="false">PROPER(TRIM(Raw_Volunteers!E648))</f>
        <v>Warehouse Loading</v>
      </c>
      <c r="H648" s="9" t="str">
        <f aca="false">Raw_Volunteers!F648</f>
        <v>Downtown Pantry</v>
      </c>
      <c r="I648" s="9" t="n">
        <f aca="false">IF(Raw_Volunteers!G648="",ROUND(AVERAGE(Raw_Volunteers!$G$2:$G$926),1),Raw_Volunteers!G648)</f>
        <v>3</v>
      </c>
    </row>
    <row r="649" customFormat="false" ht="15" hidden="false" customHeight="true" outlineLevel="0" collapsed="false">
      <c r="A649" s="9" t="str">
        <f aca="false">Raw_Volunteers!A649</f>
        <v>V2124</v>
      </c>
      <c r="B649" s="9" t="str">
        <f aca="false">IF(COUNTIFS(Raw_Volunteers!$A$2:$A$926,Raw_Volunteers!A649,Raw_Volunteers!$D$2:$D$926,Raw_Volunteers!D649,Raw_Volunteers!$E$2:$E$926,Raw_Volunteers!E649,Raw_Volunteers!$G$2:$G$926,Raw_Volunteers!G649)&gt;1,"Possible Duplicate","")</f>
        <v/>
      </c>
      <c r="C649" s="9" t="n">
        <f aca="false">Raw_Volunteers!B649</f>
        <v>0</v>
      </c>
      <c r="D649" s="9" t="str">
        <f aca="false">IF(C649="","No","Yes")</f>
        <v>No</v>
      </c>
      <c r="E649" s="9" t="str">
        <f aca="false">Raw_Volunteers!C649</f>
        <v>Michael Gonzalez</v>
      </c>
      <c r="F649" s="9" t="str">
        <f aca="false">Raw_Volunteers!D649</f>
        <v>09/25/2024</v>
      </c>
      <c r="G649" s="9" t="str">
        <f aca="false">PROPER(TRIM(Raw_Volunteers!E649))</f>
        <v>Food Sorting</v>
      </c>
      <c r="H649" s="9" t="str">
        <f aca="false">Raw_Volunteers!F649</f>
        <v>Downtown Pantry</v>
      </c>
      <c r="I649" s="9" t="n">
        <f aca="false">IF(Raw_Volunteers!G649="",ROUND(AVERAGE(Raw_Volunteers!$G$2:$G$926),1),Raw_Volunteers!G649)</f>
        <v>5</v>
      </c>
    </row>
    <row r="650" customFormat="false" ht="15" hidden="false" customHeight="true" outlineLevel="0" collapsed="false">
      <c r="A650" s="9" t="str">
        <f aca="false">Raw_Volunteers!A650</f>
        <v>V2125</v>
      </c>
      <c r="B650" s="9" t="str">
        <f aca="false">IF(COUNTIFS(Raw_Volunteers!$A$2:$A$926,Raw_Volunteers!A650,Raw_Volunteers!$D$2:$D$926,Raw_Volunteers!D650,Raw_Volunteers!$E$2:$E$926,Raw_Volunteers!E650,Raw_Volunteers!$G$2:$G$926,Raw_Volunteers!G650)&gt;1,"Possible Duplicate","")</f>
        <v/>
      </c>
      <c r="C650" s="9" t="n">
        <f aca="false">Raw_Volunteers!B650</f>
        <v>0</v>
      </c>
      <c r="D650" s="9" t="str">
        <f aca="false">IF(C650="","No","Yes")</f>
        <v>No</v>
      </c>
      <c r="E650" s="9" t="str">
        <f aca="false">Raw_Volunteers!C650</f>
        <v>Brian Harris</v>
      </c>
      <c r="F650" s="9" t="str">
        <f aca="false">Raw_Volunteers!D650</f>
        <v>03/05/2025</v>
      </c>
      <c r="G650" s="9" t="str">
        <f aca="false">PROPER(TRIM(Raw_Volunteers!E650))</f>
        <v>Holiday Box Packing</v>
      </c>
      <c r="H650" s="9" t="str">
        <f aca="false">Raw_Volunteers!F650</f>
        <v>Downtown Pantry</v>
      </c>
      <c r="I650" s="9" t="n">
        <f aca="false">IF(Raw_Volunteers!G650="",ROUND(AVERAGE(Raw_Volunteers!$G$2:$G$926),1),Raw_Volunteers!G650)</f>
        <v>3</v>
      </c>
    </row>
    <row r="651" customFormat="false" ht="15" hidden="false" customHeight="true" outlineLevel="0" collapsed="false">
      <c r="A651" s="9" t="str">
        <f aca="false">Raw_Volunteers!A651</f>
        <v>V2126</v>
      </c>
      <c r="B651" s="9" t="str">
        <f aca="false">IF(COUNTIFS(Raw_Volunteers!$A$2:$A$926,Raw_Volunteers!A651,Raw_Volunteers!$D$2:$D$926,Raw_Volunteers!D651,Raw_Volunteers!$E$2:$E$926,Raw_Volunteers!E651,Raw_Volunteers!$G$2:$G$926,Raw_Volunteers!G651)&gt;1,"Possible Duplicate","")</f>
        <v/>
      </c>
      <c r="C651" s="9" t="n">
        <f aca="false">Raw_Volunteers!B651</f>
        <v>0</v>
      </c>
      <c r="D651" s="9" t="str">
        <f aca="false">IF(C651="","No","Yes")</f>
        <v>No</v>
      </c>
      <c r="E651" s="9" t="str">
        <f aca="false">Raw_Volunteers!C651</f>
        <v>Kimberly Scott</v>
      </c>
      <c r="F651" s="9" t="str">
        <f aca="false">Raw_Volunteers!D651</f>
        <v>01/16/2026</v>
      </c>
      <c r="G651" s="9" t="str">
        <f aca="false">PROPER(TRIM(Raw_Volunteers!E651))</f>
        <v>Client Intake Assistant</v>
      </c>
      <c r="H651" s="9" t="str">
        <f aca="false">Raw_Volunteers!F651</f>
        <v>Mobile Unit - Route A</v>
      </c>
      <c r="I651" s="9" t="n">
        <f aca="false">IF(Raw_Volunteers!G651="",ROUND(AVERAGE(Raw_Volunteers!$G$2:$G$926),1),Raw_Volunteers!G651)</f>
        <v>2</v>
      </c>
    </row>
    <row r="652" customFormat="false" ht="15" hidden="false" customHeight="true" outlineLevel="0" collapsed="false">
      <c r="A652" s="9" t="str">
        <f aca="false">Raw_Volunteers!A652</f>
        <v>V2126</v>
      </c>
      <c r="B652" s="9" t="str">
        <f aca="false">IF(COUNTIFS(Raw_Volunteers!$A$2:$A$926,Raw_Volunteers!A652,Raw_Volunteers!$D$2:$D$926,Raw_Volunteers!D652,Raw_Volunteers!$E$2:$E$926,Raw_Volunteers!E652,Raw_Volunteers!$G$2:$G$926,Raw_Volunteers!G652)&gt;1,"Possible Duplicate","")</f>
        <v/>
      </c>
      <c r="C652" s="9" t="n">
        <f aca="false">Raw_Volunteers!B652</f>
        <v>0</v>
      </c>
      <c r="D652" s="9" t="str">
        <f aca="false">IF(C652="","No","Yes")</f>
        <v>No</v>
      </c>
      <c r="E652" s="9" t="str">
        <f aca="false">Raw_Volunteers!C652</f>
        <v>Kimberly Scott</v>
      </c>
      <c r="F652" s="9" t="str">
        <f aca="false">Raw_Volunteers!D652</f>
        <v>01/24/2026</v>
      </c>
      <c r="G652" s="9" t="str">
        <f aca="false">PROPER(TRIM(Raw_Volunteers!E652))</f>
        <v>Event Setup</v>
      </c>
      <c r="H652" s="9" t="str">
        <f aca="false">Raw_Volunteers!F652</f>
        <v>Mobile Unit - Route B</v>
      </c>
      <c r="I652" s="9" t="n">
        <f aca="false">IF(Raw_Volunteers!G652="",ROUND(AVERAGE(Raw_Volunteers!$G$2:$G$926),1),Raw_Volunteers!G652)</f>
        <v>3</v>
      </c>
    </row>
    <row r="653" customFormat="false" ht="15" hidden="false" customHeight="true" outlineLevel="0" collapsed="false">
      <c r="A653" s="9" t="str">
        <f aca="false">Raw_Volunteers!A653</f>
        <v>V2127</v>
      </c>
      <c r="B653" s="9" t="str">
        <f aca="false">IF(COUNTIFS(Raw_Volunteers!$A$2:$A$926,Raw_Volunteers!A653,Raw_Volunteers!$D$2:$D$926,Raw_Volunteers!D653,Raw_Volunteers!$E$2:$E$926,Raw_Volunteers!E653,Raw_Volunteers!$G$2:$G$926,Raw_Volunteers!G653)&gt;1,"Possible Duplicate","")</f>
        <v/>
      </c>
      <c r="C653" s="9" t="n">
        <f aca="false">Raw_Volunteers!B653</f>
        <v>0</v>
      </c>
      <c r="D653" s="9" t="str">
        <f aca="false">IF(C653="","No","Yes")</f>
        <v>No</v>
      </c>
      <c r="E653" s="9" t="str">
        <f aca="false">Raw_Volunteers!C653</f>
        <v>Patricia Lee</v>
      </c>
      <c r="F653" s="9" t="str">
        <f aca="false">Raw_Volunteers!D653</f>
        <v>09/05/2025</v>
      </c>
      <c r="G653" s="9" t="str">
        <f aca="false">PROPER(TRIM(Raw_Volunteers!E653))</f>
        <v>Event Setup</v>
      </c>
      <c r="H653" s="9" t="str">
        <f aca="false">Raw_Volunteers!F653</f>
        <v>Downtown Pantry</v>
      </c>
      <c r="I653" s="9" t="n">
        <f aca="false">IF(Raw_Volunteers!G653="",ROUND(AVERAGE(Raw_Volunteers!$G$2:$G$926),1),Raw_Volunteers!G653)</f>
        <v>2</v>
      </c>
    </row>
    <row r="654" customFormat="false" ht="15" hidden="false" customHeight="true" outlineLevel="0" collapsed="false">
      <c r="A654" s="9" t="str">
        <f aca="false">Raw_Volunteers!A654</f>
        <v>V2127</v>
      </c>
      <c r="B654" s="9" t="str">
        <f aca="false">IF(COUNTIFS(Raw_Volunteers!$A$2:$A$926,Raw_Volunteers!A654,Raw_Volunteers!$D$2:$D$926,Raw_Volunteers!D654,Raw_Volunteers!$E$2:$E$926,Raw_Volunteers!E654,Raw_Volunteers!$G$2:$G$926,Raw_Volunteers!G654)&gt;1,"Possible Duplicate","")</f>
        <v/>
      </c>
      <c r="C654" s="9" t="n">
        <f aca="false">Raw_Volunteers!B654</f>
        <v>0</v>
      </c>
      <c r="D654" s="9" t="str">
        <f aca="false">IF(C654="","No","Yes")</f>
        <v>No</v>
      </c>
      <c r="E654" s="9" t="str">
        <f aca="false">Raw_Volunteers!C654</f>
        <v>Patricia Lee</v>
      </c>
      <c r="F654" s="9" t="str">
        <f aca="false">Raw_Volunteers!D654</f>
        <v>09/10/2024</v>
      </c>
      <c r="G654" s="9" t="str">
        <f aca="false">PROPER(TRIM(Raw_Volunteers!E654))</f>
        <v>Food Sorting</v>
      </c>
      <c r="H654" s="9" t="str">
        <f aca="false">Raw_Volunteers!F654</f>
        <v>Mobile Unit - Route A</v>
      </c>
      <c r="I654" s="9" t="n">
        <f aca="false">IF(Raw_Volunteers!G654="",ROUND(AVERAGE(Raw_Volunteers!$G$2:$G$926),1),Raw_Volunteers!G654)</f>
        <v>4</v>
      </c>
    </row>
    <row r="655" customFormat="false" ht="15" hidden="false" customHeight="true" outlineLevel="0" collapsed="false">
      <c r="A655" s="9" t="str">
        <f aca="false">Raw_Volunteers!A655</f>
        <v>V2128</v>
      </c>
      <c r="B655" s="9" t="str">
        <f aca="false">IF(COUNTIFS(Raw_Volunteers!$A$2:$A$926,Raw_Volunteers!A655,Raw_Volunteers!$D$2:$D$926,Raw_Volunteers!D655,Raw_Volunteers!$E$2:$E$926,Raw_Volunteers!E655,Raw_Volunteers!$G$2:$G$926,Raw_Volunteers!G655)&gt;1,"Possible Duplicate","")</f>
        <v/>
      </c>
      <c r="C655" s="9" t="n">
        <f aca="false">Raw_Volunteers!B655</f>
        <v>0</v>
      </c>
      <c r="D655" s="9" t="str">
        <f aca="false">IF(C655="","No","Yes")</f>
        <v>No</v>
      </c>
      <c r="E655" s="9" t="str">
        <f aca="false">Raw_Volunteers!C655</f>
        <v>Donald Davis</v>
      </c>
      <c r="F655" s="9" t="str">
        <f aca="false">Raw_Volunteers!D655</f>
        <v>05/25/2024</v>
      </c>
      <c r="G655" s="9" t="str">
        <f aca="false">PROPER(TRIM(Raw_Volunteers!E655))</f>
        <v>Client Intake Assistant</v>
      </c>
      <c r="H655" s="9" t="str">
        <f aca="false">Raw_Volunteers!F655</f>
        <v>Mobile Unit - Route B</v>
      </c>
      <c r="I655" s="9" t="n">
        <f aca="false">IF(Raw_Volunteers!G655="",ROUND(AVERAGE(Raw_Volunteers!$G$2:$G$926),1),Raw_Volunteers!G655)</f>
        <v>3</v>
      </c>
    </row>
    <row r="656" customFormat="false" ht="15" hidden="false" customHeight="true" outlineLevel="0" collapsed="false">
      <c r="A656" s="9" t="str">
        <f aca="false">Raw_Volunteers!A656</f>
        <v>V2128</v>
      </c>
      <c r="B656" s="9" t="str">
        <f aca="false">IF(COUNTIFS(Raw_Volunteers!$A$2:$A$926,Raw_Volunteers!A656,Raw_Volunteers!$D$2:$D$926,Raw_Volunteers!D656,Raw_Volunteers!$E$2:$E$926,Raw_Volunteers!E656,Raw_Volunteers!$G$2:$G$926,Raw_Volunteers!G656)&gt;1,"Possible Duplicate","")</f>
        <v/>
      </c>
      <c r="C656" s="9" t="n">
        <f aca="false">Raw_Volunteers!B656</f>
        <v>0</v>
      </c>
      <c r="D656" s="9" t="str">
        <f aca="false">IF(C656="","No","Yes")</f>
        <v>No</v>
      </c>
      <c r="E656" s="9" t="str">
        <f aca="false">Raw_Volunteers!C656</f>
        <v>Donald Davis</v>
      </c>
      <c r="F656" s="9" t="str">
        <f aca="false">Raw_Volunteers!D656</f>
        <v>02/12/2024</v>
      </c>
      <c r="G656" s="9" t="str">
        <f aca="false">PROPER(TRIM(Raw_Volunteers!E656))</f>
        <v>Warehouse Loading</v>
      </c>
      <c r="H656" s="9" t="str">
        <f aca="false">Raw_Volunteers!F656</f>
        <v>Mobile Unit - Route A</v>
      </c>
      <c r="I656" s="9" t="n">
        <f aca="false">IF(Raw_Volunteers!G656="",ROUND(AVERAGE(Raw_Volunteers!$G$2:$G$926),1),Raw_Volunteers!G656)</f>
        <v>3</v>
      </c>
    </row>
    <row r="657" customFormat="false" ht="15" hidden="false" customHeight="true" outlineLevel="0" collapsed="false">
      <c r="A657" s="9" t="str">
        <f aca="false">Raw_Volunteers!A657</f>
        <v>V2129</v>
      </c>
      <c r="B657" s="9" t="str">
        <f aca="false">IF(COUNTIFS(Raw_Volunteers!$A$2:$A$926,Raw_Volunteers!A657,Raw_Volunteers!$D$2:$D$926,Raw_Volunteers!D657,Raw_Volunteers!$E$2:$E$926,Raw_Volunteers!E657,Raw_Volunteers!$G$2:$G$926,Raw_Volunteers!G657)&gt;1,"Possible Duplicate","")</f>
        <v/>
      </c>
      <c r="C657" s="9" t="n">
        <f aca="false">Raw_Volunteers!B657</f>
        <v>0</v>
      </c>
      <c r="D657" s="9" t="str">
        <f aca="false">IF(C657="","No","Yes")</f>
        <v>No</v>
      </c>
      <c r="E657" s="9" t="str">
        <f aca="false">Raw_Volunteers!C657</f>
        <v>Patricia Gonzalez</v>
      </c>
      <c r="F657" s="9" t="str">
        <f aca="false">Raw_Volunteers!D657</f>
        <v>07/15/2025</v>
      </c>
      <c r="G657" s="9" t="str">
        <f aca="false">PROPER(TRIM(Raw_Volunteers!E657))</f>
        <v>Food Sorting</v>
      </c>
      <c r="H657" s="9" t="str">
        <f aca="false">Raw_Volunteers!F657</f>
        <v>Main Warehouse</v>
      </c>
      <c r="I657" s="9" t="n">
        <f aca="false">IF(Raw_Volunteers!G657="",ROUND(AVERAGE(Raw_Volunteers!$G$2:$G$926),1),Raw_Volunteers!G657)</f>
        <v>2</v>
      </c>
    </row>
    <row r="658" customFormat="false" ht="15" hidden="false" customHeight="true" outlineLevel="0" collapsed="false">
      <c r="A658" s="9" t="str">
        <f aca="false">Raw_Volunteers!A658</f>
        <v>V2129</v>
      </c>
      <c r="B658" s="9" t="str">
        <f aca="false">IF(COUNTIFS(Raw_Volunteers!$A$2:$A$926,Raw_Volunteers!A658,Raw_Volunteers!$D$2:$D$926,Raw_Volunteers!D658,Raw_Volunteers!$E$2:$E$926,Raw_Volunteers!E658,Raw_Volunteers!$G$2:$G$926,Raw_Volunteers!G658)&gt;1,"Possible Duplicate","")</f>
        <v/>
      </c>
      <c r="C658" s="9" t="n">
        <f aca="false">Raw_Volunteers!B658</f>
        <v>0</v>
      </c>
      <c r="D658" s="9" t="str">
        <f aca="false">IF(C658="","No","Yes")</f>
        <v>No</v>
      </c>
      <c r="E658" s="9" t="str">
        <f aca="false">Raw_Volunteers!C658</f>
        <v>Patricia Gonzalez</v>
      </c>
      <c r="F658" s="9" t="str">
        <f aca="false">Raw_Volunteers!D658</f>
        <v>10/03/2024</v>
      </c>
      <c r="G658" s="9" t="str">
        <f aca="false">PROPER(TRIM(Raw_Volunteers!E658))</f>
        <v>Warehouse Loading</v>
      </c>
      <c r="H658" s="9" t="str">
        <f aca="false">Raw_Volunteers!F658</f>
        <v>Main Warehouse</v>
      </c>
      <c r="I658" s="9" t="n">
        <f aca="false">IF(Raw_Volunteers!G658="",ROUND(AVERAGE(Raw_Volunteers!$G$2:$G$926),1),Raw_Volunteers!G658)</f>
        <v>2</v>
      </c>
    </row>
    <row r="659" customFormat="false" ht="15" hidden="false" customHeight="true" outlineLevel="0" collapsed="false">
      <c r="A659" s="9" t="str">
        <f aca="false">Raw_Volunteers!A659</f>
        <v>V2129</v>
      </c>
      <c r="B659" s="9" t="str">
        <f aca="false">IF(COUNTIFS(Raw_Volunteers!$A$2:$A$926,Raw_Volunteers!A659,Raw_Volunteers!$D$2:$D$926,Raw_Volunteers!D659,Raw_Volunteers!$E$2:$E$926,Raw_Volunteers!E659,Raw_Volunteers!$G$2:$G$926,Raw_Volunteers!G659)&gt;1,"Possible Duplicate","")</f>
        <v/>
      </c>
      <c r="C659" s="9" t="n">
        <f aca="false">Raw_Volunteers!B659</f>
        <v>0</v>
      </c>
      <c r="D659" s="9" t="str">
        <f aca="false">IF(C659="","No","Yes")</f>
        <v>No</v>
      </c>
      <c r="E659" s="9" t="str">
        <f aca="false">Raw_Volunteers!C659</f>
        <v>Patricia Gonzalez</v>
      </c>
      <c r="F659" s="9" t="str">
        <f aca="false">Raw_Volunteers!D659</f>
        <v>05/18/2026</v>
      </c>
      <c r="G659" s="9" t="str">
        <f aca="false">PROPER(TRIM(Raw_Volunteers!E659))</f>
        <v>Event Setup</v>
      </c>
      <c r="H659" s="9" t="str">
        <f aca="false">Raw_Volunteers!F659</f>
        <v>Downtown Pantry</v>
      </c>
      <c r="I659" s="9" t="n">
        <f aca="false">IF(Raw_Volunteers!G659="",ROUND(AVERAGE(Raw_Volunteers!$G$2:$G$926),1),Raw_Volunteers!G659)</f>
        <v>3</v>
      </c>
    </row>
    <row r="660" customFormat="false" ht="15" hidden="false" customHeight="true" outlineLevel="0" collapsed="false">
      <c r="A660" s="9" t="str">
        <f aca="false">Raw_Volunteers!A660</f>
        <v>V2129</v>
      </c>
      <c r="B660" s="9" t="str">
        <f aca="false">IF(COUNTIFS(Raw_Volunteers!$A$2:$A$926,Raw_Volunteers!A660,Raw_Volunteers!$D$2:$D$926,Raw_Volunteers!D660,Raw_Volunteers!$E$2:$E$926,Raw_Volunteers!E660,Raw_Volunteers!$G$2:$G$926,Raw_Volunteers!G660)&gt;1,"Possible Duplicate","")</f>
        <v/>
      </c>
      <c r="C660" s="9" t="n">
        <f aca="false">Raw_Volunteers!B660</f>
        <v>0</v>
      </c>
      <c r="D660" s="9" t="str">
        <f aca="false">IF(C660="","No","Yes")</f>
        <v>No</v>
      </c>
      <c r="E660" s="9" t="str">
        <f aca="false">Raw_Volunteers!C660</f>
        <v>Patricia Gonzalez</v>
      </c>
      <c r="F660" s="9" t="str">
        <f aca="false">Raw_Volunteers!D660</f>
        <v>05/18/2024</v>
      </c>
      <c r="G660" s="9" t="str">
        <f aca="false">PROPER(TRIM(Raw_Volunteers!E660))</f>
        <v>Front Desk Greeter</v>
      </c>
      <c r="H660" s="9" t="str">
        <f aca="false">Raw_Volunteers!F660</f>
        <v>Mobile Unit - Route B</v>
      </c>
      <c r="I660" s="9" t="n">
        <f aca="false">IF(Raw_Volunteers!G660="",ROUND(AVERAGE(Raw_Volunteers!$G$2:$G$926),1),Raw_Volunteers!G660)</f>
        <v>2</v>
      </c>
    </row>
    <row r="661" customFormat="false" ht="15" hidden="false" customHeight="true" outlineLevel="0" collapsed="false">
      <c r="A661" s="9" t="str">
        <f aca="false">Raw_Volunteers!A661</f>
        <v>V2129</v>
      </c>
      <c r="B661" s="9" t="str">
        <f aca="false">IF(COUNTIFS(Raw_Volunteers!$A$2:$A$926,Raw_Volunteers!A661,Raw_Volunteers!$D$2:$D$926,Raw_Volunteers!D661,Raw_Volunteers!$E$2:$E$926,Raw_Volunteers!E661,Raw_Volunteers!$G$2:$G$926,Raw_Volunteers!G661)&gt;1,"Possible Duplicate","")</f>
        <v/>
      </c>
      <c r="C661" s="9" t="n">
        <f aca="false">Raw_Volunteers!B661</f>
        <v>0</v>
      </c>
      <c r="D661" s="9" t="str">
        <f aca="false">IF(C661="","No","Yes")</f>
        <v>No</v>
      </c>
      <c r="E661" s="9" t="str">
        <f aca="false">Raw_Volunteers!C661</f>
        <v>Patricia Gonzalez</v>
      </c>
      <c r="F661" s="9" t="str">
        <f aca="false">Raw_Volunteers!D661</f>
        <v>10/28/2024</v>
      </c>
      <c r="G661" s="9" t="str">
        <f aca="false">PROPER(TRIM(Raw_Volunteers!E661))</f>
        <v>Holiday Box Packing</v>
      </c>
      <c r="H661" s="9" t="str">
        <f aca="false">Raw_Volunteers!F661</f>
        <v>Main Warehouse</v>
      </c>
      <c r="I661" s="9" t="n">
        <f aca="false">IF(Raw_Volunteers!G661="",ROUND(AVERAGE(Raw_Volunteers!$G$2:$G$926),1),Raw_Volunteers!G661)</f>
        <v>2</v>
      </c>
    </row>
    <row r="662" customFormat="false" ht="15" hidden="false" customHeight="true" outlineLevel="0" collapsed="false">
      <c r="A662" s="9" t="str">
        <f aca="false">Raw_Volunteers!A662</f>
        <v>V2130</v>
      </c>
      <c r="B662" s="9" t="str">
        <f aca="false">IF(COUNTIFS(Raw_Volunteers!$A$2:$A$926,Raw_Volunteers!A662,Raw_Volunteers!$D$2:$D$926,Raw_Volunteers!D662,Raw_Volunteers!$E$2:$E$926,Raw_Volunteers!E662,Raw_Volunteers!$G$2:$G$926,Raw_Volunteers!G662)&gt;1,"Possible Duplicate","")</f>
        <v/>
      </c>
      <c r="C662" s="9" t="n">
        <f aca="false">Raw_Volunteers!B662</f>
        <v>0</v>
      </c>
      <c r="D662" s="9" t="str">
        <f aca="false">IF(C662="","No","Yes")</f>
        <v>No</v>
      </c>
      <c r="E662" s="9" t="str">
        <f aca="false">Raw_Volunteers!C662</f>
        <v>Sarah Garcia</v>
      </c>
      <c r="F662" s="9" t="str">
        <f aca="false">Raw_Volunteers!D662</f>
        <v>11/13/2024</v>
      </c>
      <c r="G662" s="9" t="str">
        <f aca="false">PROPER(TRIM(Raw_Volunteers!E662))</f>
        <v>Front Desk Greeter</v>
      </c>
      <c r="H662" s="9" t="str">
        <f aca="false">Raw_Volunteers!F662</f>
        <v>Mobile Unit - Route B</v>
      </c>
      <c r="I662" s="9" t="n">
        <f aca="false">IF(Raw_Volunteers!G662="",ROUND(AVERAGE(Raw_Volunteers!$G$2:$G$926),1),Raw_Volunteers!G662)</f>
        <v>3</v>
      </c>
    </row>
    <row r="663" customFormat="false" ht="15" hidden="false" customHeight="true" outlineLevel="0" collapsed="false">
      <c r="A663" s="9" t="str">
        <f aca="false">Raw_Volunteers!A663</f>
        <v>V2130</v>
      </c>
      <c r="B663" s="9" t="str">
        <f aca="false">IF(COUNTIFS(Raw_Volunteers!$A$2:$A$926,Raw_Volunteers!A663,Raw_Volunteers!$D$2:$D$926,Raw_Volunteers!D663,Raw_Volunteers!$E$2:$E$926,Raw_Volunteers!E663,Raw_Volunteers!$G$2:$G$926,Raw_Volunteers!G663)&gt;1,"Possible Duplicate","")</f>
        <v/>
      </c>
      <c r="C663" s="9" t="n">
        <f aca="false">Raw_Volunteers!B663</f>
        <v>0</v>
      </c>
      <c r="D663" s="9" t="str">
        <f aca="false">IF(C663="","No","Yes")</f>
        <v>No</v>
      </c>
      <c r="E663" s="9" t="str">
        <f aca="false">Raw_Volunteers!C663</f>
        <v>Sarah Garcia</v>
      </c>
      <c r="F663" s="9" t="str">
        <f aca="false">Raw_Volunteers!D663</f>
        <v>05/12/2024</v>
      </c>
      <c r="G663" s="9" t="str">
        <f aca="false">PROPER(TRIM(Raw_Volunteers!E663))</f>
        <v>Front Desk Greeter</v>
      </c>
      <c r="H663" s="9" t="str">
        <f aca="false">Raw_Volunteers!F663</f>
        <v>Mobile Unit - Route A</v>
      </c>
      <c r="I663" s="9" t="n">
        <f aca="false">IF(Raw_Volunteers!G663="",ROUND(AVERAGE(Raw_Volunteers!$G$2:$G$926),1),Raw_Volunteers!G663)</f>
        <v>3</v>
      </c>
    </row>
    <row r="664" customFormat="false" ht="15" hidden="false" customHeight="true" outlineLevel="0" collapsed="false">
      <c r="A664" s="9" t="str">
        <f aca="false">Raw_Volunteers!A664</f>
        <v>V2131</v>
      </c>
      <c r="B664" s="9" t="str">
        <f aca="false">IF(COUNTIFS(Raw_Volunteers!$A$2:$A$926,Raw_Volunteers!A664,Raw_Volunteers!$D$2:$D$926,Raw_Volunteers!D664,Raw_Volunteers!$E$2:$E$926,Raw_Volunteers!E664,Raw_Volunteers!$G$2:$G$926,Raw_Volunteers!G664)&gt;1,"Possible Duplicate","")</f>
        <v/>
      </c>
      <c r="C664" s="9" t="n">
        <f aca="false">Raw_Volunteers!B664</f>
        <v>0</v>
      </c>
      <c r="D664" s="9" t="str">
        <f aca="false">IF(C664="","No","Yes")</f>
        <v>No</v>
      </c>
      <c r="E664" s="9" t="str">
        <f aca="false">Raw_Volunteers!C664</f>
        <v>Christopher Wilson</v>
      </c>
      <c r="F664" s="9" t="str">
        <f aca="false">Raw_Volunteers!D664</f>
        <v>12/26/2025</v>
      </c>
      <c r="G664" s="9" t="str">
        <f aca="false">PROPER(TRIM(Raw_Volunteers!E664))</f>
        <v>Pantry Stocking</v>
      </c>
      <c r="H664" s="9" t="str">
        <f aca="false">Raw_Volunteers!F664</f>
        <v>Mobile Unit - Route B</v>
      </c>
      <c r="I664" s="9" t="n">
        <f aca="false">IF(Raw_Volunteers!G664="",ROUND(AVERAGE(Raw_Volunteers!$G$2:$G$926),1),Raw_Volunteers!G664)</f>
        <v>2</v>
      </c>
    </row>
    <row r="665" customFormat="false" ht="15" hidden="false" customHeight="true" outlineLevel="0" collapsed="false">
      <c r="A665" s="9" t="str">
        <f aca="false">Raw_Volunteers!A665</f>
        <v>V2131</v>
      </c>
      <c r="B665" s="9" t="str">
        <f aca="false">IF(COUNTIFS(Raw_Volunteers!$A$2:$A$926,Raw_Volunteers!A665,Raw_Volunteers!$D$2:$D$926,Raw_Volunteers!D665,Raw_Volunteers!$E$2:$E$926,Raw_Volunteers!E665,Raw_Volunteers!$G$2:$G$926,Raw_Volunteers!G665)&gt;1,"Possible Duplicate","")</f>
        <v/>
      </c>
      <c r="C665" s="9" t="n">
        <f aca="false">Raw_Volunteers!B665</f>
        <v>0</v>
      </c>
      <c r="D665" s="9" t="str">
        <f aca="false">IF(C665="","No","Yes")</f>
        <v>No</v>
      </c>
      <c r="E665" s="9" t="str">
        <f aca="false">Raw_Volunteers!C665</f>
        <v>Christopher Wilson</v>
      </c>
      <c r="F665" s="9" t="str">
        <f aca="false">Raw_Volunteers!D665</f>
        <v>09/27/2024</v>
      </c>
      <c r="G665" s="9" t="str">
        <f aca="false">PROPER(TRIM(Raw_Volunteers!E665))</f>
        <v>Food Sorting</v>
      </c>
      <c r="H665" s="9" t="str">
        <f aca="false">Raw_Volunteers!F665</f>
        <v>Downtown Pantry</v>
      </c>
      <c r="I665" s="9" t="n">
        <f aca="false">IF(Raw_Volunteers!G665="",ROUND(AVERAGE(Raw_Volunteers!$G$2:$G$926),1),Raw_Volunteers!G665)</f>
        <v>3</v>
      </c>
    </row>
    <row r="666" customFormat="false" ht="15" hidden="false" customHeight="true" outlineLevel="0" collapsed="false">
      <c r="A666" s="9" t="str">
        <f aca="false">Raw_Volunteers!A666</f>
        <v>V2131</v>
      </c>
      <c r="B666" s="9" t="str">
        <f aca="false">IF(COUNTIFS(Raw_Volunteers!$A$2:$A$926,Raw_Volunteers!A666,Raw_Volunteers!$D$2:$D$926,Raw_Volunteers!D666,Raw_Volunteers!$E$2:$E$926,Raw_Volunteers!E666,Raw_Volunteers!$G$2:$G$926,Raw_Volunteers!G666)&gt;1,"Possible Duplicate","")</f>
        <v/>
      </c>
      <c r="C666" s="9" t="n">
        <f aca="false">Raw_Volunteers!B666</f>
        <v>0</v>
      </c>
      <c r="D666" s="9" t="str">
        <f aca="false">IF(C666="","No","Yes")</f>
        <v>No</v>
      </c>
      <c r="E666" s="9" t="str">
        <f aca="false">Raw_Volunteers!C666</f>
        <v>Christopher Wilson</v>
      </c>
      <c r="F666" s="9" t="str">
        <f aca="false">Raw_Volunteers!D666</f>
        <v>10/08/2024</v>
      </c>
      <c r="G666" s="9" t="str">
        <f aca="false">PROPER(TRIM(Raw_Volunteers!E666))</f>
        <v>Event Setup</v>
      </c>
      <c r="H666" s="9" t="str">
        <f aca="false">Raw_Volunteers!F666</f>
        <v>Downtown Pantry</v>
      </c>
      <c r="I666" s="9" t="n">
        <f aca="false">IF(Raw_Volunteers!G666="",ROUND(AVERAGE(Raw_Volunteers!$G$2:$G$926),1),Raw_Volunteers!G666)</f>
        <v>6</v>
      </c>
    </row>
    <row r="667" customFormat="false" ht="15" hidden="false" customHeight="true" outlineLevel="0" collapsed="false">
      <c r="A667" s="9" t="str">
        <f aca="false">Raw_Volunteers!A667</f>
        <v>V2131</v>
      </c>
      <c r="B667" s="9" t="str">
        <f aca="false">IF(COUNTIFS(Raw_Volunteers!$A$2:$A$926,Raw_Volunteers!A667,Raw_Volunteers!$D$2:$D$926,Raw_Volunteers!D667,Raw_Volunteers!$E$2:$E$926,Raw_Volunteers!E667,Raw_Volunteers!$G$2:$G$926,Raw_Volunteers!G667)&gt;1,"Possible Duplicate","")</f>
        <v/>
      </c>
      <c r="C667" s="9" t="n">
        <f aca="false">Raw_Volunteers!B667</f>
        <v>0</v>
      </c>
      <c r="D667" s="9" t="str">
        <f aca="false">IF(C667="","No","Yes")</f>
        <v>No</v>
      </c>
      <c r="E667" s="9" t="str">
        <f aca="false">Raw_Volunteers!C667</f>
        <v>Christopher Wilson</v>
      </c>
      <c r="F667" s="9" t="str">
        <f aca="false">Raw_Volunteers!D667</f>
        <v>01/31/2025</v>
      </c>
      <c r="G667" s="9" t="str">
        <f aca="false">PROPER(TRIM(Raw_Volunteers!E667))</f>
        <v>Food Sorting</v>
      </c>
      <c r="H667" s="9" t="str">
        <f aca="false">Raw_Volunteers!F667</f>
        <v>Mobile Unit - Route A</v>
      </c>
      <c r="I667" s="9" t="n">
        <f aca="false">IF(Raw_Volunteers!G667="",ROUND(AVERAGE(Raw_Volunteers!$G$2:$G$926),1),Raw_Volunteers!G667)</f>
        <v>3</v>
      </c>
    </row>
    <row r="668" customFormat="false" ht="15" hidden="false" customHeight="true" outlineLevel="0" collapsed="false">
      <c r="A668" s="9" t="str">
        <f aca="false">Raw_Volunteers!A668</f>
        <v>V2131</v>
      </c>
      <c r="B668" s="9" t="str">
        <f aca="false">IF(COUNTIFS(Raw_Volunteers!$A$2:$A$926,Raw_Volunteers!A668,Raw_Volunteers!$D$2:$D$926,Raw_Volunteers!D668,Raw_Volunteers!$E$2:$E$926,Raw_Volunteers!E668,Raw_Volunteers!$G$2:$G$926,Raw_Volunteers!G668)&gt;1,"Possible Duplicate","")</f>
        <v/>
      </c>
      <c r="C668" s="9" t="n">
        <f aca="false">Raw_Volunteers!B668</f>
        <v>0</v>
      </c>
      <c r="D668" s="9" t="str">
        <f aca="false">IF(C668="","No","Yes")</f>
        <v>No</v>
      </c>
      <c r="E668" s="9" t="str">
        <f aca="false">Raw_Volunteers!C668</f>
        <v>Christopher Wilson</v>
      </c>
      <c r="F668" s="9" t="str">
        <f aca="false">Raw_Volunteers!D668</f>
        <v>06/25/2025</v>
      </c>
      <c r="G668" s="9" t="str">
        <f aca="false">PROPER(TRIM(Raw_Volunteers!E668))</f>
        <v>Warehouse Loading</v>
      </c>
      <c r="H668" s="9" t="str">
        <f aca="false">Raw_Volunteers!F668</f>
        <v>Downtown Pantry</v>
      </c>
      <c r="I668" s="9" t="n">
        <f aca="false">IF(Raw_Volunteers!G668="",ROUND(AVERAGE(Raw_Volunteers!$G$2:$G$926),1),Raw_Volunteers!G668)</f>
        <v>6</v>
      </c>
    </row>
    <row r="669" customFormat="false" ht="15" hidden="false" customHeight="true" outlineLevel="0" collapsed="false">
      <c r="A669" s="9" t="str">
        <f aca="false">Raw_Volunteers!A669</f>
        <v>V2132</v>
      </c>
      <c r="B669" s="9" t="str">
        <f aca="false">IF(COUNTIFS(Raw_Volunteers!$A$2:$A$926,Raw_Volunteers!A669,Raw_Volunteers!$D$2:$D$926,Raw_Volunteers!D669,Raw_Volunteers!$E$2:$E$926,Raw_Volunteers!E669,Raw_Volunteers!$G$2:$G$926,Raw_Volunteers!G669)&gt;1,"Possible Duplicate","")</f>
        <v/>
      </c>
      <c r="C669" s="9" t="n">
        <f aca="false">Raw_Volunteers!B669</f>
        <v>0</v>
      </c>
      <c r="D669" s="9" t="str">
        <f aca="false">IF(C669="","No","Yes")</f>
        <v>No</v>
      </c>
      <c r="E669" s="9" t="str">
        <f aca="false">Raw_Volunteers!C669</f>
        <v>Lisa Scott</v>
      </c>
      <c r="F669" s="9" t="str">
        <f aca="false">Raw_Volunteers!D669</f>
        <v>05/22/2026</v>
      </c>
      <c r="G669" s="9" t="str">
        <f aca="false">PROPER(TRIM(Raw_Volunteers!E669))</f>
        <v>Client Intake Assistant</v>
      </c>
      <c r="H669" s="9" t="str">
        <f aca="false">Raw_Volunteers!F669</f>
        <v>Mobile Unit - Route A</v>
      </c>
      <c r="I669" s="9" t="n">
        <f aca="false">IF(Raw_Volunteers!G669="",ROUND(AVERAGE(Raw_Volunteers!$G$2:$G$926),1),Raw_Volunteers!G669)</f>
        <v>3</v>
      </c>
    </row>
    <row r="670" customFormat="false" ht="15" hidden="false" customHeight="true" outlineLevel="0" collapsed="false">
      <c r="A670" s="9" t="str">
        <f aca="false">Raw_Volunteers!A670</f>
        <v>V2132</v>
      </c>
      <c r="B670" s="9" t="str">
        <f aca="false">IF(COUNTIFS(Raw_Volunteers!$A$2:$A$926,Raw_Volunteers!A670,Raw_Volunteers!$D$2:$D$926,Raw_Volunteers!D670,Raw_Volunteers!$E$2:$E$926,Raw_Volunteers!E670,Raw_Volunteers!$G$2:$G$926,Raw_Volunteers!G670)&gt;1,"Possible Duplicate","")</f>
        <v/>
      </c>
      <c r="C670" s="9" t="n">
        <f aca="false">Raw_Volunteers!B670</f>
        <v>0</v>
      </c>
      <c r="D670" s="9" t="str">
        <f aca="false">IF(C670="","No","Yes")</f>
        <v>No</v>
      </c>
      <c r="E670" s="9" t="str">
        <f aca="false">Raw_Volunteers!C670</f>
        <v>Lisa Scott</v>
      </c>
      <c r="F670" s="9" t="str">
        <f aca="false">Raw_Volunteers!D670</f>
        <v>05/12/2026</v>
      </c>
      <c r="G670" s="9" t="str">
        <f aca="false">PROPER(TRIM(Raw_Volunteers!E670))</f>
        <v>Client Intake Assistant</v>
      </c>
      <c r="H670" s="9" t="str">
        <f aca="false">Raw_Volunteers!F670</f>
        <v>Mobile Unit - Route B</v>
      </c>
      <c r="I670" s="9" t="n">
        <f aca="false">IF(Raw_Volunteers!G670="",ROUND(AVERAGE(Raw_Volunteers!$G$2:$G$926),1),Raw_Volunteers!G670)</f>
        <v>2</v>
      </c>
    </row>
    <row r="671" customFormat="false" ht="15" hidden="false" customHeight="true" outlineLevel="0" collapsed="false">
      <c r="A671" s="9" t="str">
        <f aca="false">Raw_Volunteers!A671</f>
        <v>V2132</v>
      </c>
      <c r="B671" s="9" t="str">
        <f aca="false">IF(COUNTIFS(Raw_Volunteers!$A$2:$A$926,Raw_Volunteers!A671,Raw_Volunteers!$D$2:$D$926,Raw_Volunteers!D671,Raw_Volunteers!$E$2:$E$926,Raw_Volunteers!E671,Raw_Volunteers!$G$2:$G$926,Raw_Volunteers!G671)&gt;1,"Possible Duplicate","")</f>
        <v/>
      </c>
      <c r="C671" s="9" t="n">
        <f aca="false">Raw_Volunteers!B671</f>
        <v>0</v>
      </c>
      <c r="D671" s="9" t="str">
        <f aca="false">IF(C671="","No","Yes")</f>
        <v>No</v>
      </c>
      <c r="E671" s="9" t="str">
        <f aca="false">Raw_Volunteers!C671</f>
        <v>Lisa Scott</v>
      </c>
      <c r="F671" s="9" t="str">
        <f aca="false">Raw_Volunteers!D671</f>
        <v>11/02/2025</v>
      </c>
      <c r="G671" s="9" t="str">
        <f aca="false">PROPER(TRIM(Raw_Volunteers!E671))</f>
        <v>Warehouse Loading</v>
      </c>
      <c r="H671" s="9" t="str">
        <f aca="false">Raw_Volunteers!F671</f>
        <v>Mobile Unit - Route A</v>
      </c>
      <c r="I671" s="9" t="n">
        <f aca="false">IF(Raw_Volunteers!G671="",ROUND(AVERAGE(Raw_Volunteers!$G$2:$G$926),1),Raw_Volunteers!G671)</f>
        <v>3</v>
      </c>
    </row>
    <row r="672" customFormat="false" ht="15" hidden="false" customHeight="true" outlineLevel="0" collapsed="false">
      <c r="A672" s="9" t="str">
        <f aca="false">Raw_Volunteers!A672</f>
        <v>V2133</v>
      </c>
      <c r="B672" s="9" t="str">
        <f aca="false">IF(COUNTIFS(Raw_Volunteers!$A$2:$A$926,Raw_Volunteers!A672,Raw_Volunteers!$D$2:$D$926,Raw_Volunteers!D672,Raw_Volunteers!$E$2:$E$926,Raw_Volunteers!E672,Raw_Volunteers!$G$2:$G$926,Raw_Volunteers!G672)&gt;1,"Possible Duplicate","")</f>
        <v/>
      </c>
      <c r="C672" s="9" t="n">
        <f aca="false">Raw_Volunteers!B672</f>
        <v>0</v>
      </c>
      <c r="D672" s="9" t="str">
        <f aca="false">IF(C672="","No","Yes")</f>
        <v>No</v>
      </c>
      <c r="E672" s="9" t="str">
        <f aca="false">Raw_Volunteers!C672</f>
        <v>Melissa Wilson</v>
      </c>
      <c r="F672" s="9" t="str">
        <f aca="false">Raw_Volunteers!D672</f>
        <v>01/26/2025</v>
      </c>
      <c r="G672" s="9" t="str">
        <f aca="false">PROPER(TRIM(Raw_Volunteers!E672))</f>
        <v>Food Sorting</v>
      </c>
      <c r="H672" s="9" t="str">
        <f aca="false">Raw_Volunteers!F672</f>
        <v>Community Center Site</v>
      </c>
      <c r="I672" s="9" t="n">
        <f aca="false">IF(Raw_Volunteers!G672="",ROUND(AVERAGE(Raw_Volunteers!$G$2:$G$926),1),Raw_Volunteers!G672)</f>
        <v>2</v>
      </c>
    </row>
    <row r="673" customFormat="false" ht="15" hidden="false" customHeight="true" outlineLevel="0" collapsed="false">
      <c r="A673" s="9" t="str">
        <f aca="false">Raw_Volunteers!A673</f>
        <v>V2133</v>
      </c>
      <c r="B673" s="9" t="str">
        <f aca="false">IF(COUNTIFS(Raw_Volunteers!$A$2:$A$926,Raw_Volunteers!A673,Raw_Volunteers!$D$2:$D$926,Raw_Volunteers!D673,Raw_Volunteers!$E$2:$E$926,Raw_Volunteers!E673,Raw_Volunteers!$G$2:$G$926,Raw_Volunteers!G673)&gt;1,"Possible Duplicate","")</f>
        <v/>
      </c>
      <c r="C673" s="9" t="n">
        <f aca="false">Raw_Volunteers!B673</f>
        <v>0</v>
      </c>
      <c r="D673" s="9" t="str">
        <f aca="false">IF(C673="","No","Yes")</f>
        <v>No</v>
      </c>
      <c r="E673" s="9" t="str">
        <f aca="false">Raw_Volunteers!C673</f>
        <v>Melissa Wilson</v>
      </c>
      <c r="F673" s="9" t="str">
        <f aca="false">Raw_Volunteers!D673</f>
        <v>10/12/2024</v>
      </c>
      <c r="G673" s="9" t="str">
        <f aca="false">PROPER(TRIM(Raw_Volunteers!E673))</f>
        <v>Client Intake Assistant</v>
      </c>
      <c r="H673" s="9" t="str">
        <f aca="false">Raw_Volunteers!F673</f>
        <v>Main Warehouse</v>
      </c>
      <c r="I673" s="9" t="n">
        <f aca="false">IF(Raw_Volunteers!G673="",ROUND(AVERAGE(Raw_Volunteers!$G$2:$G$926),1),Raw_Volunteers!G673)</f>
        <v>3</v>
      </c>
    </row>
    <row r="674" customFormat="false" ht="15" hidden="false" customHeight="true" outlineLevel="0" collapsed="false">
      <c r="A674" s="9" t="str">
        <f aca="false">Raw_Volunteers!A674</f>
        <v>V2133</v>
      </c>
      <c r="B674" s="9" t="str">
        <f aca="false">IF(COUNTIFS(Raw_Volunteers!$A$2:$A$926,Raw_Volunteers!A674,Raw_Volunteers!$D$2:$D$926,Raw_Volunteers!D674,Raw_Volunteers!$E$2:$E$926,Raw_Volunteers!E674,Raw_Volunteers!$G$2:$G$926,Raw_Volunteers!G674)&gt;1,"Possible Duplicate","")</f>
        <v/>
      </c>
      <c r="C674" s="9" t="n">
        <f aca="false">Raw_Volunteers!B674</f>
        <v>0</v>
      </c>
      <c r="D674" s="9" t="str">
        <f aca="false">IF(C674="","No","Yes")</f>
        <v>No</v>
      </c>
      <c r="E674" s="9" t="str">
        <f aca="false">Raw_Volunteers!C674</f>
        <v>Melissa Wilson</v>
      </c>
      <c r="F674" s="9" t="str">
        <f aca="false">Raw_Volunteers!D674</f>
        <v>03/10/2025</v>
      </c>
      <c r="G674" s="9" t="str">
        <f aca="false">PROPER(TRIM(Raw_Volunteers!E674))</f>
        <v>Holiday Box Packing</v>
      </c>
      <c r="H674" s="9" t="str">
        <f aca="false">Raw_Volunteers!F674</f>
        <v>Community Center Site</v>
      </c>
      <c r="I674" s="9" t="n">
        <f aca="false">IF(Raw_Volunteers!G674="",ROUND(AVERAGE(Raw_Volunteers!$G$2:$G$926),1),Raw_Volunteers!G674)</f>
        <v>2</v>
      </c>
    </row>
    <row r="675" customFormat="false" ht="15" hidden="false" customHeight="true" outlineLevel="0" collapsed="false">
      <c r="A675" s="9" t="str">
        <f aca="false">Raw_Volunteers!A675</f>
        <v>V2133</v>
      </c>
      <c r="B675" s="9" t="str">
        <f aca="false">IF(COUNTIFS(Raw_Volunteers!$A$2:$A$926,Raw_Volunteers!A675,Raw_Volunteers!$D$2:$D$926,Raw_Volunteers!D675,Raw_Volunteers!$E$2:$E$926,Raw_Volunteers!E675,Raw_Volunteers!$G$2:$G$926,Raw_Volunteers!G675)&gt;1,"Possible Duplicate","")</f>
        <v/>
      </c>
      <c r="C675" s="9" t="n">
        <f aca="false">Raw_Volunteers!B675</f>
        <v>0</v>
      </c>
      <c r="D675" s="9" t="str">
        <f aca="false">IF(C675="","No","Yes")</f>
        <v>No</v>
      </c>
      <c r="E675" s="9" t="str">
        <f aca="false">Raw_Volunteers!C675</f>
        <v>Melissa Wilson</v>
      </c>
      <c r="F675" s="9" t="str">
        <f aca="false">Raw_Volunteers!D675</f>
        <v>11/30/2025</v>
      </c>
      <c r="G675" s="9" t="str">
        <f aca="false">PROPER(TRIM(Raw_Volunteers!E675))</f>
        <v>Pantry Stocking</v>
      </c>
      <c r="H675" s="9" t="str">
        <f aca="false">Raw_Volunteers!F675</f>
        <v>Community Center Site</v>
      </c>
      <c r="I675" s="9" t="n">
        <f aca="false">IF(Raw_Volunteers!G675="",ROUND(AVERAGE(Raw_Volunteers!$G$2:$G$926),1),Raw_Volunteers!G675)</f>
        <v>3</v>
      </c>
    </row>
    <row r="676" customFormat="false" ht="15" hidden="false" customHeight="true" outlineLevel="0" collapsed="false">
      <c r="A676" s="9" t="str">
        <f aca="false">Raw_Volunteers!A676</f>
        <v>V2133</v>
      </c>
      <c r="B676" s="9" t="str">
        <f aca="false">IF(COUNTIFS(Raw_Volunteers!$A$2:$A$926,Raw_Volunteers!A676,Raw_Volunteers!$D$2:$D$926,Raw_Volunteers!D676,Raw_Volunteers!$E$2:$E$926,Raw_Volunteers!E676,Raw_Volunteers!$G$2:$G$926,Raw_Volunteers!G676)&gt;1,"Possible Duplicate","")</f>
        <v/>
      </c>
      <c r="C676" s="9" t="n">
        <f aca="false">Raw_Volunteers!B676</f>
        <v>0</v>
      </c>
      <c r="D676" s="9" t="str">
        <f aca="false">IF(C676="","No","Yes")</f>
        <v>No</v>
      </c>
      <c r="E676" s="9" t="str">
        <f aca="false">Raw_Volunteers!C676</f>
        <v>Melissa Wilson</v>
      </c>
      <c r="F676" s="9" t="str">
        <f aca="false">Raw_Volunteers!D676</f>
        <v>06/28/2025</v>
      </c>
      <c r="G676" s="9" t="str">
        <f aca="false">PROPER(TRIM(Raw_Volunteers!E676))</f>
        <v>Holiday Box Packing</v>
      </c>
      <c r="H676" s="9" t="str">
        <f aca="false">Raw_Volunteers!F676</f>
        <v>Mobile Unit - Route A</v>
      </c>
      <c r="I676" s="9" t="n">
        <f aca="false">IF(Raw_Volunteers!G676="",ROUND(AVERAGE(Raw_Volunteers!$G$2:$G$926),1),Raw_Volunteers!G676)</f>
        <v>3</v>
      </c>
    </row>
    <row r="677" customFormat="false" ht="15" hidden="false" customHeight="true" outlineLevel="0" collapsed="false">
      <c r="A677" s="9" t="str">
        <f aca="false">Raw_Volunteers!A677</f>
        <v>V2133</v>
      </c>
      <c r="B677" s="9" t="str">
        <f aca="false">IF(COUNTIFS(Raw_Volunteers!$A$2:$A$926,Raw_Volunteers!A677,Raw_Volunteers!$D$2:$D$926,Raw_Volunteers!D677,Raw_Volunteers!$E$2:$E$926,Raw_Volunteers!E677,Raw_Volunteers!$G$2:$G$926,Raw_Volunteers!G677)&gt;1,"Possible Duplicate","")</f>
        <v/>
      </c>
      <c r="C677" s="9" t="n">
        <f aca="false">Raw_Volunteers!B677</f>
        <v>0</v>
      </c>
      <c r="D677" s="9" t="str">
        <f aca="false">IF(C677="","No","Yes")</f>
        <v>No</v>
      </c>
      <c r="E677" s="9" t="str">
        <f aca="false">Raw_Volunteers!C677</f>
        <v>Melissa Wilson</v>
      </c>
      <c r="F677" s="9" t="str">
        <f aca="false">Raw_Volunteers!D677</f>
        <v>01/24/2026</v>
      </c>
      <c r="G677" s="9" t="str">
        <f aca="false">PROPER(TRIM(Raw_Volunteers!E677))</f>
        <v>Food Sorting</v>
      </c>
      <c r="H677" s="9" t="str">
        <f aca="false">Raw_Volunteers!F677</f>
        <v>Community Center Site</v>
      </c>
      <c r="I677" s="9" t="n">
        <f aca="false">IF(Raw_Volunteers!G677="",ROUND(AVERAGE(Raw_Volunteers!$G$2:$G$926),1),Raw_Volunteers!G677)</f>
        <v>3</v>
      </c>
    </row>
    <row r="678" customFormat="false" ht="15" hidden="false" customHeight="true" outlineLevel="0" collapsed="false">
      <c r="A678" s="9" t="str">
        <f aca="false">Raw_Volunteers!A678</f>
        <v>V2134</v>
      </c>
      <c r="B678" s="9" t="str">
        <f aca="false">IF(COUNTIFS(Raw_Volunteers!$A$2:$A$926,Raw_Volunteers!A678,Raw_Volunteers!$D$2:$D$926,Raw_Volunteers!D678,Raw_Volunteers!$E$2:$E$926,Raw_Volunteers!E678,Raw_Volunteers!$G$2:$G$926,Raw_Volunteers!G678)&gt;1,"Possible Duplicate","")</f>
        <v/>
      </c>
      <c r="C678" s="9" t="n">
        <f aca="false">Raw_Volunteers!B678</f>
        <v>0</v>
      </c>
      <c r="D678" s="9" t="str">
        <f aca="false">IF(C678="","No","Yes")</f>
        <v>No</v>
      </c>
      <c r="E678" s="9" t="str">
        <f aca="false">Raw_Volunteers!C678</f>
        <v>George Williams</v>
      </c>
      <c r="F678" s="9" t="str">
        <f aca="false">Raw_Volunteers!D678</f>
        <v>08/21/2024</v>
      </c>
      <c r="G678" s="9" t="str">
        <f aca="false">PROPER(TRIM(Raw_Volunteers!E678))</f>
        <v>Client Intake Assistant</v>
      </c>
      <c r="H678" s="9" t="str">
        <f aca="false">Raw_Volunteers!F678</f>
        <v>Main Warehouse</v>
      </c>
      <c r="I678" s="9" t="n">
        <f aca="false">IF(Raw_Volunteers!G678="",ROUND(AVERAGE(Raw_Volunteers!$G$2:$G$926),1),Raw_Volunteers!G678)</f>
        <v>2</v>
      </c>
    </row>
    <row r="679" customFormat="false" ht="15" hidden="false" customHeight="true" outlineLevel="0" collapsed="false">
      <c r="A679" s="9" t="str">
        <f aca="false">Raw_Volunteers!A679</f>
        <v>V2134</v>
      </c>
      <c r="B679" s="9" t="str">
        <f aca="false">IF(COUNTIFS(Raw_Volunteers!$A$2:$A$926,Raw_Volunteers!A679,Raw_Volunteers!$D$2:$D$926,Raw_Volunteers!D679,Raw_Volunteers!$E$2:$E$926,Raw_Volunteers!E679,Raw_Volunteers!$G$2:$G$926,Raw_Volunteers!G679)&gt;1,"Possible Duplicate","")</f>
        <v/>
      </c>
      <c r="C679" s="9" t="n">
        <f aca="false">Raw_Volunteers!B679</f>
        <v>0</v>
      </c>
      <c r="D679" s="9" t="str">
        <f aca="false">IF(C679="","No","Yes")</f>
        <v>No</v>
      </c>
      <c r="E679" s="9" t="str">
        <f aca="false">Raw_Volunteers!C679</f>
        <v>George Williams</v>
      </c>
      <c r="F679" s="9" t="str">
        <f aca="false">Raw_Volunteers!D679</f>
        <v>11/13/2024</v>
      </c>
      <c r="G679" s="9" t="str">
        <f aca="false">PROPER(TRIM(Raw_Volunteers!E679))</f>
        <v>Holiday Box Packing</v>
      </c>
      <c r="H679" s="9" t="str">
        <f aca="false">Raw_Volunteers!F679</f>
        <v>Mobile Unit - Route A</v>
      </c>
      <c r="I679" s="9" t="n">
        <f aca="false">IF(Raw_Volunteers!G679="",ROUND(AVERAGE(Raw_Volunteers!$G$2:$G$926),1),Raw_Volunteers!G679)</f>
        <v>2</v>
      </c>
    </row>
    <row r="680" customFormat="false" ht="15" hidden="false" customHeight="true" outlineLevel="0" collapsed="false">
      <c r="A680" s="9" t="str">
        <f aca="false">Raw_Volunteers!A680</f>
        <v>V2135</v>
      </c>
      <c r="B680" s="9" t="str">
        <f aca="false">IF(COUNTIFS(Raw_Volunteers!$A$2:$A$926,Raw_Volunteers!A680,Raw_Volunteers!$D$2:$D$926,Raw_Volunteers!D680,Raw_Volunteers!$E$2:$E$926,Raw_Volunteers!E680,Raw_Volunteers!$G$2:$G$926,Raw_Volunteers!G680)&gt;1,"Possible Duplicate","")</f>
        <v/>
      </c>
      <c r="C680" s="9" t="n">
        <f aca="false">Raw_Volunteers!B680</f>
        <v>0</v>
      </c>
      <c r="D680" s="9" t="str">
        <f aca="false">IF(C680="","No","Yes")</f>
        <v>No</v>
      </c>
      <c r="E680" s="9" t="str">
        <f aca="false">Raw_Volunteers!C680</f>
        <v>Patricia Rodriguez</v>
      </c>
      <c r="F680" s="9" t="str">
        <f aca="false">Raw_Volunteers!D680</f>
        <v>11/22/2025</v>
      </c>
      <c r="G680" s="9" t="str">
        <f aca="false">PROPER(TRIM(Raw_Volunteers!E680))</f>
        <v>Food Sorting</v>
      </c>
      <c r="H680" s="9" t="str">
        <f aca="false">Raw_Volunteers!F680</f>
        <v>Mobile Unit - Route B</v>
      </c>
      <c r="I680" s="9" t="n">
        <f aca="false">IF(Raw_Volunteers!G680="",ROUND(AVERAGE(Raw_Volunteers!$G$2:$G$926),1),Raw_Volunteers!G680)</f>
        <v>2</v>
      </c>
    </row>
    <row r="681" customFormat="false" ht="15" hidden="false" customHeight="true" outlineLevel="0" collapsed="false">
      <c r="A681" s="9" t="str">
        <f aca="false">Raw_Volunteers!A681</f>
        <v>V2135</v>
      </c>
      <c r="B681" s="9" t="str">
        <f aca="false">IF(COUNTIFS(Raw_Volunteers!$A$2:$A$926,Raw_Volunteers!A681,Raw_Volunteers!$D$2:$D$926,Raw_Volunteers!D681,Raw_Volunteers!$E$2:$E$926,Raw_Volunteers!E681,Raw_Volunteers!$G$2:$G$926,Raw_Volunteers!G681)&gt;1,"Possible Duplicate","")</f>
        <v/>
      </c>
      <c r="C681" s="9" t="n">
        <f aca="false">Raw_Volunteers!B681</f>
        <v>0</v>
      </c>
      <c r="D681" s="9" t="str">
        <f aca="false">IF(C681="","No","Yes")</f>
        <v>No</v>
      </c>
      <c r="E681" s="9" t="str">
        <f aca="false">Raw_Volunteers!C681</f>
        <v>Patricia Rodriguez</v>
      </c>
      <c r="F681" s="9" t="str">
        <f aca="false">Raw_Volunteers!D681</f>
        <v>10/25/2025</v>
      </c>
      <c r="G681" s="9" t="str">
        <f aca="false">PROPER(TRIM(Raw_Volunteers!E681))</f>
        <v>Pantry Stocking</v>
      </c>
      <c r="H681" s="9" t="str">
        <f aca="false">Raw_Volunteers!F681</f>
        <v>Community Center Site</v>
      </c>
      <c r="I681" s="9" t="n">
        <f aca="false">IF(Raw_Volunteers!G681="",ROUND(AVERAGE(Raw_Volunteers!$G$2:$G$926),1),Raw_Volunteers!G681)</f>
        <v>2</v>
      </c>
    </row>
    <row r="682" customFormat="false" ht="15" hidden="false" customHeight="true" outlineLevel="0" collapsed="false">
      <c r="A682" s="9" t="str">
        <f aca="false">Raw_Volunteers!A682</f>
        <v>V2136</v>
      </c>
      <c r="B682" s="9" t="str">
        <f aca="false">IF(COUNTIFS(Raw_Volunteers!$A$2:$A$926,Raw_Volunteers!A682,Raw_Volunteers!$D$2:$D$926,Raw_Volunteers!D682,Raw_Volunteers!$E$2:$E$926,Raw_Volunteers!E682,Raw_Volunteers!$G$2:$G$926,Raw_Volunteers!G682)&gt;1,"Possible Duplicate","")</f>
        <v/>
      </c>
      <c r="C682" s="9" t="n">
        <f aca="false">Raw_Volunteers!B682</f>
        <v>0</v>
      </c>
      <c r="D682" s="9" t="str">
        <f aca="false">IF(C682="","No","Yes")</f>
        <v>No</v>
      </c>
      <c r="E682" s="9" t="str">
        <f aca="false">Raw_Volunteers!C682</f>
        <v>Joshua King</v>
      </c>
      <c r="F682" s="9" t="str">
        <f aca="false">Raw_Volunteers!D682</f>
        <v>05/05/2024</v>
      </c>
      <c r="G682" s="9" t="str">
        <f aca="false">PROPER(TRIM(Raw_Volunteers!E682))</f>
        <v>Holiday Box Packing</v>
      </c>
      <c r="H682" s="9" t="str">
        <f aca="false">Raw_Volunteers!F682</f>
        <v>Mobile Unit - Route A</v>
      </c>
      <c r="I682" s="9" t="n">
        <f aca="false">IF(Raw_Volunteers!G682="",ROUND(AVERAGE(Raw_Volunteers!$G$2:$G$926),1),Raw_Volunteers!G682)</f>
        <v>3</v>
      </c>
    </row>
    <row r="683" customFormat="false" ht="15" hidden="false" customHeight="true" outlineLevel="0" collapsed="false">
      <c r="A683" s="9" t="str">
        <f aca="false">Raw_Volunteers!A683</f>
        <v>V2136</v>
      </c>
      <c r="B683" s="9" t="str">
        <f aca="false">IF(COUNTIFS(Raw_Volunteers!$A$2:$A$926,Raw_Volunteers!A683,Raw_Volunteers!$D$2:$D$926,Raw_Volunteers!D683,Raw_Volunteers!$E$2:$E$926,Raw_Volunteers!E683,Raw_Volunteers!$G$2:$G$926,Raw_Volunteers!G683)&gt;1,"Possible Duplicate","")</f>
        <v/>
      </c>
      <c r="C683" s="9" t="n">
        <f aca="false">Raw_Volunteers!B683</f>
        <v>0</v>
      </c>
      <c r="D683" s="9" t="str">
        <f aca="false">IF(C683="","No","Yes")</f>
        <v>No</v>
      </c>
      <c r="E683" s="9" t="str">
        <f aca="false">Raw_Volunteers!C683</f>
        <v>Joshua King</v>
      </c>
      <c r="F683" s="9" t="str">
        <f aca="false">Raw_Volunteers!D683</f>
        <v>04/09/2025</v>
      </c>
      <c r="G683" s="9" t="str">
        <f aca="false">PROPER(TRIM(Raw_Volunteers!E683))</f>
        <v>Warehouse Loading</v>
      </c>
      <c r="H683" s="9" t="str">
        <f aca="false">Raw_Volunteers!F683</f>
        <v>Community Center Site</v>
      </c>
      <c r="I683" s="9" t="n">
        <f aca="false">IF(Raw_Volunteers!G683="",ROUND(AVERAGE(Raw_Volunteers!$G$2:$G$926),1),Raw_Volunteers!G683)</f>
        <v>2</v>
      </c>
    </row>
    <row r="684" customFormat="false" ht="15" hidden="false" customHeight="true" outlineLevel="0" collapsed="false">
      <c r="A684" s="9" t="str">
        <f aca="false">Raw_Volunteers!A684</f>
        <v>V2137</v>
      </c>
      <c r="B684" s="9" t="str">
        <f aca="false">IF(COUNTIFS(Raw_Volunteers!$A$2:$A$926,Raw_Volunteers!A684,Raw_Volunteers!$D$2:$D$926,Raw_Volunteers!D684,Raw_Volunteers!$E$2:$E$926,Raw_Volunteers!E684,Raw_Volunteers!$G$2:$G$926,Raw_Volunteers!G684)&gt;1,"Possible Duplicate","")</f>
        <v/>
      </c>
      <c r="C684" s="9" t="n">
        <f aca="false">Raw_Volunteers!B684</f>
        <v>0</v>
      </c>
      <c r="D684" s="9" t="str">
        <f aca="false">IF(C684="","No","Yes")</f>
        <v>No</v>
      </c>
      <c r="E684" s="9" t="str">
        <f aca="false">Raw_Volunteers!C684</f>
        <v>Deborah Wilson</v>
      </c>
      <c r="F684" s="9" t="str">
        <f aca="false">Raw_Volunteers!D684</f>
        <v>09/12/2024</v>
      </c>
      <c r="G684" s="9" t="str">
        <f aca="false">PROPER(TRIM(Raw_Volunteers!E684))</f>
        <v>Event Setup</v>
      </c>
      <c r="H684" s="9" t="str">
        <f aca="false">Raw_Volunteers!F684</f>
        <v>Mobile Unit - Route A</v>
      </c>
      <c r="I684" s="9" t="n">
        <f aca="false">IF(Raw_Volunteers!G684="",ROUND(AVERAGE(Raw_Volunteers!$G$2:$G$926),1),Raw_Volunteers!G684)</f>
        <v>5</v>
      </c>
    </row>
    <row r="685" customFormat="false" ht="15" hidden="false" customHeight="true" outlineLevel="0" collapsed="false">
      <c r="A685" s="9" t="str">
        <f aca="false">Raw_Volunteers!A685</f>
        <v>V2137</v>
      </c>
      <c r="B685" s="9" t="str">
        <f aca="false">IF(COUNTIFS(Raw_Volunteers!$A$2:$A$926,Raw_Volunteers!A685,Raw_Volunteers!$D$2:$D$926,Raw_Volunteers!D685,Raw_Volunteers!$E$2:$E$926,Raw_Volunteers!E685,Raw_Volunteers!$G$2:$G$926,Raw_Volunteers!G685)&gt;1,"Possible Duplicate","")</f>
        <v/>
      </c>
      <c r="C685" s="9" t="n">
        <f aca="false">Raw_Volunteers!B685</f>
        <v>0</v>
      </c>
      <c r="D685" s="9" t="str">
        <f aca="false">IF(C685="","No","Yes")</f>
        <v>No</v>
      </c>
      <c r="E685" s="9" t="str">
        <f aca="false">Raw_Volunteers!C685</f>
        <v>Deborah Wilson</v>
      </c>
      <c r="F685" s="9" t="str">
        <f aca="false">Raw_Volunteers!D685</f>
        <v>12/20/2024</v>
      </c>
      <c r="G685" s="9" t="str">
        <f aca="false">PROPER(TRIM(Raw_Volunteers!E685))</f>
        <v>Mobile Distribution Driver</v>
      </c>
      <c r="H685" s="9" t="str">
        <f aca="false">Raw_Volunteers!F685</f>
        <v>Downtown Pantry</v>
      </c>
      <c r="I685" s="9" t="n">
        <f aca="false">IF(Raw_Volunteers!G685="",ROUND(AVERAGE(Raw_Volunteers!$G$2:$G$926),1),Raw_Volunteers!G685)</f>
        <v>2</v>
      </c>
    </row>
    <row r="686" customFormat="false" ht="15" hidden="false" customHeight="true" outlineLevel="0" collapsed="false">
      <c r="A686" s="9" t="str">
        <f aca="false">Raw_Volunteers!A686</f>
        <v>V2138</v>
      </c>
      <c r="B686" s="9" t="str">
        <f aca="false">IF(COUNTIFS(Raw_Volunteers!$A$2:$A$926,Raw_Volunteers!A686,Raw_Volunteers!$D$2:$D$926,Raw_Volunteers!D686,Raw_Volunteers!$E$2:$E$926,Raw_Volunteers!E686,Raw_Volunteers!$G$2:$G$926,Raw_Volunteers!G686)&gt;1,"Possible Duplicate","")</f>
        <v/>
      </c>
      <c r="C686" s="9" t="n">
        <f aca="false">Raw_Volunteers!B686</f>
        <v>0</v>
      </c>
      <c r="D686" s="9" t="str">
        <f aca="false">IF(C686="","No","Yes")</f>
        <v>No</v>
      </c>
      <c r="E686" s="9" t="str">
        <f aca="false">Raw_Volunteers!C686</f>
        <v>Donald Ramirez</v>
      </c>
      <c r="F686" s="9" t="str">
        <f aca="false">Raw_Volunteers!D686</f>
        <v>01/04/2025</v>
      </c>
      <c r="G686" s="9" t="str">
        <f aca="false">PROPER(TRIM(Raw_Volunteers!E686))</f>
        <v>Warehouse Loading</v>
      </c>
      <c r="H686" s="9" t="str">
        <f aca="false">Raw_Volunteers!F686</f>
        <v>Main Warehouse</v>
      </c>
      <c r="I686" s="9" t="n">
        <f aca="false">IF(Raw_Volunteers!G686="",ROUND(AVERAGE(Raw_Volunteers!$G$2:$G$926),1),Raw_Volunteers!G686)</f>
        <v>2</v>
      </c>
    </row>
    <row r="687" customFormat="false" ht="15" hidden="false" customHeight="true" outlineLevel="0" collapsed="false">
      <c r="A687" s="9" t="str">
        <f aca="false">Raw_Volunteers!A687</f>
        <v>V2138</v>
      </c>
      <c r="B687" s="9" t="str">
        <f aca="false">IF(COUNTIFS(Raw_Volunteers!$A$2:$A$926,Raw_Volunteers!A687,Raw_Volunteers!$D$2:$D$926,Raw_Volunteers!D687,Raw_Volunteers!$E$2:$E$926,Raw_Volunteers!E687,Raw_Volunteers!$G$2:$G$926,Raw_Volunteers!G687)&gt;1,"Possible Duplicate","")</f>
        <v/>
      </c>
      <c r="C687" s="9" t="n">
        <f aca="false">Raw_Volunteers!B687</f>
        <v>0</v>
      </c>
      <c r="D687" s="9" t="str">
        <f aca="false">IF(C687="","No","Yes")</f>
        <v>No</v>
      </c>
      <c r="E687" s="9" t="str">
        <f aca="false">Raw_Volunteers!C687</f>
        <v>Donald Ramirez</v>
      </c>
      <c r="F687" s="9" t="str">
        <f aca="false">Raw_Volunteers!D687</f>
        <v>11/26/2024</v>
      </c>
      <c r="G687" s="9" t="str">
        <f aca="false">PROPER(TRIM(Raw_Volunteers!E687))</f>
        <v>Client Intake Assistant</v>
      </c>
      <c r="H687" s="9" t="str">
        <f aca="false">Raw_Volunteers!F687</f>
        <v>Mobile Unit - Route B</v>
      </c>
      <c r="I687" s="9" t="n">
        <f aca="false">IF(Raw_Volunteers!G687="",ROUND(AVERAGE(Raw_Volunteers!$G$2:$G$926),1),Raw_Volunteers!G687)</f>
        <v>2</v>
      </c>
    </row>
    <row r="688" customFormat="false" ht="15" hidden="false" customHeight="true" outlineLevel="0" collapsed="false">
      <c r="A688" s="9" t="str">
        <f aca="false">Raw_Volunteers!A688</f>
        <v>V2138</v>
      </c>
      <c r="B688" s="9" t="str">
        <f aca="false">IF(COUNTIFS(Raw_Volunteers!$A$2:$A$926,Raw_Volunteers!A688,Raw_Volunteers!$D$2:$D$926,Raw_Volunteers!D688,Raw_Volunteers!$E$2:$E$926,Raw_Volunteers!E688,Raw_Volunteers!$G$2:$G$926,Raw_Volunteers!G688)&gt;1,"Possible Duplicate","")</f>
        <v/>
      </c>
      <c r="C688" s="9" t="n">
        <f aca="false">Raw_Volunteers!B688</f>
        <v>0</v>
      </c>
      <c r="D688" s="9" t="str">
        <f aca="false">IF(C688="","No","Yes")</f>
        <v>No</v>
      </c>
      <c r="E688" s="9" t="str">
        <f aca="false">Raw_Volunteers!C688</f>
        <v>Donald Ramirez</v>
      </c>
      <c r="F688" s="9" t="str">
        <f aca="false">Raw_Volunteers!D688</f>
        <v>05/26/2024</v>
      </c>
      <c r="G688" s="9" t="str">
        <f aca="false">PROPER(TRIM(Raw_Volunteers!E688))</f>
        <v>Pantry Stocking</v>
      </c>
      <c r="H688" s="9" t="str">
        <f aca="false">Raw_Volunteers!F688</f>
        <v>Mobile Unit - Route B</v>
      </c>
      <c r="I688" s="9" t="n">
        <f aca="false">IF(Raw_Volunteers!G688="",ROUND(AVERAGE(Raw_Volunteers!$G$2:$G$926),1),Raw_Volunteers!G688)</f>
        <v>2</v>
      </c>
    </row>
    <row r="689" customFormat="false" ht="15" hidden="false" customHeight="true" outlineLevel="0" collapsed="false">
      <c r="A689" s="9" t="str">
        <f aca="false">Raw_Volunteers!A689</f>
        <v>V2139</v>
      </c>
      <c r="B689" s="9" t="str">
        <f aca="false">IF(COUNTIFS(Raw_Volunteers!$A$2:$A$926,Raw_Volunteers!A689,Raw_Volunteers!$D$2:$D$926,Raw_Volunteers!D689,Raw_Volunteers!$E$2:$E$926,Raw_Volunteers!E689,Raw_Volunteers!$G$2:$G$926,Raw_Volunteers!G689)&gt;1,"Possible Duplicate","")</f>
        <v/>
      </c>
      <c r="C689" s="9" t="n">
        <f aca="false">Raw_Volunteers!B689</f>
        <v>0</v>
      </c>
      <c r="D689" s="9" t="str">
        <f aca="false">IF(C689="","No","Yes")</f>
        <v>No</v>
      </c>
      <c r="E689" s="9" t="str">
        <f aca="false">Raw_Volunteers!C689</f>
        <v>Susan Taylor</v>
      </c>
      <c r="F689" s="9" t="str">
        <f aca="false">Raw_Volunteers!D689</f>
        <v>01/27/2024</v>
      </c>
      <c r="G689" s="9" t="str">
        <f aca="false">PROPER(TRIM(Raw_Volunteers!E689))</f>
        <v>Food Sorting</v>
      </c>
      <c r="H689" s="9" t="str">
        <f aca="false">Raw_Volunteers!F689</f>
        <v>Main Warehouse</v>
      </c>
      <c r="I689" s="9" t="n">
        <f aca="false">IF(Raw_Volunteers!G689="",ROUND(AVERAGE(Raw_Volunteers!$G$2:$G$926),1),Raw_Volunteers!G689)</f>
        <v>2</v>
      </c>
    </row>
    <row r="690" customFormat="false" ht="15" hidden="false" customHeight="true" outlineLevel="0" collapsed="false">
      <c r="A690" s="9" t="str">
        <f aca="false">Raw_Volunteers!A690</f>
        <v>V2139</v>
      </c>
      <c r="B690" s="9" t="str">
        <f aca="false">IF(COUNTIFS(Raw_Volunteers!$A$2:$A$926,Raw_Volunteers!A690,Raw_Volunteers!$D$2:$D$926,Raw_Volunteers!D690,Raw_Volunteers!$E$2:$E$926,Raw_Volunteers!E690,Raw_Volunteers!$G$2:$G$926,Raw_Volunteers!G690)&gt;1,"Possible Duplicate","")</f>
        <v/>
      </c>
      <c r="C690" s="9" t="n">
        <f aca="false">Raw_Volunteers!B690</f>
        <v>0</v>
      </c>
      <c r="D690" s="9" t="str">
        <f aca="false">IF(C690="","No","Yes")</f>
        <v>No</v>
      </c>
      <c r="E690" s="9" t="str">
        <f aca="false">Raw_Volunteers!C690</f>
        <v>Susan Taylor</v>
      </c>
      <c r="F690" s="9" t="str">
        <f aca="false">Raw_Volunteers!D690</f>
        <v>02/03/2025</v>
      </c>
      <c r="G690" s="9" t="str">
        <f aca="false">PROPER(TRIM(Raw_Volunteers!E690))</f>
        <v>Mobile Distribution Driver</v>
      </c>
      <c r="H690" s="9" t="str">
        <f aca="false">Raw_Volunteers!F690</f>
        <v>Downtown Pantry</v>
      </c>
      <c r="I690" s="9" t="n">
        <f aca="false">IF(Raw_Volunteers!G690="",ROUND(AVERAGE(Raw_Volunteers!$G$2:$G$926),1),Raw_Volunteers!G690)</f>
        <v>3</v>
      </c>
    </row>
    <row r="691" customFormat="false" ht="15" hidden="false" customHeight="true" outlineLevel="0" collapsed="false">
      <c r="A691" s="9" t="str">
        <f aca="false">Raw_Volunteers!A691</f>
        <v>V2139</v>
      </c>
      <c r="B691" s="9" t="str">
        <f aca="false">IF(COUNTIFS(Raw_Volunteers!$A$2:$A$926,Raw_Volunteers!A691,Raw_Volunteers!$D$2:$D$926,Raw_Volunteers!D691,Raw_Volunteers!$E$2:$E$926,Raw_Volunteers!E691,Raw_Volunteers!$G$2:$G$926,Raw_Volunteers!G691)&gt;1,"Possible Duplicate","")</f>
        <v/>
      </c>
      <c r="C691" s="9" t="n">
        <f aca="false">Raw_Volunteers!B691</f>
        <v>0</v>
      </c>
      <c r="D691" s="9" t="str">
        <f aca="false">IF(C691="","No","Yes")</f>
        <v>No</v>
      </c>
      <c r="E691" s="9" t="str">
        <f aca="false">Raw_Volunteers!C691</f>
        <v>Susan Taylor</v>
      </c>
      <c r="F691" s="9" t="str">
        <f aca="false">Raw_Volunteers!D691</f>
        <v>12/22/2025</v>
      </c>
      <c r="G691" s="9" t="str">
        <f aca="false">PROPER(TRIM(Raw_Volunteers!E691))</f>
        <v>Mobile Distribution Driver</v>
      </c>
      <c r="H691" s="9" t="str">
        <f aca="false">Raw_Volunteers!F691</f>
        <v>Main Warehouse</v>
      </c>
      <c r="I691" s="9" t="n">
        <f aca="false">IF(Raw_Volunteers!G691="",ROUND(AVERAGE(Raw_Volunteers!$G$2:$G$926),1),Raw_Volunteers!G691)</f>
        <v>3</v>
      </c>
    </row>
    <row r="692" customFormat="false" ht="15" hidden="false" customHeight="true" outlineLevel="0" collapsed="false">
      <c r="A692" s="9" t="str">
        <f aca="false">Raw_Volunteers!A692</f>
        <v>V2139</v>
      </c>
      <c r="B692" s="9" t="str">
        <f aca="false">IF(COUNTIFS(Raw_Volunteers!$A$2:$A$926,Raw_Volunteers!A692,Raw_Volunteers!$D$2:$D$926,Raw_Volunteers!D692,Raw_Volunteers!$E$2:$E$926,Raw_Volunteers!E692,Raw_Volunteers!$G$2:$G$926,Raw_Volunteers!G692)&gt;1,"Possible Duplicate","")</f>
        <v/>
      </c>
      <c r="C692" s="9" t="n">
        <f aca="false">Raw_Volunteers!B692</f>
        <v>0</v>
      </c>
      <c r="D692" s="9" t="str">
        <f aca="false">IF(C692="","No","Yes")</f>
        <v>No</v>
      </c>
      <c r="E692" s="9" t="str">
        <f aca="false">Raw_Volunteers!C692</f>
        <v>Susan Taylor</v>
      </c>
      <c r="F692" s="9" t="str">
        <f aca="false">Raw_Volunteers!D692</f>
        <v>10/10/2024</v>
      </c>
      <c r="G692" s="9" t="str">
        <f aca="false">PROPER(TRIM(Raw_Volunteers!E692))</f>
        <v>Client Intake Assistant</v>
      </c>
      <c r="H692" s="9" t="str">
        <f aca="false">Raw_Volunteers!F692</f>
        <v>Downtown Pantry</v>
      </c>
      <c r="I692" s="9" t="n">
        <f aca="false">IF(Raw_Volunteers!G692="",ROUND(AVERAGE(Raw_Volunteers!$G$2:$G$926),1),Raw_Volunteers!G692)</f>
        <v>3</v>
      </c>
    </row>
    <row r="693" customFormat="false" ht="15" hidden="false" customHeight="true" outlineLevel="0" collapsed="false">
      <c r="A693" s="9" t="str">
        <f aca="false">Raw_Volunteers!A693</f>
        <v>V2139</v>
      </c>
      <c r="B693" s="9" t="str">
        <f aca="false">IF(COUNTIFS(Raw_Volunteers!$A$2:$A$926,Raw_Volunteers!A693,Raw_Volunteers!$D$2:$D$926,Raw_Volunteers!D693,Raw_Volunteers!$E$2:$E$926,Raw_Volunteers!E693,Raw_Volunteers!$G$2:$G$926,Raw_Volunteers!G693)&gt;1,"Possible Duplicate","")</f>
        <v/>
      </c>
      <c r="C693" s="9" t="n">
        <f aca="false">Raw_Volunteers!B693</f>
        <v>0</v>
      </c>
      <c r="D693" s="9" t="str">
        <f aca="false">IF(C693="","No","Yes")</f>
        <v>No</v>
      </c>
      <c r="E693" s="9" t="str">
        <f aca="false">Raw_Volunteers!C693</f>
        <v>Susan Taylor</v>
      </c>
      <c r="F693" s="9" t="str">
        <f aca="false">Raw_Volunteers!D693</f>
        <v>03/14/2026</v>
      </c>
      <c r="G693" s="9" t="str">
        <f aca="false">PROPER(TRIM(Raw_Volunteers!E693))</f>
        <v>Client Intake Assistant</v>
      </c>
      <c r="H693" s="9" t="str">
        <f aca="false">Raw_Volunteers!F693</f>
        <v>Main Warehouse</v>
      </c>
      <c r="I693" s="9" t="n">
        <f aca="false">IF(Raw_Volunteers!G693="",ROUND(AVERAGE(Raw_Volunteers!$G$2:$G$926),1),Raw_Volunteers!G693)</f>
        <v>2</v>
      </c>
    </row>
    <row r="694" customFormat="false" ht="15" hidden="false" customHeight="true" outlineLevel="0" collapsed="false">
      <c r="A694" s="9" t="str">
        <f aca="false">Raw_Volunteers!A694</f>
        <v>V2140</v>
      </c>
      <c r="B694" s="9" t="str">
        <f aca="false">IF(COUNTIFS(Raw_Volunteers!$A$2:$A$926,Raw_Volunteers!A694,Raw_Volunteers!$D$2:$D$926,Raw_Volunteers!D694,Raw_Volunteers!$E$2:$E$926,Raw_Volunteers!E694,Raw_Volunteers!$G$2:$G$926,Raw_Volunteers!G694)&gt;1,"Possible Duplicate","")</f>
        <v/>
      </c>
      <c r="C694" s="9" t="n">
        <f aca="false">Raw_Volunteers!B694</f>
        <v>0</v>
      </c>
      <c r="D694" s="9" t="str">
        <f aca="false">IF(C694="","No","Yes")</f>
        <v>No</v>
      </c>
      <c r="E694" s="9" t="str">
        <f aca="false">Raw_Volunteers!C694</f>
        <v>Patricia Harris</v>
      </c>
      <c r="F694" s="9" t="str">
        <f aca="false">Raw_Volunteers!D694</f>
        <v>02/11/2026</v>
      </c>
      <c r="G694" s="9" t="str">
        <f aca="false">PROPER(TRIM(Raw_Volunteers!E694))</f>
        <v>Event Setup</v>
      </c>
      <c r="H694" s="9" t="str">
        <f aca="false">Raw_Volunteers!F694</f>
        <v>Main Warehouse</v>
      </c>
      <c r="I694" s="9" t="n">
        <f aca="false">IF(Raw_Volunteers!G694="",ROUND(AVERAGE(Raw_Volunteers!$G$2:$G$926),1),Raw_Volunteers!G694)</f>
        <v>2.9</v>
      </c>
    </row>
    <row r="695" customFormat="false" ht="15" hidden="false" customHeight="true" outlineLevel="0" collapsed="false">
      <c r="A695" s="9" t="str">
        <f aca="false">Raw_Volunteers!A695</f>
        <v>V2141</v>
      </c>
      <c r="B695" s="9" t="str">
        <f aca="false">IF(COUNTIFS(Raw_Volunteers!$A$2:$A$926,Raw_Volunteers!A695,Raw_Volunteers!$D$2:$D$926,Raw_Volunteers!D695,Raw_Volunteers!$E$2:$E$926,Raw_Volunteers!E695,Raw_Volunteers!$G$2:$G$926,Raw_Volunteers!G695)&gt;1,"Possible Duplicate","")</f>
        <v/>
      </c>
      <c r="C695" s="9" t="n">
        <f aca="false">Raw_Volunteers!B695</f>
        <v>0</v>
      </c>
      <c r="D695" s="9" t="str">
        <f aca="false">IF(C695="","No","Yes")</f>
        <v>No</v>
      </c>
      <c r="E695" s="9" t="str">
        <f aca="false">Raw_Volunteers!C695</f>
        <v>Matthew Torres</v>
      </c>
      <c r="F695" s="9" t="str">
        <f aca="false">Raw_Volunteers!D695</f>
        <v>08/20/2025</v>
      </c>
      <c r="G695" s="9" t="str">
        <f aca="false">PROPER(TRIM(Raw_Volunteers!E695))</f>
        <v>Holiday Box Packing</v>
      </c>
      <c r="H695" s="9" t="str">
        <f aca="false">Raw_Volunteers!F695</f>
        <v>Community Center Site</v>
      </c>
      <c r="I695" s="9" t="n">
        <f aca="false">IF(Raw_Volunteers!G695="",ROUND(AVERAGE(Raw_Volunteers!$G$2:$G$926),1),Raw_Volunteers!G695)</f>
        <v>2</v>
      </c>
    </row>
    <row r="696" customFormat="false" ht="15" hidden="false" customHeight="true" outlineLevel="0" collapsed="false">
      <c r="A696" s="9" t="str">
        <f aca="false">Raw_Volunteers!A696</f>
        <v>V2141</v>
      </c>
      <c r="B696" s="9" t="str">
        <f aca="false">IF(COUNTIFS(Raw_Volunteers!$A$2:$A$926,Raw_Volunteers!A696,Raw_Volunteers!$D$2:$D$926,Raw_Volunteers!D696,Raw_Volunteers!$E$2:$E$926,Raw_Volunteers!E696,Raw_Volunteers!$G$2:$G$926,Raw_Volunteers!G696)&gt;1,"Possible Duplicate","")</f>
        <v/>
      </c>
      <c r="C696" s="9" t="n">
        <f aca="false">Raw_Volunteers!B696</f>
        <v>0</v>
      </c>
      <c r="D696" s="9" t="str">
        <f aca="false">IF(C696="","No","Yes")</f>
        <v>No</v>
      </c>
      <c r="E696" s="9" t="str">
        <f aca="false">Raw_Volunteers!C696</f>
        <v>Matthew Torres</v>
      </c>
      <c r="F696" s="9" t="str">
        <f aca="false">Raw_Volunteers!D696</f>
        <v>09/09/2024</v>
      </c>
      <c r="G696" s="9" t="str">
        <f aca="false">PROPER(TRIM(Raw_Volunteers!E696))</f>
        <v>Warehouse Loading</v>
      </c>
      <c r="H696" s="9" t="str">
        <f aca="false">Raw_Volunteers!F696</f>
        <v>Mobile Unit - Route A</v>
      </c>
      <c r="I696" s="9" t="n">
        <f aca="false">IF(Raw_Volunteers!G696="",ROUND(AVERAGE(Raw_Volunteers!$G$2:$G$926),1),Raw_Volunteers!G696)</f>
        <v>2</v>
      </c>
    </row>
    <row r="697" customFormat="false" ht="15" hidden="false" customHeight="true" outlineLevel="0" collapsed="false">
      <c r="A697" s="9" t="str">
        <f aca="false">Raw_Volunteers!A697</f>
        <v>V2141</v>
      </c>
      <c r="B697" s="9" t="str">
        <f aca="false">IF(COUNTIFS(Raw_Volunteers!$A$2:$A$926,Raw_Volunteers!A697,Raw_Volunteers!$D$2:$D$926,Raw_Volunteers!D697,Raw_Volunteers!$E$2:$E$926,Raw_Volunteers!E697,Raw_Volunteers!$G$2:$G$926,Raw_Volunteers!G697)&gt;1,"Possible Duplicate","")</f>
        <v/>
      </c>
      <c r="C697" s="9" t="n">
        <f aca="false">Raw_Volunteers!B697</f>
        <v>0</v>
      </c>
      <c r="D697" s="9" t="str">
        <f aca="false">IF(C697="","No","Yes")</f>
        <v>No</v>
      </c>
      <c r="E697" s="9" t="str">
        <f aca="false">Raw_Volunteers!C697</f>
        <v>Matthew Torres</v>
      </c>
      <c r="F697" s="9" t="str">
        <f aca="false">Raw_Volunteers!D697</f>
        <v>03/12/2025</v>
      </c>
      <c r="G697" s="9" t="str">
        <f aca="false">PROPER(TRIM(Raw_Volunteers!E697))</f>
        <v>Holiday Box Packing</v>
      </c>
      <c r="H697" s="9" t="str">
        <f aca="false">Raw_Volunteers!F697</f>
        <v>Downtown Pantry</v>
      </c>
      <c r="I697" s="9" t="n">
        <f aca="false">IF(Raw_Volunteers!G697="",ROUND(AVERAGE(Raw_Volunteers!$G$2:$G$926),1),Raw_Volunteers!G697)</f>
        <v>4</v>
      </c>
    </row>
    <row r="698" customFormat="false" ht="15" hidden="false" customHeight="true" outlineLevel="0" collapsed="false">
      <c r="A698" s="9" t="str">
        <f aca="false">Raw_Volunteers!A698</f>
        <v>V2142</v>
      </c>
      <c r="B698" s="9" t="str">
        <f aca="false">IF(COUNTIFS(Raw_Volunteers!$A$2:$A$926,Raw_Volunteers!A698,Raw_Volunteers!$D$2:$D$926,Raw_Volunteers!D698,Raw_Volunteers!$E$2:$E$926,Raw_Volunteers!E698,Raw_Volunteers!$G$2:$G$926,Raw_Volunteers!G698)&gt;1,"Possible Duplicate","")</f>
        <v/>
      </c>
      <c r="C698" s="9" t="n">
        <f aca="false">Raw_Volunteers!B698</f>
        <v>0</v>
      </c>
      <c r="D698" s="9" t="str">
        <f aca="false">IF(C698="","No","Yes")</f>
        <v>No</v>
      </c>
      <c r="E698" s="9" t="str">
        <f aca="false">Raw_Volunteers!C698</f>
        <v>Steven Flores</v>
      </c>
      <c r="F698" s="9" t="str">
        <f aca="false">Raw_Volunteers!D698</f>
        <v>12/13/2024</v>
      </c>
      <c r="G698" s="9" t="str">
        <f aca="false">PROPER(TRIM(Raw_Volunteers!E698))</f>
        <v>Event Setup</v>
      </c>
      <c r="H698" s="9" t="str">
        <f aca="false">Raw_Volunteers!F698</f>
        <v>Community Center Site</v>
      </c>
      <c r="I698" s="9" t="n">
        <f aca="false">IF(Raw_Volunteers!G698="",ROUND(AVERAGE(Raw_Volunteers!$G$2:$G$926),1),Raw_Volunteers!G698)</f>
        <v>2</v>
      </c>
    </row>
    <row r="699" customFormat="false" ht="15" hidden="false" customHeight="true" outlineLevel="0" collapsed="false">
      <c r="A699" s="9" t="str">
        <f aca="false">Raw_Volunteers!A699</f>
        <v>V2142</v>
      </c>
      <c r="B699" s="9" t="str">
        <f aca="false">IF(COUNTIFS(Raw_Volunteers!$A$2:$A$926,Raw_Volunteers!A699,Raw_Volunteers!$D$2:$D$926,Raw_Volunteers!D699,Raw_Volunteers!$E$2:$E$926,Raw_Volunteers!E699,Raw_Volunteers!$G$2:$G$926,Raw_Volunteers!G699)&gt;1,"Possible Duplicate","")</f>
        <v/>
      </c>
      <c r="C699" s="9" t="n">
        <f aca="false">Raw_Volunteers!B699</f>
        <v>0</v>
      </c>
      <c r="D699" s="9" t="str">
        <f aca="false">IF(C699="","No","Yes")</f>
        <v>No</v>
      </c>
      <c r="E699" s="9" t="str">
        <f aca="false">Raw_Volunteers!C699</f>
        <v>Steven Flores</v>
      </c>
      <c r="F699" s="9" t="str">
        <f aca="false">Raw_Volunteers!D699</f>
        <v>10/19/2024</v>
      </c>
      <c r="G699" s="9" t="str">
        <f aca="false">PROPER(TRIM(Raw_Volunteers!E699))</f>
        <v>Mobile Distribution Driver</v>
      </c>
      <c r="H699" s="9" t="str">
        <f aca="false">Raw_Volunteers!F699</f>
        <v>Main Warehouse</v>
      </c>
      <c r="I699" s="9" t="n">
        <f aca="false">IF(Raw_Volunteers!G699="",ROUND(AVERAGE(Raw_Volunteers!$G$2:$G$926),1),Raw_Volunteers!G699)</f>
        <v>2</v>
      </c>
    </row>
    <row r="700" customFormat="false" ht="15" hidden="false" customHeight="true" outlineLevel="0" collapsed="false">
      <c r="A700" s="9" t="str">
        <f aca="false">Raw_Volunteers!A700</f>
        <v>V2142</v>
      </c>
      <c r="B700" s="9" t="str">
        <f aca="false">IF(COUNTIFS(Raw_Volunteers!$A$2:$A$926,Raw_Volunteers!A700,Raw_Volunteers!$D$2:$D$926,Raw_Volunteers!D700,Raw_Volunteers!$E$2:$E$926,Raw_Volunteers!E700,Raw_Volunteers!$G$2:$G$926,Raw_Volunteers!G700)&gt;1,"Possible Duplicate","")</f>
        <v/>
      </c>
      <c r="C700" s="9" t="n">
        <f aca="false">Raw_Volunteers!B700</f>
        <v>0</v>
      </c>
      <c r="D700" s="9" t="str">
        <f aca="false">IF(C700="","No","Yes")</f>
        <v>No</v>
      </c>
      <c r="E700" s="9" t="str">
        <f aca="false">Raw_Volunteers!C700</f>
        <v>Steven Flores</v>
      </c>
      <c r="F700" s="9" t="str">
        <f aca="false">Raw_Volunteers!D700</f>
        <v>01/20/2026</v>
      </c>
      <c r="G700" s="9" t="str">
        <f aca="false">PROPER(TRIM(Raw_Volunteers!E700))</f>
        <v>Mobile Distribution Driver</v>
      </c>
      <c r="H700" s="9" t="str">
        <f aca="false">Raw_Volunteers!F700</f>
        <v>Downtown Pantry</v>
      </c>
      <c r="I700" s="9" t="n">
        <f aca="false">IF(Raw_Volunteers!G700="",ROUND(AVERAGE(Raw_Volunteers!$G$2:$G$926),1),Raw_Volunteers!G700)</f>
        <v>2</v>
      </c>
    </row>
    <row r="701" customFormat="false" ht="15" hidden="false" customHeight="true" outlineLevel="0" collapsed="false">
      <c r="A701" s="9" t="str">
        <f aca="false">Raw_Volunteers!A701</f>
        <v>V2142</v>
      </c>
      <c r="B701" s="9" t="str">
        <f aca="false">IF(COUNTIFS(Raw_Volunteers!$A$2:$A$926,Raw_Volunteers!A701,Raw_Volunteers!$D$2:$D$926,Raw_Volunteers!D701,Raw_Volunteers!$E$2:$E$926,Raw_Volunteers!E701,Raw_Volunteers!$G$2:$G$926,Raw_Volunteers!G701)&gt;1,"Possible Duplicate","")</f>
        <v/>
      </c>
      <c r="C701" s="9" t="n">
        <f aca="false">Raw_Volunteers!B701</f>
        <v>0</v>
      </c>
      <c r="D701" s="9" t="str">
        <f aca="false">IF(C701="","No","Yes")</f>
        <v>No</v>
      </c>
      <c r="E701" s="9" t="str">
        <f aca="false">Raw_Volunteers!C701</f>
        <v>Steven Flores</v>
      </c>
      <c r="F701" s="9" t="str">
        <f aca="false">Raw_Volunteers!D701</f>
        <v>09/17/2024</v>
      </c>
      <c r="G701" s="9" t="str">
        <f aca="false">PROPER(TRIM(Raw_Volunteers!E701))</f>
        <v>Pantry Stocking</v>
      </c>
      <c r="H701" s="9" t="str">
        <f aca="false">Raw_Volunteers!F701</f>
        <v>Community Center Site</v>
      </c>
      <c r="I701" s="9" t="n">
        <f aca="false">IF(Raw_Volunteers!G701="",ROUND(AVERAGE(Raw_Volunteers!$G$2:$G$926),1),Raw_Volunteers!G701)</f>
        <v>2</v>
      </c>
    </row>
    <row r="702" customFormat="false" ht="15" hidden="false" customHeight="true" outlineLevel="0" collapsed="false">
      <c r="A702" s="9" t="str">
        <f aca="false">Raw_Volunteers!A702</f>
        <v>V2142</v>
      </c>
      <c r="B702" s="9" t="str">
        <f aca="false">IF(COUNTIFS(Raw_Volunteers!$A$2:$A$926,Raw_Volunteers!A702,Raw_Volunteers!$D$2:$D$926,Raw_Volunteers!D702,Raw_Volunteers!$E$2:$E$926,Raw_Volunteers!E702,Raw_Volunteers!$G$2:$G$926,Raw_Volunteers!G702)&gt;1,"Possible Duplicate","")</f>
        <v/>
      </c>
      <c r="C702" s="9" t="n">
        <f aca="false">Raw_Volunteers!B702</f>
        <v>0</v>
      </c>
      <c r="D702" s="9" t="str">
        <f aca="false">IF(C702="","No","Yes")</f>
        <v>No</v>
      </c>
      <c r="E702" s="9" t="str">
        <f aca="false">Raw_Volunteers!C702</f>
        <v>Steven Flores</v>
      </c>
      <c r="F702" s="9" t="str">
        <f aca="false">Raw_Volunteers!D702</f>
        <v>05/08/2025</v>
      </c>
      <c r="G702" s="9" t="str">
        <f aca="false">PROPER(TRIM(Raw_Volunteers!E702))</f>
        <v>Pantry Stocking</v>
      </c>
      <c r="H702" s="9" t="str">
        <f aca="false">Raw_Volunteers!F702</f>
        <v>Mobile Unit - Route B</v>
      </c>
      <c r="I702" s="9" t="n">
        <f aca="false">IF(Raw_Volunteers!G702="",ROUND(AVERAGE(Raw_Volunteers!$G$2:$G$926),1),Raw_Volunteers!G702)</f>
        <v>2</v>
      </c>
    </row>
    <row r="703" customFormat="false" ht="15" hidden="false" customHeight="true" outlineLevel="0" collapsed="false">
      <c r="A703" s="9" t="str">
        <f aca="false">Raw_Volunteers!A703</f>
        <v>V2142</v>
      </c>
      <c r="B703" s="9" t="str">
        <f aca="false">IF(COUNTIFS(Raw_Volunteers!$A$2:$A$926,Raw_Volunteers!A703,Raw_Volunteers!$D$2:$D$926,Raw_Volunteers!D703,Raw_Volunteers!$E$2:$E$926,Raw_Volunteers!E703,Raw_Volunteers!$G$2:$G$926,Raw_Volunteers!G703)&gt;1,"Possible Duplicate","")</f>
        <v/>
      </c>
      <c r="C703" s="9" t="n">
        <f aca="false">Raw_Volunteers!B703</f>
        <v>0</v>
      </c>
      <c r="D703" s="9" t="str">
        <f aca="false">IF(C703="","No","Yes")</f>
        <v>No</v>
      </c>
      <c r="E703" s="9" t="str">
        <f aca="false">Raw_Volunteers!C703</f>
        <v>Steven Flores</v>
      </c>
      <c r="F703" s="9" t="str">
        <f aca="false">Raw_Volunteers!D703</f>
        <v>04/25/2024</v>
      </c>
      <c r="G703" s="9" t="str">
        <f aca="false">PROPER(TRIM(Raw_Volunteers!E703))</f>
        <v>Event Setup</v>
      </c>
      <c r="H703" s="9" t="str">
        <f aca="false">Raw_Volunteers!F703</f>
        <v>Main Warehouse</v>
      </c>
      <c r="I703" s="9" t="n">
        <f aca="false">IF(Raw_Volunteers!G703="",ROUND(AVERAGE(Raw_Volunteers!$G$2:$G$926),1),Raw_Volunteers!G703)</f>
        <v>2</v>
      </c>
    </row>
    <row r="704" customFormat="false" ht="15" hidden="false" customHeight="true" outlineLevel="0" collapsed="false">
      <c r="A704" s="9" t="str">
        <f aca="false">Raw_Volunteers!A704</f>
        <v>V2143</v>
      </c>
      <c r="B704" s="9" t="str">
        <f aca="false">IF(COUNTIFS(Raw_Volunteers!$A$2:$A$926,Raw_Volunteers!A704,Raw_Volunteers!$D$2:$D$926,Raw_Volunteers!D704,Raw_Volunteers!$E$2:$E$926,Raw_Volunteers!E704,Raw_Volunteers!$G$2:$G$926,Raw_Volunteers!G704)&gt;1,"Possible Duplicate","")</f>
        <v/>
      </c>
      <c r="C704" s="9" t="n">
        <f aca="false">Raw_Volunteers!B704</f>
        <v>0</v>
      </c>
      <c r="D704" s="9" t="str">
        <f aca="false">IF(C704="","No","Yes")</f>
        <v>No</v>
      </c>
      <c r="E704" s="9" t="str">
        <f aca="false">Raw_Volunteers!C704</f>
        <v>Betty Anderson</v>
      </c>
      <c r="F704" s="9" t="str">
        <f aca="false">Raw_Volunteers!D704</f>
        <v>01/06/2024</v>
      </c>
      <c r="G704" s="9" t="str">
        <f aca="false">PROPER(TRIM(Raw_Volunteers!E704))</f>
        <v>Pantry Stocking</v>
      </c>
      <c r="H704" s="9" t="str">
        <f aca="false">Raw_Volunteers!F704</f>
        <v>Mobile Unit - Route B</v>
      </c>
      <c r="I704" s="9" t="n">
        <f aca="false">IF(Raw_Volunteers!G704="",ROUND(AVERAGE(Raw_Volunteers!$G$2:$G$926),1),Raw_Volunteers!G704)</f>
        <v>4</v>
      </c>
    </row>
    <row r="705" customFormat="false" ht="15" hidden="false" customHeight="true" outlineLevel="0" collapsed="false">
      <c r="A705" s="9" t="str">
        <f aca="false">Raw_Volunteers!A705</f>
        <v>V2144</v>
      </c>
      <c r="B705" s="9" t="str">
        <f aca="false">IF(COUNTIFS(Raw_Volunteers!$A$2:$A$926,Raw_Volunteers!A705,Raw_Volunteers!$D$2:$D$926,Raw_Volunteers!D705,Raw_Volunteers!$E$2:$E$926,Raw_Volunteers!E705,Raw_Volunteers!$G$2:$G$926,Raw_Volunteers!G705)&gt;1,"Possible Duplicate","")</f>
        <v/>
      </c>
      <c r="C705" s="9" t="n">
        <f aca="false">Raw_Volunteers!B705</f>
        <v>0</v>
      </c>
      <c r="D705" s="9" t="str">
        <f aca="false">IF(C705="","No","Yes")</f>
        <v>No</v>
      </c>
      <c r="E705" s="9" t="str">
        <f aca="false">Raw_Volunteers!C705</f>
        <v>Charles Brown</v>
      </c>
      <c r="F705" s="9" t="str">
        <f aca="false">Raw_Volunteers!D705</f>
        <v>12/09/2024</v>
      </c>
      <c r="G705" s="9" t="str">
        <f aca="false">PROPER(TRIM(Raw_Volunteers!E705))</f>
        <v>Holiday Box Packing</v>
      </c>
      <c r="H705" s="9" t="str">
        <f aca="false">Raw_Volunteers!F705</f>
        <v>Main Warehouse</v>
      </c>
      <c r="I705" s="9" t="n">
        <f aca="false">IF(Raw_Volunteers!G705="",ROUND(AVERAGE(Raw_Volunteers!$G$2:$G$926),1),Raw_Volunteers!G705)</f>
        <v>3</v>
      </c>
    </row>
    <row r="706" customFormat="false" ht="15" hidden="false" customHeight="true" outlineLevel="0" collapsed="false">
      <c r="A706" s="9" t="str">
        <f aca="false">Raw_Volunteers!A706</f>
        <v>V2144</v>
      </c>
      <c r="B706" s="9" t="str">
        <f aca="false">IF(COUNTIFS(Raw_Volunteers!$A$2:$A$926,Raw_Volunteers!A706,Raw_Volunteers!$D$2:$D$926,Raw_Volunteers!D706,Raw_Volunteers!$E$2:$E$926,Raw_Volunteers!E706,Raw_Volunteers!$G$2:$G$926,Raw_Volunteers!G706)&gt;1,"Possible Duplicate","")</f>
        <v/>
      </c>
      <c r="C706" s="9" t="n">
        <f aca="false">Raw_Volunteers!B706</f>
        <v>0</v>
      </c>
      <c r="D706" s="9" t="str">
        <f aca="false">IF(C706="","No","Yes")</f>
        <v>No</v>
      </c>
      <c r="E706" s="9" t="str">
        <f aca="false">Raw_Volunteers!C706</f>
        <v>Charles Brown</v>
      </c>
      <c r="F706" s="9" t="str">
        <f aca="false">Raw_Volunteers!D706</f>
        <v>03/01/2024</v>
      </c>
      <c r="G706" s="9" t="str">
        <f aca="false">PROPER(TRIM(Raw_Volunteers!E706))</f>
        <v>Holiday Box Packing</v>
      </c>
      <c r="H706" s="9" t="str">
        <f aca="false">Raw_Volunteers!F706</f>
        <v>Community Center Site</v>
      </c>
      <c r="I706" s="9" t="n">
        <f aca="false">IF(Raw_Volunteers!G706="",ROUND(AVERAGE(Raw_Volunteers!$G$2:$G$926),1),Raw_Volunteers!G706)</f>
        <v>2</v>
      </c>
    </row>
    <row r="707" customFormat="false" ht="15" hidden="false" customHeight="true" outlineLevel="0" collapsed="false">
      <c r="A707" s="9" t="str">
        <f aca="false">Raw_Volunteers!A707</f>
        <v>V2144</v>
      </c>
      <c r="B707" s="9" t="str">
        <f aca="false">IF(COUNTIFS(Raw_Volunteers!$A$2:$A$926,Raw_Volunteers!A707,Raw_Volunteers!$D$2:$D$926,Raw_Volunteers!D707,Raw_Volunteers!$E$2:$E$926,Raw_Volunteers!E707,Raw_Volunteers!$G$2:$G$926,Raw_Volunteers!G707)&gt;1,"Possible Duplicate","")</f>
        <v/>
      </c>
      <c r="C707" s="9" t="n">
        <f aca="false">Raw_Volunteers!B707</f>
        <v>0</v>
      </c>
      <c r="D707" s="9" t="str">
        <f aca="false">IF(C707="","No","Yes")</f>
        <v>No</v>
      </c>
      <c r="E707" s="9" t="str">
        <f aca="false">Raw_Volunteers!C707</f>
        <v>Charles Brown</v>
      </c>
      <c r="F707" s="9" t="str">
        <f aca="false">Raw_Volunteers!D707</f>
        <v>04/21/2025</v>
      </c>
      <c r="G707" s="9" t="str">
        <f aca="false">PROPER(TRIM(Raw_Volunteers!E707))</f>
        <v>Mobile Distribution Driver</v>
      </c>
      <c r="H707" s="9" t="str">
        <f aca="false">Raw_Volunteers!F707</f>
        <v>Main Warehouse</v>
      </c>
      <c r="I707" s="9" t="n">
        <f aca="false">IF(Raw_Volunteers!G707="",ROUND(AVERAGE(Raw_Volunteers!$G$2:$G$926),1),Raw_Volunteers!G707)</f>
        <v>3</v>
      </c>
    </row>
    <row r="708" customFormat="false" ht="15" hidden="false" customHeight="true" outlineLevel="0" collapsed="false">
      <c r="A708" s="9" t="str">
        <f aca="false">Raw_Volunteers!A708</f>
        <v>V2144</v>
      </c>
      <c r="B708" s="9" t="str">
        <f aca="false">IF(COUNTIFS(Raw_Volunteers!$A$2:$A$926,Raw_Volunteers!A708,Raw_Volunteers!$D$2:$D$926,Raw_Volunteers!D708,Raw_Volunteers!$E$2:$E$926,Raw_Volunteers!E708,Raw_Volunteers!$G$2:$G$926,Raw_Volunteers!G708)&gt;1,"Possible Duplicate","")</f>
        <v/>
      </c>
      <c r="C708" s="9" t="n">
        <f aca="false">Raw_Volunteers!B708</f>
        <v>0</v>
      </c>
      <c r="D708" s="9" t="str">
        <f aca="false">IF(C708="","No","Yes")</f>
        <v>No</v>
      </c>
      <c r="E708" s="9" t="str">
        <f aca="false">Raw_Volunteers!C708</f>
        <v>Charles Brown</v>
      </c>
      <c r="F708" s="9" t="str">
        <f aca="false">Raw_Volunteers!D708</f>
        <v>04/05/2025</v>
      </c>
      <c r="G708" s="9" t="str">
        <f aca="false">PROPER(TRIM(Raw_Volunteers!E708))</f>
        <v>Food Sorting</v>
      </c>
      <c r="H708" s="9" t="str">
        <f aca="false">Raw_Volunteers!F708</f>
        <v>Mobile Unit - Route B</v>
      </c>
      <c r="I708" s="9" t="n">
        <f aca="false">IF(Raw_Volunteers!G708="",ROUND(AVERAGE(Raw_Volunteers!$G$2:$G$926),1),Raw_Volunteers!G708)</f>
        <v>3</v>
      </c>
    </row>
    <row r="709" customFormat="false" ht="15" hidden="false" customHeight="true" outlineLevel="0" collapsed="false">
      <c r="A709" s="9" t="str">
        <f aca="false">Raw_Volunteers!A709</f>
        <v>V2144</v>
      </c>
      <c r="B709" s="9" t="str">
        <f aca="false">IF(COUNTIFS(Raw_Volunteers!$A$2:$A$926,Raw_Volunteers!A709,Raw_Volunteers!$D$2:$D$926,Raw_Volunteers!D709,Raw_Volunteers!$E$2:$E$926,Raw_Volunteers!E709,Raw_Volunteers!$G$2:$G$926,Raw_Volunteers!G709)&gt;1,"Possible Duplicate","")</f>
        <v/>
      </c>
      <c r="C709" s="9" t="n">
        <f aca="false">Raw_Volunteers!B709</f>
        <v>0</v>
      </c>
      <c r="D709" s="9" t="str">
        <f aca="false">IF(C709="","No","Yes")</f>
        <v>No</v>
      </c>
      <c r="E709" s="9" t="str">
        <f aca="false">Raw_Volunteers!C709</f>
        <v>Charles Brown</v>
      </c>
      <c r="F709" s="9" t="str">
        <f aca="false">Raw_Volunteers!D709</f>
        <v>10/05/2025</v>
      </c>
      <c r="G709" s="9" t="str">
        <f aca="false">PROPER(TRIM(Raw_Volunteers!E709))</f>
        <v>Event Setup</v>
      </c>
      <c r="H709" s="9" t="str">
        <f aca="false">Raw_Volunteers!F709</f>
        <v>Main Warehouse</v>
      </c>
      <c r="I709" s="9" t="n">
        <f aca="false">IF(Raw_Volunteers!G709="",ROUND(AVERAGE(Raw_Volunteers!$G$2:$G$926),1),Raw_Volunteers!G709)</f>
        <v>2</v>
      </c>
    </row>
    <row r="710" customFormat="false" ht="15" hidden="false" customHeight="true" outlineLevel="0" collapsed="false">
      <c r="A710" s="9" t="str">
        <f aca="false">Raw_Volunteers!A710</f>
        <v>V2144</v>
      </c>
      <c r="B710" s="9" t="str">
        <f aca="false">IF(COUNTIFS(Raw_Volunteers!$A$2:$A$926,Raw_Volunteers!A710,Raw_Volunteers!$D$2:$D$926,Raw_Volunteers!D710,Raw_Volunteers!$E$2:$E$926,Raw_Volunteers!E710,Raw_Volunteers!$G$2:$G$926,Raw_Volunteers!G710)&gt;1,"Possible Duplicate","")</f>
        <v/>
      </c>
      <c r="C710" s="9" t="n">
        <f aca="false">Raw_Volunteers!B710</f>
        <v>0</v>
      </c>
      <c r="D710" s="9" t="str">
        <f aca="false">IF(C710="","No","Yes")</f>
        <v>No</v>
      </c>
      <c r="E710" s="9" t="str">
        <f aca="false">Raw_Volunteers!C710</f>
        <v>Charles Brown</v>
      </c>
      <c r="F710" s="9" t="str">
        <f aca="false">Raw_Volunteers!D710</f>
        <v>11/06/2024</v>
      </c>
      <c r="G710" s="9" t="str">
        <f aca="false">PROPER(TRIM(Raw_Volunteers!E710))</f>
        <v>Warehouse Loading</v>
      </c>
      <c r="H710" s="9" t="str">
        <f aca="false">Raw_Volunteers!F710</f>
        <v>Downtown Pantry</v>
      </c>
      <c r="I710" s="9" t="n">
        <f aca="false">IF(Raw_Volunteers!G710="",ROUND(AVERAGE(Raw_Volunteers!$G$2:$G$926),1),Raw_Volunteers!G710)</f>
        <v>6</v>
      </c>
    </row>
    <row r="711" customFormat="false" ht="15" hidden="false" customHeight="true" outlineLevel="0" collapsed="false">
      <c r="A711" s="9" t="str">
        <f aca="false">Raw_Volunteers!A711</f>
        <v>V2145</v>
      </c>
      <c r="B711" s="9" t="str">
        <f aca="false">IF(COUNTIFS(Raw_Volunteers!$A$2:$A$926,Raw_Volunteers!A711,Raw_Volunteers!$D$2:$D$926,Raw_Volunteers!D711,Raw_Volunteers!$E$2:$E$926,Raw_Volunteers!E711,Raw_Volunteers!$G$2:$G$926,Raw_Volunteers!G711)&gt;1,"Possible Duplicate","")</f>
        <v/>
      </c>
      <c r="C711" s="9" t="n">
        <f aca="false">Raw_Volunteers!B711</f>
        <v>0</v>
      </c>
      <c r="D711" s="9" t="str">
        <f aca="false">IF(C711="","No","Yes")</f>
        <v>No</v>
      </c>
      <c r="E711" s="9" t="str">
        <f aca="false">Raw_Volunteers!C711</f>
        <v>James White</v>
      </c>
      <c r="F711" s="9" t="str">
        <f aca="false">Raw_Volunteers!D711</f>
        <v>04/09/2024</v>
      </c>
      <c r="G711" s="9" t="str">
        <f aca="false">PROPER(TRIM(Raw_Volunteers!E711))</f>
        <v>Mobile Distribution Driver</v>
      </c>
      <c r="H711" s="9" t="str">
        <f aca="false">Raw_Volunteers!F711</f>
        <v>Downtown Pantry</v>
      </c>
      <c r="I711" s="9" t="n">
        <f aca="false">IF(Raw_Volunteers!G711="",ROUND(AVERAGE(Raw_Volunteers!$G$2:$G$926),1),Raw_Volunteers!G711)</f>
        <v>3</v>
      </c>
    </row>
    <row r="712" customFormat="false" ht="15" hidden="false" customHeight="true" outlineLevel="0" collapsed="false">
      <c r="A712" s="9" t="str">
        <f aca="false">Raw_Volunteers!A712</f>
        <v>V2145</v>
      </c>
      <c r="B712" s="9" t="str">
        <f aca="false">IF(COUNTIFS(Raw_Volunteers!$A$2:$A$926,Raw_Volunteers!A712,Raw_Volunteers!$D$2:$D$926,Raw_Volunteers!D712,Raw_Volunteers!$E$2:$E$926,Raw_Volunteers!E712,Raw_Volunteers!$G$2:$G$926,Raw_Volunteers!G712)&gt;1,"Possible Duplicate","")</f>
        <v/>
      </c>
      <c r="C712" s="9" t="n">
        <f aca="false">Raw_Volunteers!B712</f>
        <v>0</v>
      </c>
      <c r="D712" s="9" t="str">
        <f aca="false">IF(C712="","No","Yes")</f>
        <v>No</v>
      </c>
      <c r="E712" s="9" t="str">
        <f aca="false">Raw_Volunteers!C712</f>
        <v>James White</v>
      </c>
      <c r="F712" s="9" t="str">
        <f aca="false">Raw_Volunteers!D712</f>
        <v>09/24/2024</v>
      </c>
      <c r="G712" s="9" t="str">
        <f aca="false">PROPER(TRIM(Raw_Volunteers!E712))</f>
        <v>Event Setup</v>
      </c>
      <c r="H712" s="9" t="str">
        <f aca="false">Raw_Volunteers!F712</f>
        <v>Community Center Site</v>
      </c>
      <c r="I712" s="9" t="n">
        <f aca="false">IF(Raw_Volunteers!G712="",ROUND(AVERAGE(Raw_Volunteers!$G$2:$G$926),1),Raw_Volunteers!G712)</f>
        <v>2.9</v>
      </c>
    </row>
    <row r="713" customFormat="false" ht="15" hidden="false" customHeight="true" outlineLevel="0" collapsed="false">
      <c r="A713" s="9" t="str">
        <f aca="false">Raw_Volunteers!A713</f>
        <v>V2145</v>
      </c>
      <c r="B713" s="9" t="str">
        <f aca="false">IF(COUNTIFS(Raw_Volunteers!$A$2:$A$926,Raw_Volunteers!A713,Raw_Volunteers!$D$2:$D$926,Raw_Volunteers!D713,Raw_Volunteers!$E$2:$E$926,Raw_Volunteers!E713,Raw_Volunteers!$G$2:$G$926,Raw_Volunteers!G713)&gt;1,"Possible Duplicate","")</f>
        <v/>
      </c>
      <c r="C713" s="9" t="n">
        <f aca="false">Raw_Volunteers!B713</f>
        <v>0</v>
      </c>
      <c r="D713" s="9" t="str">
        <f aca="false">IF(C713="","No","Yes")</f>
        <v>No</v>
      </c>
      <c r="E713" s="9" t="str">
        <f aca="false">Raw_Volunteers!C713</f>
        <v>James White</v>
      </c>
      <c r="F713" s="9" t="str">
        <f aca="false">Raw_Volunteers!D713</f>
        <v>06/24/2024</v>
      </c>
      <c r="G713" s="9" t="str">
        <f aca="false">PROPER(TRIM(Raw_Volunteers!E713))</f>
        <v>Front Desk Greeter</v>
      </c>
      <c r="H713" s="9" t="str">
        <f aca="false">Raw_Volunteers!F713</f>
        <v>Main Warehouse</v>
      </c>
      <c r="I713" s="9" t="n">
        <f aca="false">IF(Raw_Volunteers!G713="",ROUND(AVERAGE(Raw_Volunteers!$G$2:$G$926),1),Raw_Volunteers!G713)</f>
        <v>3</v>
      </c>
    </row>
    <row r="714" customFormat="false" ht="15" hidden="false" customHeight="true" outlineLevel="0" collapsed="false">
      <c r="A714" s="9" t="str">
        <f aca="false">Raw_Volunteers!A714</f>
        <v>V2145</v>
      </c>
      <c r="B714" s="9" t="str">
        <f aca="false">IF(COUNTIFS(Raw_Volunteers!$A$2:$A$926,Raw_Volunteers!A714,Raw_Volunteers!$D$2:$D$926,Raw_Volunteers!D714,Raw_Volunteers!$E$2:$E$926,Raw_Volunteers!E714,Raw_Volunteers!$G$2:$G$926,Raw_Volunteers!G714)&gt;1,"Possible Duplicate","")</f>
        <v/>
      </c>
      <c r="C714" s="9" t="n">
        <f aca="false">Raw_Volunteers!B714</f>
        <v>0</v>
      </c>
      <c r="D714" s="9" t="str">
        <f aca="false">IF(C714="","No","Yes")</f>
        <v>No</v>
      </c>
      <c r="E714" s="9" t="str">
        <f aca="false">Raw_Volunteers!C714</f>
        <v>James White</v>
      </c>
      <c r="F714" s="9" t="str">
        <f aca="false">Raw_Volunteers!D714</f>
        <v>09/28/2025</v>
      </c>
      <c r="G714" s="9" t="str">
        <f aca="false">PROPER(TRIM(Raw_Volunteers!E714))</f>
        <v>Mobile Distribution Driver</v>
      </c>
      <c r="H714" s="9" t="str">
        <f aca="false">Raw_Volunteers!F714</f>
        <v>Mobile Unit - Route A</v>
      </c>
      <c r="I714" s="9" t="n">
        <f aca="false">IF(Raw_Volunteers!G714="",ROUND(AVERAGE(Raw_Volunteers!$G$2:$G$926),1),Raw_Volunteers!G714)</f>
        <v>2</v>
      </c>
    </row>
    <row r="715" customFormat="false" ht="15" hidden="false" customHeight="true" outlineLevel="0" collapsed="false">
      <c r="A715" s="9" t="str">
        <f aca="false">Raw_Volunteers!A715</f>
        <v>V2146</v>
      </c>
      <c r="B715" s="9" t="str">
        <f aca="false">IF(COUNTIFS(Raw_Volunteers!$A$2:$A$926,Raw_Volunteers!A715,Raw_Volunteers!$D$2:$D$926,Raw_Volunteers!D715,Raw_Volunteers!$E$2:$E$926,Raw_Volunteers!E715,Raw_Volunteers!$G$2:$G$926,Raw_Volunteers!G715)&gt;1,"Possible Duplicate","")</f>
        <v/>
      </c>
      <c r="C715" s="9" t="n">
        <f aca="false">Raw_Volunteers!B715</f>
        <v>0</v>
      </c>
      <c r="D715" s="9" t="str">
        <f aca="false">IF(C715="","No","Yes")</f>
        <v>No</v>
      </c>
      <c r="E715" s="9" t="str">
        <f aca="false">Raw_Volunteers!C715</f>
        <v>Christopher Martinez</v>
      </c>
      <c r="F715" s="9" t="str">
        <f aca="false">Raw_Volunteers!D715</f>
        <v>09/18/2025</v>
      </c>
      <c r="G715" s="9" t="str">
        <f aca="false">PROPER(TRIM(Raw_Volunteers!E715))</f>
        <v>Food Sorting</v>
      </c>
      <c r="H715" s="9" t="str">
        <f aca="false">Raw_Volunteers!F715</f>
        <v>Community Center Site</v>
      </c>
      <c r="I715" s="9" t="n">
        <f aca="false">IF(Raw_Volunteers!G715="",ROUND(AVERAGE(Raw_Volunteers!$G$2:$G$926),1),Raw_Volunteers!G715)</f>
        <v>3</v>
      </c>
    </row>
    <row r="716" customFormat="false" ht="15" hidden="false" customHeight="true" outlineLevel="0" collapsed="false">
      <c r="A716" s="9" t="str">
        <f aca="false">Raw_Volunteers!A716</f>
        <v>V2147</v>
      </c>
      <c r="B716" s="9" t="str">
        <f aca="false">IF(COUNTIFS(Raw_Volunteers!$A$2:$A$926,Raw_Volunteers!A716,Raw_Volunteers!$D$2:$D$926,Raw_Volunteers!D716,Raw_Volunteers!$E$2:$E$926,Raw_Volunteers!E716,Raw_Volunteers!$G$2:$G$926,Raw_Volunteers!G716)&gt;1,"Possible Duplicate","")</f>
        <v/>
      </c>
      <c r="C716" s="9" t="n">
        <f aca="false">Raw_Volunteers!B716</f>
        <v>0</v>
      </c>
      <c r="D716" s="9" t="str">
        <f aca="false">IF(C716="","No","Yes")</f>
        <v>No</v>
      </c>
      <c r="E716" s="9" t="str">
        <f aca="false">Raw_Volunteers!C716</f>
        <v>Carol Williams</v>
      </c>
      <c r="F716" s="9" t="str">
        <f aca="false">Raw_Volunteers!D716</f>
        <v>04/17/2026</v>
      </c>
      <c r="G716" s="9" t="str">
        <f aca="false">PROPER(TRIM(Raw_Volunteers!E716))</f>
        <v>Pantry Stocking</v>
      </c>
      <c r="H716" s="9" t="str">
        <f aca="false">Raw_Volunteers!F716</f>
        <v>Mobile Unit - Route A</v>
      </c>
      <c r="I716" s="9" t="n">
        <f aca="false">IF(Raw_Volunteers!G716="",ROUND(AVERAGE(Raw_Volunteers!$G$2:$G$926),1),Raw_Volunteers!G716)</f>
        <v>3</v>
      </c>
    </row>
    <row r="717" customFormat="false" ht="15" hidden="false" customHeight="true" outlineLevel="0" collapsed="false">
      <c r="A717" s="9" t="str">
        <f aca="false">Raw_Volunteers!A717</f>
        <v>V2147</v>
      </c>
      <c r="B717" s="9" t="str">
        <f aca="false">IF(COUNTIFS(Raw_Volunteers!$A$2:$A$926,Raw_Volunteers!A717,Raw_Volunteers!$D$2:$D$926,Raw_Volunteers!D717,Raw_Volunteers!$E$2:$E$926,Raw_Volunteers!E717,Raw_Volunteers!$G$2:$G$926,Raw_Volunteers!G717)&gt;1,"Possible Duplicate","")</f>
        <v/>
      </c>
      <c r="C717" s="9" t="n">
        <f aca="false">Raw_Volunteers!B717</f>
        <v>0</v>
      </c>
      <c r="D717" s="9" t="str">
        <f aca="false">IF(C717="","No","Yes")</f>
        <v>No</v>
      </c>
      <c r="E717" s="9" t="str">
        <f aca="false">Raw_Volunteers!C717</f>
        <v>Carol Williams</v>
      </c>
      <c r="F717" s="9" t="str">
        <f aca="false">Raw_Volunteers!D717</f>
        <v>07/15/2024</v>
      </c>
      <c r="G717" s="9" t="str">
        <f aca="false">PROPER(TRIM(Raw_Volunteers!E717))</f>
        <v>Warehouse Loading</v>
      </c>
      <c r="H717" s="9" t="str">
        <f aca="false">Raw_Volunteers!F717</f>
        <v>Main Warehouse</v>
      </c>
      <c r="I717" s="9" t="n">
        <f aca="false">IF(Raw_Volunteers!G717="",ROUND(AVERAGE(Raw_Volunteers!$G$2:$G$926),1),Raw_Volunteers!G717)</f>
        <v>2</v>
      </c>
    </row>
    <row r="718" customFormat="false" ht="15" hidden="false" customHeight="true" outlineLevel="0" collapsed="false">
      <c r="A718" s="9" t="str">
        <f aca="false">Raw_Volunteers!A718</f>
        <v>V2147</v>
      </c>
      <c r="B718" s="9" t="str">
        <f aca="false">IF(COUNTIFS(Raw_Volunteers!$A$2:$A$926,Raw_Volunteers!A718,Raw_Volunteers!$D$2:$D$926,Raw_Volunteers!D718,Raw_Volunteers!$E$2:$E$926,Raw_Volunteers!E718,Raw_Volunteers!$G$2:$G$926,Raw_Volunteers!G718)&gt;1,"Possible Duplicate","")</f>
        <v/>
      </c>
      <c r="C718" s="9" t="n">
        <f aca="false">Raw_Volunteers!B718</f>
        <v>0</v>
      </c>
      <c r="D718" s="9" t="str">
        <f aca="false">IF(C718="","No","Yes")</f>
        <v>No</v>
      </c>
      <c r="E718" s="9" t="str">
        <f aca="false">Raw_Volunteers!C718</f>
        <v>Carol Williams</v>
      </c>
      <c r="F718" s="9" t="str">
        <f aca="false">Raw_Volunteers!D718</f>
        <v>07/24/2025</v>
      </c>
      <c r="G718" s="9" t="str">
        <f aca="false">PROPER(TRIM(Raw_Volunteers!E718))</f>
        <v>Event Setup</v>
      </c>
      <c r="H718" s="9" t="str">
        <f aca="false">Raw_Volunteers!F718</f>
        <v>Mobile Unit - Route B</v>
      </c>
      <c r="I718" s="9" t="n">
        <f aca="false">IF(Raw_Volunteers!G718="",ROUND(AVERAGE(Raw_Volunteers!$G$2:$G$926),1),Raw_Volunteers!G718)</f>
        <v>2</v>
      </c>
    </row>
    <row r="719" customFormat="false" ht="15" hidden="false" customHeight="true" outlineLevel="0" collapsed="false">
      <c r="A719" s="9" t="str">
        <f aca="false">Raw_Volunteers!A719</f>
        <v>V2147</v>
      </c>
      <c r="B719" s="9" t="str">
        <f aca="false">IF(COUNTIFS(Raw_Volunteers!$A$2:$A$926,Raw_Volunteers!A719,Raw_Volunteers!$D$2:$D$926,Raw_Volunteers!D719,Raw_Volunteers!$E$2:$E$926,Raw_Volunteers!E719,Raw_Volunteers!$G$2:$G$926,Raw_Volunteers!G719)&gt;1,"Possible Duplicate","")</f>
        <v/>
      </c>
      <c r="C719" s="9" t="n">
        <f aca="false">Raw_Volunteers!B719</f>
        <v>0</v>
      </c>
      <c r="D719" s="9" t="str">
        <f aca="false">IF(C719="","No","Yes")</f>
        <v>No</v>
      </c>
      <c r="E719" s="9" t="str">
        <f aca="false">Raw_Volunteers!C719</f>
        <v>Carol Williams</v>
      </c>
      <c r="F719" s="9" t="str">
        <f aca="false">Raw_Volunteers!D719</f>
        <v>04/07/2026</v>
      </c>
      <c r="G719" s="9" t="str">
        <f aca="false">PROPER(TRIM(Raw_Volunteers!E719))</f>
        <v>Mobile Distribution Driver</v>
      </c>
      <c r="H719" s="9" t="str">
        <f aca="false">Raw_Volunteers!F719</f>
        <v>Mobile Unit - Route A</v>
      </c>
      <c r="I719" s="9" t="n">
        <f aca="false">IF(Raw_Volunteers!G719="",ROUND(AVERAGE(Raw_Volunteers!$G$2:$G$926),1),Raw_Volunteers!G719)</f>
        <v>2</v>
      </c>
    </row>
    <row r="720" customFormat="false" ht="15" hidden="false" customHeight="true" outlineLevel="0" collapsed="false">
      <c r="A720" s="9" t="str">
        <f aca="false">Raw_Volunteers!A720</f>
        <v>V2148</v>
      </c>
      <c r="B720" s="9" t="str">
        <f aca="false">IF(COUNTIFS(Raw_Volunteers!$A$2:$A$926,Raw_Volunteers!A720,Raw_Volunteers!$D$2:$D$926,Raw_Volunteers!D720,Raw_Volunteers!$E$2:$E$926,Raw_Volunteers!E720,Raw_Volunteers!$G$2:$G$926,Raw_Volunteers!G720)&gt;1,"Possible Duplicate","")</f>
        <v/>
      </c>
      <c r="C720" s="9" t="n">
        <f aca="false">Raw_Volunteers!B720</f>
        <v>0</v>
      </c>
      <c r="D720" s="9" t="str">
        <f aca="false">IF(C720="","No","Yes")</f>
        <v>No</v>
      </c>
      <c r="E720" s="9" t="str">
        <f aca="false">Raw_Volunteers!C720</f>
        <v>Lisa Nguyen</v>
      </c>
      <c r="F720" s="9" t="str">
        <f aca="false">Raw_Volunteers!D720</f>
        <v>04/06/2025</v>
      </c>
      <c r="G720" s="9" t="str">
        <f aca="false">PROPER(TRIM(Raw_Volunteers!E720))</f>
        <v>Front Desk Greeter</v>
      </c>
      <c r="H720" s="9" t="str">
        <f aca="false">Raw_Volunteers!F720</f>
        <v>Mobile Unit - Route B</v>
      </c>
      <c r="I720" s="9" t="n">
        <f aca="false">IF(Raw_Volunteers!G720="",ROUND(AVERAGE(Raw_Volunteers!$G$2:$G$926),1),Raw_Volunteers!G720)</f>
        <v>3</v>
      </c>
    </row>
    <row r="721" customFormat="false" ht="15" hidden="false" customHeight="true" outlineLevel="0" collapsed="false">
      <c r="A721" s="9" t="str">
        <f aca="false">Raw_Volunteers!A721</f>
        <v>V2149</v>
      </c>
      <c r="B721" s="9" t="str">
        <f aca="false">IF(COUNTIFS(Raw_Volunteers!$A$2:$A$926,Raw_Volunteers!A721,Raw_Volunteers!$D$2:$D$926,Raw_Volunteers!D721,Raw_Volunteers!$E$2:$E$926,Raw_Volunteers!E721,Raw_Volunteers!$G$2:$G$926,Raw_Volunteers!G721)&gt;1,"Possible Duplicate","")</f>
        <v/>
      </c>
      <c r="C721" s="9" t="n">
        <f aca="false">Raw_Volunteers!B721</f>
        <v>0</v>
      </c>
      <c r="D721" s="9" t="str">
        <f aca="false">IF(C721="","No","Yes")</f>
        <v>No</v>
      </c>
      <c r="E721" s="9" t="str">
        <f aca="false">Raw_Volunteers!C721</f>
        <v>Michael Wright</v>
      </c>
      <c r="F721" s="9" t="str">
        <f aca="false">Raw_Volunteers!D721</f>
        <v>04/29/2025</v>
      </c>
      <c r="G721" s="9" t="str">
        <f aca="false">PROPER(TRIM(Raw_Volunteers!E721))</f>
        <v>Front Desk Greeter</v>
      </c>
      <c r="H721" s="9" t="str">
        <f aca="false">Raw_Volunteers!F721</f>
        <v>Community Center Site</v>
      </c>
      <c r="I721" s="9" t="n">
        <f aca="false">IF(Raw_Volunteers!G721="",ROUND(AVERAGE(Raw_Volunteers!$G$2:$G$926),1),Raw_Volunteers!G721)</f>
        <v>2</v>
      </c>
    </row>
    <row r="722" customFormat="false" ht="15" hidden="false" customHeight="true" outlineLevel="0" collapsed="false">
      <c r="A722" s="9" t="str">
        <f aca="false">Raw_Volunteers!A722</f>
        <v>V2149</v>
      </c>
      <c r="B722" s="9" t="str">
        <f aca="false">IF(COUNTIFS(Raw_Volunteers!$A$2:$A$926,Raw_Volunteers!A722,Raw_Volunteers!$D$2:$D$926,Raw_Volunteers!D722,Raw_Volunteers!$E$2:$E$926,Raw_Volunteers!E722,Raw_Volunteers!$G$2:$G$926,Raw_Volunteers!G722)&gt;1,"Possible Duplicate","")</f>
        <v/>
      </c>
      <c r="C722" s="9" t="n">
        <f aca="false">Raw_Volunteers!B722</f>
        <v>0</v>
      </c>
      <c r="D722" s="9" t="str">
        <f aca="false">IF(C722="","No","Yes")</f>
        <v>No</v>
      </c>
      <c r="E722" s="9" t="str">
        <f aca="false">Raw_Volunteers!C722</f>
        <v>Michael Wright</v>
      </c>
      <c r="F722" s="9" t="str">
        <f aca="false">Raw_Volunteers!D722</f>
        <v>11/25/2024</v>
      </c>
      <c r="G722" s="9" t="str">
        <f aca="false">PROPER(TRIM(Raw_Volunteers!E722))</f>
        <v>Event Setup</v>
      </c>
      <c r="H722" s="9" t="str">
        <f aca="false">Raw_Volunteers!F722</f>
        <v>Mobile Unit - Route B</v>
      </c>
      <c r="I722" s="9" t="n">
        <f aca="false">IF(Raw_Volunteers!G722="",ROUND(AVERAGE(Raw_Volunteers!$G$2:$G$926),1),Raw_Volunteers!G722)</f>
        <v>3</v>
      </c>
    </row>
    <row r="723" customFormat="false" ht="15" hidden="false" customHeight="true" outlineLevel="0" collapsed="false">
      <c r="A723" s="9" t="str">
        <f aca="false">Raw_Volunteers!A723</f>
        <v>V2149</v>
      </c>
      <c r="B723" s="9" t="str">
        <f aca="false">IF(COUNTIFS(Raw_Volunteers!$A$2:$A$926,Raw_Volunteers!A723,Raw_Volunteers!$D$2:$D$926,Raw_Volunteers!D723,Raw_Volunteers!$E$2:$E$926,Raw_Volunteers!E723,Raw_Volunteers!$G$2:$G$926,Raw_Volunteers!G723)&gt;1,"Possible Duplicate","")</f>
        <v/>
      </c>
      <c r="C723" s="9" t="n">
        <f aca="false">Raw_Volunteers!B723</f>
        <v>0</v>
      </c>
      <c r="D723" s="9" t="str">
        <f aca="false">IF(C723="","No","Yes")</f>
        <v>No</v>
      </c>
      <c r="E723" s="9" t="str">
        <f aca="false">Raw_Volunteers!C723</f>
        <v>Michael Wright</v>
      </c>
      <c r="F723" s="9" t="str">
        <f aca="false">Raw_Volunteers!D723</f>
        <v>05/12/2026</v>
      </c>
      <c r="G723" s="9" t="str">
        <f aca="false">PROPER(TRIM(Raw_Volunteers!E723))</f>
        <v>Client Intake Assistant</v>
      </c>
      <c r="H723" s="9" t="str">
        <f aca="false">Raw_Volunteers!F723</f>
        <v>Main Warehouse</v>
      </c>
      <c r="I723" s="9" t="n">
        <f aca="false">IF(Raw_Volunteers!G723="",ROUND(AVERAGE(Raw_Volunteers!$G$2:$G$926),1),Raw_Volunteers!G723)</f>
        <v>3</v>
      </c>
    </row>
    <row r="724" customFormat="false" ht="15" hidden="false" customHeight="true" outlineLevel="0" collapsed="false">
      <c r="A724" s="9" t="str">
        <f aca="false">Raw_Volunteers!A724</f>
        <v>V2149</v>
      </c>
      <c r="B724" s="9" t="str">
        <f aca="false">IF(COUNTIFS(Raw_Volunteers!$A$2:$A$926,Raw_Volunteers!A724,Raw_Volunteers!$D$2:$D$926,Raw_Volunteers!D724,Raw_Volunteers!$E$2:$E$926,Raw_Volunteers!E724,Raw_Volunteers!$G$2:$G$926,Raw_Volunteers!G724)&gt;1,"Possible Duplicate","")</f>
        <v/>
      </c>
      <c r="C724" s="9" t="n">
        <f aca="false">Raw_Volunteers!B724</f>
        <v>0</v>
      </c>
      <c r="D724" s="9" t="str">
        <f aca="false">IF(C724="","No","Yes")</f>
        <v>No</v>
      </c>
      <c r="E724" s="9" t="str">
        <f aca="false">Raw_Volunteers!C724</f>
        <v>Michael Wright</v>
      </c>
      <c r="F724" s="9" t="str">
        <f aca="false">Raw_Volunteers!D724</f>
        <v>01/27/2024</v>
      </c>
      <c r="G724" s="9" t="str">
        <f aca="false">PROPER(TRIM(Raw_Volunteers!E724))</f>
        <v>Warehouse Loading</v>
      </c>
      <c r="H724" s="9" t="str">
        <f aca="false">Raw_Volunteers!F724</f>
        <v>Mobile Unit - Route B</v>
      </c>
      <c r="I724" s="9" t="n">
        <f aca="false">IF(Raw_Volunteers!G724="",ROUND(AVERAGE(Raw_Volunteers!$G$2:$G$926),1),Raw_Volunteers!G724)</f>
        <v>3</v>
      </c>
    </row>
    <row r="725" customFormat="false" ht="15" hidden="false" customHeight="true" outlineLevel="0" collapsed="false">
      <c r="A725" s="9" t="str">
        <f aca="false">Raw_Volunteers!A725</f>
        <v>V2149</v>
      </c>
      <c r="B725" s="9" t="str">
        <f aca="false">IF(COUNTIFS(Raw_Volunteers!$A$2:$A$926,Raw_Volunteers!A725,Raw_Volunteers!$D$2:$D$926,Raw_Volunteers!D725,Raw_Volunteers!$E$2:$E$926,Raw_Volunteers!E725,Raw_Volunteers!$G$2:$G$926,Raw_Volunteers!G725)&gt;1,"Possible Duplicate","")</f>
        <v/>
      </c>
      <c r="C725" s="9" t="n">
        <f aca="false">Raw_Volunteers!B725</f>
        <v>0</v>
      </c>
      <c r="D725" s="9" t="str">
        <f aca="false">IF(C725="","No","Yes")</f>
        <v>No</v>
      </c>
      <c r="E725" s="9" t="str">
        <f aca="false">Raw_Volunteers!C725</f>
        <v>Michael Wright</v>
      </c>
      <c r="F725" s="9" t="str">
        <f aca="false">Raw_Volunteers!D725</f>
        <v>01/18/2026</v>
      </c>
      <c r="G725" s="9" t="str">
        <f aca="false">PROPER(TRIM(Raw_Volunteers!E725))</f>
        <v>Pantry Stocking</v>
      </c>
      <c r="H725" s="9" t="str">
        <f aca="false">Raw_Volunteers!F725</f>
        <v>Mobile Unit - Route A</v>
      </c>
      <c r="I725" s="9" t="n">
        <f aca="false">IF(Raw_Volunteers!G725="",ROUND(AVERAGE(Raw_Volunteers!$G$2:$G$926),1),Raw_Volunteers!G725)</f>
        <v>3</v>
      </c>
    </row>
    <row r="726" customFormat="false" ht="15" hidden="false" customHeight="true" outlineLevel="0" collapsed="false">
      <c r="A726" s="9" t="str">
        <f aca="false">Raw_Volunteers!A726</f>
        <v>V2149</v>
      </c>
      <c r="B726" s="9" t="str">
        <f aca="false">IF(COUNTIFS(Raw_Volunteers!$A$2:$A$926,Raw_Volunteers!A726,Raw_Volunteers!$D$2:$D$926,Raw_Volunteers!D726,Raw_Volunteers!$E$2:$E$926,Raw_Volunteers!E726,Raw_Volunteers!$G$2:$G$926,Raw_Volunteers!G726)&gt;1,"Possible Duplicate","")</f>
        <v/>
      </c>
      <c r="C726" s="9" t="n">
        <f aca="false">Raw_Volunteers!B726</f>
        <v>0</v>
      </c>
      <c r="D726" s="9" t="str">
        <f aca="false">IF(C726="","No","Yes")</f>
        <v>No</v>
      </c>
      <c r="E726" s="9" t="str">
        <f aca="false">Raw_Volunteers!C726</f>
        <v>Michael Wright</v>
      </c>
      <c r="F726" s="9" t="str">
        <f aca="false">Raw_Volunteers!D726</f>
        <v>05/21/2026</v>
      </c>
      <c r="G726" s="9" t="str">
        <f aca="false">PROPER(TRIM(Raw_Volunteers!E726))</f>
        <v>Pantry Stocking</v>
      </c>
      <c r="H726" s="9" t="str">
        <f aca="false">Raw_Volunteers!F726</f>
        <v>Mobile Unit - Route A</v>
      </c>
      <c r="I726" s="9" t="n">
        <f aca="false">IF(Raw_Volunteers!G726="",ROUND(AVERAGE(Raw_Volunteers!$G$2:$G$926),1),Raw_Volunteers!G726)</f>
        <v>2</v>
      </c>
    </row>
    <row r="727" customFormat="false" ht="15" hidden="false" customHeight="true" outlineLevel="0" collapsed="false">
      <c r="A727" s="9" t="str">
        <f aca="false">Raw_Volunteers!A727</f>
        <v>V2150</v>
      </c>
      <c r="B727" s="9" t="str">
        <f aca="false">IF(COUNTIFS(Raw_Volunteers!$A$2:$A$926,Raw_Volunteers!A727,Raw_Volunteers!$D$2:$D$926,Raw_Volunteers!D727,Raw_Volunteers!$E$2:$E$926,Raw_Volunteers!E727,Raw_Volunteers!$G$2:$G$926,Raw_Volunteers!G727)&gt;1,"Possible Duplicate","")</f>
        <v/>
      </c>
      <c r="C727" s="9" t="n">
        <f aca="false">Raw_Volunteers!B727</f>
        <v>0</v>
      </c>
      <c r="D727" s="9" t="str">
        <f aca="false">IF(C727="","No","Yes")</f>
        <v>No</v>
      </c>
      <c r="E727" s="9" t="str">
        <f aca="false">Raw_Volunteers!C727</f>
        <v>Nancy Jones</v>
      </c>
      <c r="F727" s="9" t="str">
        <f aca="false">Raw_Volunteers!D727</f>
        <v>03/02/2025</v>
      </c>
      <c r="G727" s="9" t="str">
        <f aca="false">PROPER(TRIM(Raw_Volunteers!E727))</f>
        <v>Warehouse Loading</v>
      </c>
      <c r="H727" s="9" t="str">
        <f aca="false">Raw_Volunteers!F727</f>
        <v>Mobile Unit - Route B</v>
      </c>
      <c r="I727" s="9" t="n">
        <f aca="false">IF(Raw_Volunteers!G727="",ROUND(AVERAGE(Raw_Volunteers!$G$2:$G$926),1),Raw_Volunteers!G727)</f>
        <v>3</v>
      </c>
    </row>
    <row r="728" customFormat="false" ht="15" hidden="false" customHeight="true" outlineLevel="0" collapsed="false">
      <c r="A728" s="9" t="str">
        <f aca="false">Raw_Volunteers!A728</f>
        <v>V2151</v>
      </c>
      <c r="B728" s="9" t="str">
        <f aca="false">IF(COUNTIFS(Raw_Volunteers!$A$2:$A$926,Raw_Volunteers!A728,Raw_Volunteers!$D$2:$D$926,Raw_Volunteers!D728,Raw_Volunteers!$E$2:$E$926,Raw_Volunteers!E728,Raw_Volunteers!$G$2:$G$926,Raw_Volunteers!G728)&gt;1,"Possible Duplicate","")</f>
        <v/>
      </c>
      <c r="C728" s="9" t="n">
        <f aca="false">Raw_Volunteers!B728</f>
        <v>0</v>
      </c>
      <c r="D728" s="9" t="str">
        <f aca="false">IF(C728="","No","Yes")</f>
        <v>No</v>
      </c>
      <c r="E728" s="9" t="str">
        <f aca="false">Raw_Volunteers!C728</f>
        <v>Christopher Scott</v>
      </c>
      <c r="F728" s="9" t="str">
        <f aca="false">Raw_Volunteers!D728</f>
        <v>07/17/2024</v>
      </c>
      <c r="G728" s="9" t="str">
        <f aca="false">PROPER(TRIM(Raw_Volunteers!E728))</f>
        <v>Pantry Stocking</v>
      </c>
      <c r="H728" s="9" t="str">
        <f aca="false">Raw_Volunteers!F728</f>
        <v>Downtown Pantry</v>
      </c>
      <c r="I728" s="9" t="n">
        <f aca="false">IF(Raw_Volunteers!G728="",ROUND(AVERAGE(Raw_Volunteers!$G$2:$G$926),1),Raw_Volunteers!G728)</f>
        <v>3</v>
      </c>
    </row>
    <row r="729" customFormat="false" ht="15" hidden="false" customHeight="true" outlineLevel="0" collapsed="false">
      <c r="A729" s="9" t="str">
        <f aca="false">Raw_Volunteers!A729</f>
        <v>V2151</v>
      </c>
      <c r="B729" s="9" t="str">
        <f aca="false">IF(COUNTIFS(Raw_Volunteers!$A$2:$A$926,Raw_Volunteers!A729,Raw_Volunteers!$D$2:$D$926,Raw_Volunteers!D729,Raw_Volunteers!$E$2:$E$926,Raw_Volunteers!E729,Raw_Volunteers!$G$2:$G$926,Raw_Volunteers!G729)&gt;1,"Possible Duplicate","")</f>
        <v/>
      </c>
      <c r="C729" s="9" t="n">
        <f aca="false">Raw_Volunteers!B729</f>
        <v>0</v>
      </c>
      <c r="D729" s="9" t="str">
        <f aca="false">IF(C729="","No","Yes")</f>
        <v>No</v>
      </c>
      <c r="E729" s="9" t="str">
        <f aca="false">Raw_Volunteers!C729</f>
        <v>Christopher Scott</v>
      </c>
      <c r="F729" s="9" t="str">
        <f aca="false">Raw_Volunteers!D729</f>
        <v>04/22/2024</v>
      </c>
      <c r="G729" s="9" t="str">
        <f aca="false">PROPER(TRIM(Raw_Volunteers!E729))</f>
        <v>Pantry Stocking</v>
      </c>
      <c r="H729" s="9" t="str">
        <f aca="false">Raw_Volunteers!F729</f>
        <v>Mobile Unit - Route A</v>
      </c>
      <c r="I729" s="9" t="n">
        <f aca="false">IF(Raw_Volunteers!G729="",ROUND(AVERAGE(Raw_Volunteers!$G$2:$G$926),1),Raw_Volunteers!G729)</f>
        <v>6</v>
      </c>
    </row>
    <row r="730" customFormat="false" ht="15" hidden="false" customHeight="true" outlineLevel="0" collapsed="false">
      <c r="A730" s="9" t="str">
        <f aca="false">Raw_Volunteers!A730</f>
        <v>V2151</v>
      </c>
      <c r="B730" s="9" t="str">
        <f aca="false">IF(COUNTIFS(Raw_Volunteers!$A$2:$A$926,Raw_Volunteers!A730,Raw_Volunteers!$D$2:$D$926,Raw_Volunteers!D730,Raw_Volunteers!$E$2:$E$926,Raw_Volunteers!E730,Raw_Volunteers!$G$2:$G$926,Raw_Volunteers!G730)&gt;1,"Possible Duplicate","")</f>
        <v/>
      </c>
      <c r="C730" s="9" t="n">
        <f aca="false">Raw_Volunteers!B730</f>
        <v>0</v>
      </c>
      <c r="D730" s="9" t="str">
        <f aca="false">IF(C730="","No","Yes")</f>
        <v>No</v>
      </c>
      <c r="E730" s="9" t="str">
        <f aca="false">Raw_Volunteers!C730</f>
        <v>Christopher Scott</v>
      </c>
      <c r="F730" s="9" t="str">
        <f aca="false">Raw_Volunteers!D730</f>
        <v>12/30/2025</v>
      </c>
      <c r="G730" s="9" t="str">
        <f aca="false">PROPER(TRIM(Raw_Volunteers!E730))</f>
        <v>Client Intake Assistant</v>
      </c>
      <c r="H730" s="9" t="str">
        <f aca="false">Raw_Volunteers!F730</f>
        <v>Downtown Pantry</v>
      </c>
      <c r="I730" s="9" t="n">
        <f aca="false">IF(Raw_Volunteers!G730="",ROUND(AVERAGE(Raw_Volunteers!$G$2:$G$926),1),Raw_Volunteers!G730)</f>
        <v>3</v>
      </c>
    </row>
    <row r="731" customFormat="false" ht="15" hidden="false" customHeight="true" outlineLevel="0" collapsed="false">
      <c r="A731" s="9" t="str">
        <f aca="false">Raw_Volunteers!A731</f>
        <v>V2151</v>
      </c>
      <c r="B731" s="9" t="str">
        <f aca="false">IF(COUNTIFS(Raw_Volunteers!$A$2:$A$926,Raw_Volunteers!A731,Raw_Volunteers!$D$2:$D$926,Raw_Volunteers!D731,Raw_Volunteers!$E$2:$E$926,Raw_Volunteers!E731,Raw_Volunteers!$G$2:$G$926,Raw_Volunteers!G731)&gt;1,"Possible Duplicate","")</f>
        <v/>
      </c>
      <c r="C731" s="9" t="n">
        <f aca="false">Raw_Volunteers!B731</f>
        <v>0</v>
      </c>
      <c r="D731" s="9" t="str">
        <f aca="false">IF(C731="","No","Yes")</f>
        <v>No</v>
      </c>
      <c r="E731" s="9" t="str">
        <f aca="false">Raw_Volunteers!C731</f>
        <v>Christopher Scott</v>
      </c>
      <c r="F731" s="9" t="str">
        <f aca="false">Raw_Volunteers!D731</f>
        <v>09/30/2025</v>
      </c>
      <c r="G731" s="9" t="str">
        <f aca="false">PROPER(TRIM(Raw_Volunteers!E731))</f>
        <v>Front Desk Greeter</v>
      </c>
      <c r="H731" s="9" t="str">
        <f aca="false">Raw_Volunteers!F731</f>
        <v>Mobile Unit - Route A</v>
      </c>
      <c r="I731" s="9" t="n">
        <f aca="false">IF(Raw_Volunteers!G731="",ROUND(AVERAGE(Raw_Volunteers!$G$2:$G$926),1),Raw_Volunteers!G731)</f>
        <v>3</v>
      </c>
    </row>
    <row r="732" customFormat="false" ht="15" hidden="false" customHeight="true" outlineLevel="0" collapsed="false">
      <c r="A732" s="9" t="str">
        <f aca="false">Raw_Volunteers!A732</f>
        <v>V2151</v>
      </c>
      <c r="B732" s="9" t="str">
        <f aca="false">IF(COUNTIFS(Raw_Volunteers!$A$2:$A$926,Raw_Volunteers!A732,Raw_Volunteers!$D$2:$D$926,Raw_Volunteers!D732,Raw_Volunteers!$E$2:$E$926,Raw_Volunteers!E732,Raw_Volunteers!$G$2:$G$926,Raw_Volunteers!G732)&gt;1,"Possible Duplicate","")</f>
        <v/>
      </c>
      <c r="C732" s="9" t="n">
        <f aca="false">Raw_Volunteers!B732</f>
        <v>0</v>
      </c>
      <c r="D732" s="9" t="str">
        <f aca="false">IF(C732="","No","Yes")</f>
        <v>No</v>
      </c>
      <c r="E732" s="9" t="str">
        <f aca="false">Raw_Volunteers!C732</f>
        <v>Christopher Scott</v>
      </c>
      <c r="F732" s="9" t="str">
        <f aca="false">Raw_Volunteers!D732</f>
        <v>01/08/2024</v>
      </c>
      <c r="G732" s="9" t="str">
        <f aca="false">PROPER(TRIM(Raw_Volunteers!E732))</f>
        <v>Mobile Distribution Driver</v>
      </c>
      <c r="H732" s="9" t="str">
        <f aca="false">Raw_Volunteers!F732</f>
        <v>Mobile Unit - Route B</v>
      </c>
      <c r="I732" s="9" t="n">
        <f aca="false">IF(Raw_Volunteers!G732="",ROUND(AVERAGE(Raw_Volunteers!$G$2:$G$926),1),Raw_Volunteers!G732)</f>
        <v>3</v>
      </c>
    </row>
    <row r="733" customFormat="false" ht="15" hidden="false" customHeight="true" outlineLevel="0" collapsed="false">
      <c r="A733" s="9" t="str">
        <f aca="false">Raw_Volunteers!A733</f>
        <v>V2151</v>
      </c>
      <c r="B733" s="9" t="str">
        <f aca="false">IF(COUNTIFS(Raw_Volunteers!$A$2:$A$926,Raw_Volunteers!A733,Raw_Volunteers!$D$2:$D$926,Raw_Volunteers!D733,Raw_Volunteers!$E$2:$E$926,Raw_Volunteers!E733,Raw_Volunteers!$G$2:$G$926,Raw_Volunteers!G733)&gt;1,"Possible Duplicate","")</f>
        <v/>
      </c>
      <c r="C733" s="9" t="n">
        <f aca="false">Raw_Volunteers!B733</f>
        <v>0</v>
      </c>
      <c r="D733" s="9" t="str">
        <f aca="false">IF(C733="","No","Yes")</f>
        <v>No</v>
      </c>
      <c r="E733" s="9" t="str">
        <f aca="false">Raw_Volunteers!C733</f>
        <v>Christopher Scott</v>
      </c>
      <c r="F733" s="9" t="str">
        <f aca="false">Raw_Volunteers!D733</f>
        <v>03/06/2025</v>
      </c>
      <c r="G733" s="9" t="str">
        <f aca="false">PROPER(TRIM(Raw_Volunteers!E733))</f>
        <v>Front Desk Greeter</v>
      </c>
      <c r="H733" s="9" t="str">
        <f aca="false">Raw_Volunteers!F733</f>
        <v>Downtown Pantry</v>
      </c>
      <c r="I733" s="9" t="n">
        <f aca="false">IF(Raw_Volunteers!G733="",ROUND(AVERAGE(Raw_Volunteers!$G$2:$G$926),1),Raw_Volunteers!G733)</f>
        <v>4</v>
      </c>
    </row>
    <row r="734" customFormat="false" ht="15" hidden="false" customHeight="true" outlineLevel="0" collapsed="false">
      <c r="A734" s="9" t="str">
        <f aca="false">Raw_Volunteers!A734</f>
        <v>V2151</v>
      </c>
      <c r="B734" s="9" t="str">
        <f aca="false">IF(COUNTIFS(Raw_Volunteers!$A$2:$A$926,Raw_Volunteers!A734,Raw_Volunteers!$D$2:$D$926,Raw_Volunteers!D734,Raw_Volunteers!$E$2:$E$926,Raw_Volunteers!E734,Raw_Volunteers!$G$2:$G$926,Raw_Volunteers!G734)&gt;1,"Possible Duplicate","")</f>
        <v/>
      </c>
      <c r="C734" s="9" t="n">
        <f aca="false">Raw_Volunteers!B734</f>
        <v>0</v>
      </c>
      <c r="D734" s="9" t="str">
        <f aca="false">IF(C734="","No","Yes")</f>
        <v>No</v>
      </c>
      <c r="E734" s="9" t="str">
        <f aca="false">Raw_Volunteers!C734</f>
        <v>Christopher Scott</v>
      </c>
      <c r="F734" s="9" t="str">
        <f aca="false">Raw_Volunteers!D734</f>
        <v>06/30/2024</v>
      </c>
      <c r="G734" s="9" t="str">
        <f aca="false">PROPER(TRIM(Raw_Volunteers!E734))</f>
        <v>Food Sorting</v>
      </c>
      <c r="H734" s="9" t="str">
        <f aca="false">Raw_Volunteers!F734</f>
        <v>Downtown Pantry</v>
      </c>
      <c r="I734" s="9" t="n">
        <f aca="false">IF(Raw_Volunteers!G734="",ROUND(AVERAGE(Raw_Volunteers!$G$2:$G$926),1),Raw_Volunteers!G734)</f>
        <v>2</v>
      </c>
    </row>
    <row r="735" customFormat="false" ht="15" hidden="false" customHeight="true" outlineLevel="0" collapsed="false">
      <c r="A735" s="9" t="str">
        <f aca="false">Raw_Volunteers!A735</f>
        <v>V2151</v>
      </c>
      <c r="B735" s="9" t="str">
        <f aca="false">IF(COUNTIFS(Raw_Volunteers!$A$2:$A$926,Raw_Volunteers!A735,Raw_Volunteers!$D$2:$D$926,Raw_Volunteers!D735,Raw_Volunteers!$E$2:$E$926,Raw_Volunteers!E735,Raw_Volunteers!$G$2:$G$926,Raw_Volunteers!G735)&gt;1,"Possible Duplicate","")</f>
        <v/>
      </c>
      <c r="C735" s="9" t="n">
        <f aca="false">Raw_Volunteers!B735</f>
        <v>0</v>
      </c>
      <c r="D735" s="9" t="str">
        <f aca="false">IF(C735="","No","Yes")</f>
        <v>No</v>
      </c>
      <c r="E735" s="9" t="str">
        <f aca="false">Raw_Volunteers!C735</f>
        <v>Christopher Scott</v>
      </c>
      <c r="F735" s="9" t="str">
        <f aca="false">Raw_Volunteers!D735</f>
        <v>05/14/2024</v>
      </c>
      <c r="G735" s="9" t="str">
        <f aca="false">PROPER(TRIM(Raw_Volunteers!E735))</f>
        <v>Food Sorting</v>
      </c>
      <c r="H735" s="9" t="str">
        <f aca="false">Raw_Volunteers!F735</f>
        <v>Community Center Site</v>
      </c>
      <c r="I735" s="9" t="n">
        <f aca="false">IF(Raw_Volunteers!G735="",ROUND(AVERAGE(Raw_Volunteers!$G$2:$G$926),1),Raw_Volunteers!G735)</f>
        <v>2</v>
      </c>
    </row>
    <row r="736" customFormat="false" ht="15" hidden="false" customHeight="true" outlineLevel="0" collapsed="false">
      <c r="A736" s="9" t="str">
        <f aca="false">Raw_Volunteers!A736</f>
        <v>V2152</v>
      </c>
      <c r="B736" s="9" t="str">
        <f aca="false">IF(COUNTIFS(Raw_Volunteers!$A$2:$A$926,Raw_Volunteers!A736,Raw_Volunteers!$D$2:$D$926,Raw_Volunteers!D736,Raw_Volunteers!$E$2:$E$926,Raw_Volunteers!E736,Raw_Volunteers!$G$2:$G$926,Raw_Volunteers!G736)&gt;1,"Possible Duplicate","")</f>
        <v/>
      </c>
      <c r="C736" s="9" t="n">
        <f aca="false">Raw_Volunteers!B736</f>
        <v>0</v>
      </c>
      <c r="D736" s="9" t="str">
        <f aca="false">IF(C736="","No","Yes")</f>
        <v>No</v>
      </c>
      <c r="E736" s="9" t="str">
        <f aca="false">Raw_Volunteers!C736</f>
        <v>Anthony Moore</v>
      </c>
      <c r="F736" s="9" t="str">
        <f aca="false">Raw_Volunteers!D736</f>
        <v>12/15/2024</v>
      </c>
      <c r="G736" s="9" t="str">
        <f aca="false">PROPER(TRIM(Raw_Volunteers!E736))</f>
        <v>Event Setup</v>
      </c>
      <c r="H736" s="9" t="str">
        <f aca="false">Raw_Volunteers!F736</f>
        <v>Mobile Unit - Route A</v>
      </c>
      <c r="I736" s="9" t="n">
        <f aca="false">IF(Raw_Volunteers!G736="",ROUND(AVERAGE(Raw_Volunteers!$G$2:$G$926),1),Raw_Volunteers!G736)</f>
        <v>2</v>
      </c>
    </row>
    <row r="737" customFormat="false" ht="15" hidden="false" customHeight="true" outlineLevel="0" collapsed="false">
      <c r="A737" s="9" t="str">
        <f aca="false">Raw_Volunteers!A737</f>
        <v>V2152</v>
      </c>
      <c r="B737" s="9" t="str">
        <f aca="false">IF(COUNTIFS(Raw_Volunteers!$A$2:$A$926,Raw_Volunteers!A737,Raw_Volunteers!$D$2:$D$926,Raw_Volunteers!D737,Raw_Volunteers!$E$2:$E$926,Raw_Volunteers!E737,Raw_Volunteers!$G$2:$G$926,Raw_Volunteers!G737)&gt;1,"Possible Duplicate","")</f>
        <v/>
      </c>
      <c r="C737" s="9" t="n">
        <f aca="false">Raw_Volunteers!B737</f>
        <v>0</v>
      </c>
      <c r="D737" s="9" t="str">
        <f aca="false">IF(C737="","No","Yes")</f>
        <v>No</v>
      </c>
      <c r="E737" s="9" t="str">
        <f aca="false">Raw_Volunteers!C737</f>
        <v>Anthony Moore</v>
      </c>
      <c r="F737" s="9" t="str">
        <f aca="false">Raw_Volunteers!D737</f>
        <v>05/07/2024</v>
      </c>
      <c r="G737" s="9" t="str">
        <f aca="false">PROPER(TRIM(Raw_Volunteers!E737))</f>
        <v>Client Intake Assistant</v>
      </c>
      <c r="H737" s="9" t="str">
        <f aca="false">Raw_Volunteers!F737</f>
        <v>Mobile Unit - Route A</v>
      </c>
      <c r="I737" s="9" t="n">
        <f aca="false">IF(Raw_Volunteers!G737="",ROUND(AVERAGE(Raw_Volunteers!$G$2:$G$926),1),Raw_Volunteers!G737)</f>
        <v>2</v>
      </c>
    </row>
    <row r="738" customFormat="false" ht="15" hidden="false" customHeight="true" outlineLevel="0" collapsed="false">
      <c r="A738" s="9" t="str">
        <f aca="false">Raw_Volunteers!A738</f>
        <v>V2152</v>
      </c>
      <c r="B738" s="9" t="str">
        <f aca="false">IF(COUNTIFS(Raw_Volunteers!$A$2:$A$926,Raw_Volunteers!A738,Raw_Volunteers!$D$2:$D$926,Raw_Volunteers!D738,Raw_Volunteers!$E$2:$E$926,Raw_Volunteers!E738,Raw_Volunteers!$G$2:$G$926,Raw_Volunteers!G738)&gt;1,"Possible Duplicate","")</f>
        <v/>
      </c>
      <c r="C738" s="9" t="n">
        <f aca="false">Raw_Volunteers!B738</f>
        <v>0</v>
      </c>
      <c r="D738" s="9" t="str">
        <f aca="false">IF(C738="","No","Yes")</f>
        <v>No</v>
      </c>
      <c r="E738" s="9" t="str">
        <f aca="false">Raw_Volunteers!C738</f>
        <v>Anthony Moore</v>
      </c>
      <c r="F738" s="9" t="str">
        <f aca="false">Raw_Volunteers!D738</f>
        <v>05/22/2025</v>
      </c>
      <c r="G738" s="9" t="str">
        <f aca="false">PROPER(TRIM(Raw_Volunteers!E738))</f>
        <v>Warehouse Loading</v>
      </c>
      <c r="H738" s="9" t="str">
        <f aca="false">Raw_Volunteers!F738</f>
        <v>Main Warehouse</v>
      </c>
      <c r="I738" s="9" t="n">
        <f aca="false">IF(Raw_Volunteers!G738="",ROUND(AVERAGE(Raw_Volunteers!$G$2:$G$926),1),Raw_Volunteers!G738)</f>
        <v>3</v>
      </c>
    </row>
    <row r="739" customFormat="false" ht="15" hidden="false" customHeight="true" outlineLevel="0" collapsed="false">
      <c r="A739" s="9" t="str">
        <f aca="false">Raw_Volunteers!A739</f>
        <v>V2152</v>
      </c>
      <c r="B739" s="9" t="str">
        <f aca="false">IF(COUNTIFS(Raw_Volunteers!$A$2:$A$926,Raw_Volunteers!A739,Raw_Volunteers!$D$2:$D$926,Raw_Volunteers!D739,Raw_Volunteers!$E$2:$E$926,Raw_Volunteers!E739,Raw_Volunteers!$G$2:$G$926,Raw_Volunteers!G739)&gt;1,"Possible Duplicate","")</f>
        <v/>
      </c>
      <c r="C739" s="9" t="n">
        <f aca="false">Raw_Volunteers!B739</f>
        <v>0</v>
      </c>
      <c r="D739" s="9" t="str">
        <f aca="false">IF(C739="","No","Yes")</f>
        <v>No</v>
      </c>
      <c r="E739" s="9" t="str">
        <f aca="false">Raw_Volunteers!C739</f>
        <v>Anthony Moore</v>
      </c>
      <c r="F739" s="9" t="str">
        <f aca="false">Raw_Volunteers!D739</f>
        <v>02/15/2025</v>
      </c>
      <c r="G739" s="9" t="str">
        <f aca="false">PROPER(TRIM(Raw_Volunteers!E739))</f>
        <v>Warehouse Loading</v>
      </c>
      <c r="H739" s="9" t="str">
        <f aca="false">Raw_Volunteers!F739</f>
        <v>Mobile Unit - Route A</v>
      </c>
      <c r="I739" s="9" t="n">
        <f aca="false">IF(Raw_Volunteers!G739="",ROUND(AVERAGE(Raw_Volunteers!$G$2:$G$926),1),Raw_Volunteers!G739)</f>
        <v>3</v>
      </c>
    </row>
    <row r="740" customFormat="false" ht="15" hidden="false" customHeight="true" outlineLevel="0" collapsed="false">
      <c r="A740" s="9" t="str">
        <f aca="false">Raw_Volunteers!A740</f>
        <v>V2152</v>
      </c>
      <c r="B740" s="9" t="str">
        <f aca="false">IF(COUNTIFS(Raw_Volunteers!$A$2:$A$926,Raw_Volunteers!A740,Raw_Volunteers!$D$2:$D$926,Raw_Volunteers!D740,Raw_Volunteers!$E$2:$E$926,Raw_Volunteers!E740,Raw_Volunteers!$G$2:$G$926,Raw_Volunteers!G740)&gt;1,"Possible Duplicate","")</f>
        <v/>
      </c>
      <c r="C740" s="9" t="n">
        <f aca="false">Raw_Volunteers!B740</f>
        <v>0</v>
      </c>
      <c r="D740" s="9" t="str">
        <f aca="false">IF(C740="","No","Yes")</f>
        <v>No</v>
      </c>
      <c r="E740" s="9" t="str">
        <f aca="false">Raw_Volunteers!C740</f>
        <v>Anthony Moore</v>
      </c>
      <c r="F740" s="9" t="str">
        <f aca="false">Raw_Volunteers!D740</f>
        <v>04/07/2026</v>
      </c>
      <c r="G740" s="9" t="str">
        <f aca="false">PROPER(TRIM(Raw_Volunteers!E740))</f>
        <v>Holiday Box Packing</v>
      </c>
      <c r="H740" s="9" t="str">
        <f aca="false">Raw_Volunteers!F740</f>
        <v>Downtown Pantry</v>
      </c>
      <c r="I740" s="9" t="n">
        <f aca="false">IF(Raw_Volunteers!G740="",ROUND(AVERAGE(Raw_Volunteers!$G$2:$G$926),1),Raw_Volunteers!G740)</f>
        <v>2</v>
      </c>
    </row>
    <row r="741" customFormat="false" ht="15" hidden="false" customHeight="true" outlineLevel="0" collapsed="false">
      <c r="A741" s="9" t="str">
        <f aca="false">Raw_Volunteers!A741</f>
        <v>V2152</v>
      </c>
      <c r="B741" s="9" t="str">
        <f aca="false">IF(COUNTIFS(Raw_Volunteers!$A$2:$A$926,Raw_Volunteers!A741,Raw_Volunteers!$D$2:$D$926,Raw_Volunteers!D741,Raw_Volunteers!$E$2:$E$926,Raw_Volunteers!E741,Raw_Volunteers!$G$2:$G$926,Raw_Volunteers!G741)&gt;1,"Possible Duplicate","")</f>
        <v/>
      </c>
      <c r="C741" s="9" t="n">
        <f aca="false">Raw_Volunteers!B741</f>
        <v>0</v>
      </c>
      <c r="D741" s="9" t="str">
        <f aca="false">IF(C741="","No","Yes")</f>
        <v>No</v>
      </c>
      <c r="E741" s="9" t="str">
        <f aca="false">Raw_Volunteers!C741</f>
        <v>Anthony Moore</v>
      </c>
      <c r="F741" s="9" t="str">
        <f aca="false">Raw_Volunteers!D741</f>
        <v>09/25/2024</v>
      </c>
      <c r="G741" s="9" t="str">
        <f aca="false">PROPER(TRIM(Raw_Volunteers!E741))</f>
        <v>Warehouse Loading</v>
      </c>
      <c r="H741" s="9" t="str">
        <f aca="false">Raw_Volunteers!F741</f>
        <v>Mobile Unit - Route A</v>
      </c>
      <c r="I741" s="9" t="n">
        <f aca="false">IF(Raw_Volunteers!G741="",ROUND(AVERAGE(Raw_Volunteers!$G$2:$G$926),1),Raw_Volunteers!G741)</f>
        <v>5</v>
      </c>
    </row>
    <row r="742" customFormat="false" ht="15" hidden="false" customHeight="true" outlineLevel="0" collapsed="false">
      <c r="A742" s="9" t="str">
        <f aca="false">Raw_Volunteers!A742</f>
        <v>V2153</v>
      </c>
      <c r="B742" s="9" t="str">
        <f aca="false">IF(COUNTIFS(Raw_Volunteers!$A$2:$A$926,Raw_Volunteers!A742,Raw_Volunteers!$D$2:$D$926,Raw_Volunteers!D742,Raw_Volunteers!$E$2:$E$926,Raw_Volunteers!E742,Raw_Volunteers!$G$2:$G$926,Raw_Volunteers!G742)&gt;1,"Possible Duplicate","")</f>
        <v/>
      </c>
      <c r="C742" s="9" t="n">
        <f aca="false">Raw_Volunteers!B742</f>
        <v>0</v>
      </c>
      <c r="D742" s="9" t="str">
        <f aca="false">IF(C742="","No","Yes")</f>
        <v>No</v>
      </c>
      <c r="E742" s="9" t="str">
        <f aca="false">Raw_Volunteers!C742</f>
        <v>Karen Gonzalez</v>
      </c>
      <c r="F742" s="9" t="str">
        <f aca="false">Raw_Volunteers!D742</f>
        <v>04/12/2026</v>
      </c>
      <c r="G742" s="9" t="str">
        <f aca="false">PROPER(TRIM(Raw_Volunteers!E742))</f>
        <v>Holiday Box Packing</v>
      </c>
      <c r="H742" s="9" t="str">
        <f aca="false">Raw_Volunteers!F742</f>
        <v>Main Warehouse</v>
      </c>
      <c r="I742" s="9" t="n">
        <f aca="false">IF(Raw_Volunteers!G742="",ROUND(AVERAGE(Raw_Volunteers!$G$2:$G$926),1),Raw_Volunteers!G742)</f>
        <v>2</v>
      </c>
    </row>
    <row r="743" customFormat="false" ht="15" hidden="false" customHeight="true" outlineLevel="0" collapsed="false">
      <c r="A743" s="9" t="str">
        <f aca="false">Raw_Volunteers!A743</f>
        <v>V2153</v>
      </c>
      <c r="B743" s="9" t="str">
        <f aca="false">IF(COUNTIFS(Raw_Volunteers!$A$2:$A$926,Raw_Volunteers!A743,Raw_Volunteers!$D$2:$D$926,Raw_Volunteers!D743,Raw_Volunteers!$E$2:$E$926,Raw_Volunteers!E743,Raw_Volunteers!$G$2:$G$926,Raw_Volunteers!G743)&gt;1,"Possible Duplicate","")</f>
        <v/>
      </c>
      <c r="C743" s="9" t="n">
        <f aca="false">Raw_Volunteers!B743</f>
        <v>0</v>
      </c>
      <c r="D743" s="9" t="str">
        <f aca="false">IF(C743="","No","Yes")</f>
        <v>No</v>
      </c>
      <c r="E743" s="9" t="str">
        <f aca="false">Raw_Volunteers!C743</f>
        <v>Karen Gonzalez</v>
      </c>
      <c r="F743" s="9" t="str">
        <f aca="false">Raw_Volunteers!D743</f>
        <v>06/16/2025</v>
      </c>
      <c r="G743" s="9" t="str">
        <f aca="false">PROPER(TRIM(Raw_Volunteers!E743))</f>
        <v>Client Intake Assistant</v>
      </c>
      <c r="H743" s="9" t="str">
        <f aca="false">Raw_Volunteers!F743</f>
        <v>Mobile Unit - Route B</v>
      </c>
      <c r="I743" s="9" t="n">
        <f aca="false">IF(Raw_Volunteers!G743="",ROUND(AVERAGE(Raw_Volunteers!$G$2:$G$926),1),Raw_Volunteers!G743)</f>
        <v>5</v>
      </c>
    </row>
    <row r="744" customFormat="false" ht="15" hidden="false" customHeight="true" outlineLevel="0" collapsed="false">
      <c r="A744" s="9" t="str">
        <f aca="false">Raw_Volunteers!A744</f>
        <v>V2153</v>
      </c>
      <c r="B744" s="9" t="str">
        <f aca="false">IF(COUNTIFS(Raw_Volunteers!$A$2:$A$926,Raw_Volunteers!A744,Raw_Volunteers!$D$2:$D$926,Raw_Volunteers!D744,Raw_Volunteers!$E$2:$E$926,Raw_Volunteers!E744,Raw_Volunteers!$G$2:$G$926,Raw_Volunteers!G744)&gt;1,"Possible Duplicate","")</f>
        <v/>
      </c>
      <c r="C744" s="9" t="n">
        <f aca="false">Raw_Volunteers!B744</f>
        <v>0</v>
      </c>
      <c r="D744" s="9" t="str">
        <f aca="false">IF(C744="","No","Yes")</f>
        <v>No</v>
      </c>
      <c r="E744" s="9" t="str">
        <f aca="false">Raw_Volunteers!C744</f>
        <v>Karen Gonzalez</v>
      </c>
      <c r="F744" s="9" t="str">
        <f aca="false">Raw_Volunteers!D744</f>
        <v>05/09/2025</v>
      </c>
      <c r="G744" s="9" t="str">
        <f aca="false">PROPER(TRIM(Raw_Volunteers!E744))</f>
        <v>Mobile Distribution Driver</v>
      </c>
      <c r="H744" s="9" t="str">
        <f aca="false">Raw_Volunteers!F744</f>
        <v>Main Warehouse</v>
      </c>
      <c r="I744" s="9" t="n">
        <f aca="false">IF(Raw_Volunteers!G744="",ROUND(AVERAGE(Raw_Volunteers!$G$2:$G$926),1),Raw_Volunteers!G744)</f>
        <v>2</v>
      </c>
    </row>
    <row r="745" customFormat="false" ht="15" hidden="false" customHeight="true" outlineLevel="0" collapsed="false">
      <c r="A745" s="9" t="str">
        <f aca="false">Raw_Volunteers!A745</f>
        <v>V2154</v>
      </c>
      <c r="B745" s="9" t="str">
        <f aca="false">IF(COUNTIFS(Raw_Volunteers!$A$2:$A$926,Raw_Volunteers!A745,Raw_Volunteers!$D$2:$D$926,Raw_Volunteers!D745,Raw_Volunteers!$E$2:$E$926,Raw_Volunteers!E745,Raw_Volunteers!$G$2:$G$926,Raw_Volunteers!G745)&gt;1,"Possible Duplicate","")</f>
        <v/>
      </c>
      <c r="C745" s="9" t="n">
        <f aca="false">Raw_Volunteers!B745</f>
        <v>0</v>
      </c>
      <c r="D745" s="9" t="str">
        <f aca="false">IF(C745="","No","Yes")</f>
        <v>No</v>
      </c>
      <c r="E745" s="9" t="str">
        <f aca="false">Raw_Volunteers!C745</f>
        <v>Thomas Thomas</v>
      </c>
      <c r="F745" s="9" t="str">
        <f aca="false">Raw_Volunteers!D745</f>
        <v>08/28/2025</v>
      </c>
      <c r="G745" s="9" t="str">
        <f aca="false">PROPER(TRIM(Raw_Volunteers!E745))</f>
        <v>Warehouse Loading</v>
      </c>
      <c r="H745" s="9" t="str">
        <f aca="false">Raw_Volunteers!F745</f>
        <v>Mobile Unit - Route A</v>
      </c>
      <c r="I745" s="9" t="n">
        <f aca="false">IF(Raw_Volunteers!G745="",ROUND(AVERAGE(Raw_Volunteers!$G$2:$G$926),1),Raw_Volunteers!G745)</f>
        <v>3</v>
      </c>
    </row>
    <row r="746" customFormat="false" ht="15" hidden="false" customHeight="true" outlineLevel="0" collapsed="false">
      <c r="A746" s="9" t="str">
        <f aca="false">Raw_Volunteers!A746</f>
        <v>V2154</v>
      </c>
      <c r="B746" s="9" t="str">
        <f aca="false">IF(COUNTIFS(Raw_Volunteers!$A$2:$A$926,Raw_Volunteers!A746,Raw_Volunteers!$D$2:$D$926,Raw_Volunteers!D746,Raw_Volunteers!$E$2:$E$926,Raw_Volunteers!E746,Raw_Volunteers!$G$2:$G$926,Raw_Volunteers!G746)&gt;1,"Possible Duplicate","")</f>
        <v/>
      </c>
      <c r="C746" s="9" t="n">
        <f aca="false">Raw_Volunteers!B746</f>
        <v>0</v>
      </c>
      <c r="D746" s="9" t="str">
        <f aca="false">IF(C746="","No","Yes")</f>
        <v>No</v>
      </c>
      <c r="E746" s="9" t="str">
        <f aca="false">Raw_Volunteers!C746</f>
        <v>Thomas Thomas</v>
      </c>
      <c r="F746" s="9" t="str">
        <f aca="false">Raw_Volunteers!D746</f>
        <v>01/21/2025</v>
      </c>
      <c r="G746" s="9" t="str">
        <f aca="false">PROPER(TRIM(Raw_Volunteers!E746))</f>
        <v>Pantry Stocking</v>
      </c>
      <c r="H746" s="9" t="str">
        <f aca="false">Raw_Volunteers!F746</f>
        <v>Main Warehouse</v>
      </c>
      <c r="I746" s="9" t="n">
        <f aca="false">IF(Raw_Volunteers!G746="",ROUND(AVERAGE(Raw_Volunteers!$G$2:$G$926),1),Raw_Volunteers!G746)</f>
        <v>2</v>
      </c>
    </row>
    <row r="747" customFormat="false" ht="15" hidden="false" customHeight="true" outlineLevel="0" collapsed="false">
      <c r="A747" s="9" t="str">
        <f aca="false">Raw_Volunteers!A747</f>
        <v>V2154</v>
      </c>
      <c r="B747" s="9" t="str">
        <f aca="false">IF(COUNTIFS(Raw_Volunteers!$A$2:$A$926,Raw_Volunteers!A747,Raw_Volunteers!$D$2:$D$926,Raw_Volunteers!D747,Raw_Volunteers!$E$2:$E$926,Raw_Volunteers!E747,Raw_Volunteers!$G$2:$G$926,Raw_Volunteers!G747)&gt;1,"Possible Duplicate","")</f>
        <v/>
      </c>
      <c r="C747" s="9" t="n">
        <f aca="false">Raw_Volunteers!B747</f>
        <v>0</v>
      </c>
      <c r="D747" s="9" t="str">
        <f aca="false">IF(C747="","No","Yes")</f>
        <v>No</v>
      </c>
      <c r="E747" s="9" t="str">
        <f aca="false">Raw_Volunteers!C747</f>
        <v>Thomas Thomas</v>
      </c>
      <c r="F747" s="9" t="str">
        <f aca="false">Raw_Volunteers!D747</f>
        <v>02/13/2025</v>
      </c>
      <c r="G747" s="9" t="str">
        <f aca="false">PROPER(TRIM(Raw_Volunteers!E747))</f>
        <v>Food Sorting</v>
      </c>
      <c r="H747" s="9" t="str">
        <f aca="false">Raw_Volunteers!F747</f>
        <v>Downtown Pantry</v>
      </c>
      <c r="I747" s="9" t="n">
        <f aca="false">IF(Raw_Volunteers!G747="",ROUND(AVERAGE(Raw_Volunteers!$G$2:$G$926),1),Raw_Volunteers!G747)</f>
        <v>2</v>
      </c>
    </row>
    <row r="748" customFormat="false" ht="15" hidden="false" customHeight="true" outlineLevel="0" collapsed="false">
      <c r="A748" s="9" t="str">
        <f aca="false">Raw_Volunteers!A748</f>
        <v>V2154</v>
      </c>
      <c r="B748" s="9" t="str">
        <f aca="false">IF(COUNTIFS(Raw_Volunteers!$A$2:$A$926,Raw_Volunteers!A748,Raw_Volunteers!$D$2:$D$926,Raw_Volunteers!D748,Raw_Volunteers!$E$2:$E$926,Raw_Volunteers!E748,Raw_Volunteers!$G$2:$G$926,Raw_Volunteers!G748)&gt;1,"Possible Duplicate","")</f>
        <v/>
      </c>
      <c r="C748" s="9" t="n">
        <f aca="false">Raw_Volunteers!B748</f>
        <v>0</v>
      </c>
      <c r="D748" s="9" t="str">
        <f aca="false">IF(C748="","No","Yes")</f>
        <v>No</v>
      </c>
      <c r="E748" s="9" t="str">
        <f aca="false">Raw_Volunteers!C748</f>
        <v>Thomas Thomas</v>
      </c>
      <c r="F748" s="9" t="str">
        <f aca="false">Raw_Volunteers!D748</f>
        <v>03/03/2025</v>
      </c>
      <c r="G748" s="9" t="str">
        <f aca="false">PROPER(TRIM(Raw_Volunteers!E748))</f>
        <v>Event Setup</v>
      </c>
      <c r="H748" s="9" t="str">
        <f aca="false">Raw_Volunteers!F748</f>
        <v>Community Center Site</v>
      </c>
      <c r="I748" s="9" t="n">
        <f aca="false">IF(Raw_Volunteers!G748="",ROUND(AVERAGE(Raw_Volunteers!$G$2:$G$926),1),Raw_Volunteers!G748)</f>
        <v>3</v>
      </c>
    </row>
    <row r="749" customFormat="false" ht="15" hidden="false" customHeight="true" outlineLevel="0" collapsed="false">
      <c r="A749" s="9" t="str">
        <f aca="false">Raw_Volunteers!A749</f>
        <v>V2154</v>
      </c>
      <c r="B749" s="9" t="str">
        <f aca="false">IF(COUNTIFS(Raw_Volunteers!$A$2:$A$926,Raw_Volunteers!A749,Raw_Volunteers!$D$2:$D$926,Raw_Volunteers!D749,Raw_Volunteers!$E$2:$E$926,Raw_Volunteers!E749,Raw_Volunteers!$G$2:$G$926,Raw_Volunteers!G749)&gt;1,"Possible Duplicate","")</f>
        <v/>
      </c>
      <c r="C749" s="9" t="n">
        <f aca="false">Raw_Volunteers!B749</f>
        <v>0</v>
      </c>
      <c r="D749" s="9" t="str">
        <f aca="false">IF(C749="","No","Yes")</f>
        <v>No</v>
      </c>
      <c r="E749" s="9" t="str">
        <f aca="false">Raw_Volunteers!C749</f>
        <v>Thomas Thomas</v>
      </c>
      <c r="F749" s="9" t="str">
        <f aca="false">Raw_Volunteers!D749</f>
        <v>03/23/2024</v>
      </c>
      <c r="G749" s="9" t="str">
        <f aca="false">PROPER(TRIM(Raw_Volunteers!E749))</f>
        <v>Mobile Distribution Driver</v>
      </c>
      <c r="H749" s="9" t="str">
        <f aca="false">Raw_Volunteers!F749</f>
        <v>Main Warehouse</v>
      </c>
      <c r="I749" s="9" t="n">
        <f aca="false">IF(Raw_Volunteers!G749="",ROUND(AVERAGE(Raw_Volunteers!$G$2:$G$926),1),Raw_Volunteers!G749)</f>
        <v>6</v>
      </c>
    </row>
    <row r="750" customFormat="false" ht="15" hidden="false" customHeight="true" outlineLevel="0" collapsed="false">
      <c r="A750" s="9" t="str">
        <f aca="false">Raw_Volunteers!A750</f>
        <v>V2155</v>
      </c>
      <c r="B750" s="9" t="str">
        <f aca="false">IF(COUNTIFS(Raw_Volunteers!$A$2:$A$926,Raw_Volunteers!A750,Raw_Volunteers!$D$2:$D$926,Raw_Volunteers!D750,Raw_Volunteers!$E$2:$E$926,Raw_Volunteers!E750,Raw_Volunteers!$G$2:$G$926,Raw_Volunteers!G750)&gt;1,"Possible Duplicate","")</f>
        <v/>
      </c>
      <c r="C750" s="9" t="n">
        <f aca="false">Raw_Volunteers!B750</f>
        <v>0</v>
      </c>
      <c r="D750" s="9" t="str">
        <f aca="false">IF(C750="","No","Yes")</f>
        <v>No</v>
      </c>
      <c r="E750" s="9" t="str">
        <f aca="false">Raw_Volunteers!C750</f>
        <v>Elizabeth Rodriguez</v>
      </c>
      <c r="F750" s="9" t="str">
        <f aca="false">Raw_Volunteers!D750</f>
        <v>04/15/2025</v>
      </c>
      <c r="G750" s="9" t="str">
        <f aca="false">PROPER(TRIM(Raw_Volunteers!E750))</f>
        <v>Holiday Box Packing</v>
      </c>
      <c r="H750" s="9" t="str">
        <f aca="false">Raw_Volunteers!F750</f>
        <v>Mobile Unit - Route B</v>
      </c>
      <c r="I750" s="9" t="n">
        <f aca="false">IF(Raw_Volunteers!G750="",ROUND(AVERAGE(Raw_Volunteers!$G$2:$G$926),1),Raw_Volunteers!G750)</f>
        <v>2</v>
      </c>
    </row>
    <row r="751" customFormat="false" ht="15" hidden="false" customHeight="true" outlineLevel="0" collapsed="false">
      <c r="A751" s="9" t="str">
        <f aca="false">Raw_Volunteers!A751</f>
        <v>V2155</v>
      </c>
      <c r="B751" s="9" t="str">
        <f aca="false">IF(COUNTIFS(Raw_Volunteers!$A$2:$A$926,Raw_Volunteers!A751,Raw_Volunteers!$D$2:$D$926,Raw_Volunteers!D751,Raw_Volunteers!$E$2:$E$926,Raw_Volunteers!E751,Raw_Volunteers!$G$2:$G$926,Raw_Volunteers!G751)&gt;1,"Possible Duplicate","")</f>
        <v/>
      </c>
      <c r="C751" s="9" t="n">
        <f aca="false">Raw_Volunteers!B751</f>
        <v>0</v>
      </c>
      <c r="D751" s="9" t="str">
        <f aca="false">IF(C751="","No","Yes")</f>
        <v>No</v>
      </c>
      <c r="E751" s="9" t="str">
        <f aca="false">Raw_Volunteers!C751</f>
        <v>Elizabeth Rodriguez</v>
      </c>
      <c r="F751" s="9" t="str">
        <f aca="false">Raw_Volunteers!D751</f>
        <v>02/01/2026</v>
      </c>
      <c r="G751" s="9" t="str">
        <f aca="false">PROPER(TRIM(Raw_Volunteers!E751))</f>
        <v>Warehouse Loading</v>
      </c>
      <c r="H751" s="9" t="str">
        <f aca="false">Raw_Volunteers!F751</f>
        <v>Downtown Pantry</v>
      </c>
      <c r="I751" s="9" t="n">
        <f aca="false">IF(Raw_Volunteers!G751="",ROUND(AVERAGE(Raw_Volunteers!$G$2:$G$926),1),Raw_Volunteers!G751)</f>
        <v>5</v>
      </c>
    </row>
    <row r="752" customFormat="false" ht="15" hidden="false" customHeight="true" outlineLevel="0" collapsed="false">
      <c r="A752" s="9" t="str">
        <f aca="false">Raw_Volunteers!A752</f>
        <v>V2155</v>
      </c>
      <c r="B752" s="9" t="str">
        <f aca="false">IF(COUNTIFS(Raw_Volunteers!$A$2:$A$926,Raw_Volunteers!A752,Raw_Volunteers!$D$2:$D$926,Raw_Volunteers!D752,Raw_Volunteers!$E$2:$E$926,Raw_Volunteers!E752,Raw_Volunteers!$G$2:$G$926,Raw_Volunteers!G752)&gt;1,"Possible Duplicate","")</f>
        <v/>
      </c>
      <c r="C752" s="9" t="n">
        <f aca="false">Raw_Volunteers!B752</f>
        <v>0</v>
      </c>
      <c r="D752" s="9" t="str">
        <f aca="false">IF(C752="","No","Yes")</f>
        <v>No</v>
      </c>
      <c r="E752" s="9" t="str">
        <f aca="false">Raw_Volunteers!C752</f>
        <v>Elizabeth Rodriguez</v>
      </c>
      <c r="F752" s="9" t="str">
        <f aca="false">Raw_Volunteers!D752</f>
        <v>01/17/2025</v>
      </c>
      <c r="G752" s="9" t="str">
        <f aca="false">PROPER(TRIM(Raw_Volunteers!E752))</f>
        <v>Pantry Stocking</v>
      </c>
      <c r="H752" s="9" t="str">
        <f aca="false">Raw_Volunteers!F752</f>
        <v>Mobile Unit - Route A</v>
      </c>
      <c r="I752" s="9" t="n">
        <f aca="false">IF(Raw_Volunteers!G752="",ROUND(AVERAGE(Raw_Volunteers!$G$2:$G$926),1),Raw_Volunteers!G752)</f>
        <v>2</v>
      </c>
    </row>
    <row r="753" customFormat="false" ht="15" hidden="false" customHeight="true" outlineLevel="0" collapsed="false">
      <c r="A753" s="9" t="str">
        <f aca="false">Raw_Volunteers!A753</f>
        <v>V2155</v>
      </c>
      <c r="B753" s="9" t="str">
        <f aca="false">IF(COUNTIFS(Raw_Volunteers!$A$2:$A$926,Raw_Volunteers!A753,Raw_Volunteers!$D$2:$D$926,Raw_Volunteers!D753,Raw_Volunteers!$E$2:$E$926,Raw_Volunteers!E753,Raw_Volunteers!$G$2:$G$926,Raw_Volunteers!G753)&gt;1,"Possible Duplicate","")</f>
        <v/>
      </c>
      <c r="C753" s="9" t="n">
        <f aca="false">Raw_Volunteers!B753</f>
        <v>0</v>
      </c>
      <c r="D753" s="9" t="str">
        <f aca="false">IF(C753="","No","Yes")</f>
        <v>No</v>
      </c>
      <c r="E753" s="9" t="str">
        <f aca="false">Raw_Volunteers!C753</f>
        <v>Elizabeth Rodriguez</v>
      </c>
      <c r="F753" s="9" t="str">
        <f aca="false">Raw_Volunteers!D753</f>
        <v>03/17/2026</v>
      </c>
      <c r="G753" s="9" t="str">
        <f aca="false">PROPER(TRIM(Raw_Volunteers!E753))</f>
        <v>Event Setup</v>
      </c>
      <c r="H753" s="9" t="str">
        <f aca="false">Raw_Volunteers!F753</f>
        <v>Mobile Unit - Route A</v>
      </c>
      <c r="I753" s="9" t="n">
        <f aca="false">IF(Raw_Volunteers!G753="",ROUND(AVERAGE(Raw_Volunteers!$G$2:$G$926),1),Raw_Volunteers!G753)</f>
        <v>6</v>
      </c>
    </row>
    <row r="754" customFormat="false" ht="15" hidden="false" customHeight="true" outlineLevel="0" collapsed="false">
      <c r="A754" s="9" t="str">
        <f aca="false">Raw_Volunteers!A754</f>
        <v>V2156</v>
      </c>
      <c r="B754" s="9" t="str">
        <f aca="false">IF(COUNTIFS(Raw_Volunteers!$A$2:$A$926,Raw_Volunteers!A754,Raw_Volunteers!$D$2:$D$926,Raw_Volunteers!D754,Raw_Volunteers!$E$2:$E$926,Raw_Volunteers!E754,Raw_Volunteers!$G$2:$G$926,Raw_Volunteers!G754)&gt;1,"Possible Duplicate","")</f>
        <v/>
      </c>
      <c r="C754" s="9" t="n">
        <f aca="false">Raw_Volunteers!B754</f>
        <v>0</v>
      </c>
      <c r="D754" s="9" t="str">
        <f aca="false">IF(C754="","No","Yes")</f>
        <v>No</v>
      </c>
      <c r="E754" s="9" t="str">
        <f aca="false">Raw_Volunteers!C754</f>
        <v>Joseph White</v>
      </c>
      <c r="F754" s="9" t="str">
        <f aca="false">Raw_Volunteers!D754</f>
        <v>07/25/2024</v>
      </c>
      <c r="G754" s="9" t="str">
        <f aca="false">PROPER(TRIM(Raw_Volunteers!E754))</f>
        <v>Mobile Distribution Driver</v>
      </c>
      <c r="H754" s="9" t="str">
        <f aca="false">Raw_Volunteers!F754</f>
        <v>Downtown Pantry</v>
      </c>
      <c r="I754" s="9" t="n">
        <f aca="false">IF(Raw_Volunteers!G754="",ROUND(AVERAGE(Raw_Volunteers!$G$2:$G$926),1),Raw_Volunteers!G754)</f>
        <v>2</v>
      </c>
    </row>
    <row r="755" customFormat="false" ht="15" hidden="false" customHeight="true" outlineLevel="0" collapsed="false">
      <c r="A755" s="9" t="str">
        <f aca="false">Raw_Volunteers!A755</f>
        <v>V2157</v>
      </c>
      <c r="B755" s="9" t="str">
        <f aca="false">IF(COUNTIFS(Raw_Volunteers!$A$2:$A$926,Raw_Volunteers!A755,Raw_Volunteers!$D$2:$D$926,Raw_Volunteers!D755,Raw_Volunteers!$E$2:$E$926,Raw_Volunteers!E755,Raw_Volunteers!$G$2:$G$926,Raw_Volunteers!G755)&gt;1,"Possible Duplicate","")</f>
        <v/>
      </c>
      <c r="C755" s="9" t="n">
        <f aca="false">Raw_Volunteers!B755</f>
        <v>0</v>
      </c>
      <c r="D755" s="9" t="str">
        <f aca="false">IF(C755="","No","Yes")</f>
        <v>No</v>
      </c>
      <c r="E755" s="9" t="str">
        <f aca="false">Raw_Volunteers!C755</f>
        <v>Patricia Rodriguez</v>
      </c>
      <c r="F755" s="9" t="str">
        <f aca="false">Raw_Volunteers!D755</f>
        <v>03/20/2025</v>
      </c>
      <c r="G755" s="9" t="str">
        <f aca="false">PROPER(TRIM(Raw_Volunteers!E755))</f>
        <v>Event Setup</v>
      </c>
      <c r="H755" s="9" t="str">
        <f aca="false">Raw_Volunteers!F755</f>
        <v>Downtown Pantry</v>
      </c>
      <c r="I755" s="9" t="n">
        <f aca="false">IF(Raw_Volunteers!G755="",ROUND(AVERAGE(Raw_Volunteers!$G$2:$G$926),1),Raw_Volunteers!G755)</f>
        <v>3</v>
      </c>
    </row>
    <row r="756" customFormat="false" ht="15" hidden="false" customHeight="true" outlineLevel="0" collapsed="false">
      <c r="A756" s="9" t="str">
        <f aca="false">Raw_Volunteers!A756</f>
        <v>V2158</v>
      </c>
      <c r="B756" s="9" t="str">
        <f aca="false">IF(COUNTIFS(Raw_Volunteers!$A$2:$A$926,Raw_Volunteers!A756,Raw_Volunteers!$D$2:$D$926,Raw_Volunteers!D756,Raw_Volunteers!$E$2:$E$926,Raw_Volunteers!E756,Raw_Volunteers!$G$2:$G$926,Raw_Volunteers!G756)&gt;1,"Possible Duplicate","")</f>
        <v/>
      </c>
      <c r="C756" s="9" t="n">
        <f aca="false">Raw_Volunteers!B756</f>
        <v>0</v>
      </c>
      <c r="D756" s="9" t="str">
        <f aca="false">IF(C756="","No","Yes")</f>
        <v>No</v>
      </c>
      <c r="E756" s="9" t="str">
        <f aca="false">Raw_Volunteers!C756</f>
        <v>Deborah Perez</v>
      </c>
      <c r="F756" s="9" t="str">
        <f aca="false">Raw_Volunteers!D756</f>
        <v>01/11/2024</v>
      </c>
      <c r="G756" s="9" t="str">
        <f aca="false">PROPER(TRIM(Raw_Volunteers!E756))</f>
        <v>Event Setup</v>
      </c>
      <c r="H756" s="9" t="str">
        <f aca="false">Raw_Volunteers!F756</f>
        <v>Mobile Unit - Route A</v>
      </c>
      <c r="I756" s="9" t="n">
        <f aca="false">IF(Raw_Volunteers!G756="",ROUND(AVERAGE(Raw_Volunteers!$G$2:$G$926),1),Raw_Volunteers!G756)</f>
        <v>2</v>
      </c>
    </row>
    <row r="757" customFormat="false" ht="15" hidden="false" customHeight="true" outlineLevel="0" collapsed="false">
      <c r="A757" s="9" t="str">
        <f aca="false">Raw_Volunteers!A757</f>
        <v>V2158</v>
      </c>
      <c r="B757" s="9" t="str">
        <f aca="false">IF(COUNTIFS(Raw_Volunteers!$A$2:$A$926,Raw_Volunteers!A757,Raw_Volunteers!$D$2:$D$926,Raw_Volunteers!D757,Raw_Volunteers!$E$2:$E$926,Raw_Volunteers!E757,Raw_Volunteers!$G$2:$G$926,Raw_Volunteers!G757)&gt;1,"Possible Duplicate","")</f>
        <v/>
      </c>
      <c r="C757" s="9" t="n">
        <f aca="false">Raw_Volunteers!B757</f>
        <v>0</v>
      </c>
      <c r="D757" s="9" t="str">
        <f aca="false">IF(C757="","No","Yes")</f>
        <v>No</v>
      </c>
      <c r="E757" s="9" t="str">
        <f aca="false">Raw_Volunteers!C757</f>
        <v>Deborah Perez</v>
      </c>
      <c r="F757" s="9" t="str">
        <f aca="false">Raw_Volunteers!D757</f>
        <v>03/30/2026</v>
      </c>
      <c r="G757" s="9" t="str">
        <f aca="false">PROPER(TRIM(Raw_Volunteers!E757))</f>
        <v>Pantry Stocking</v>
      </c>
      <c r="H757" s="9" t="str">
        <f aca="false">Raw_Volunteers!F757</f>
        <v>Mobile Unit - Route B</v>
      </c>
      <c r="I757" s="9" t="n">
        <f aca="false">IF(Raw_Volunteers!G757="",ROUND(AVERAGE(Raw_Volunteers!$G$2:$G$926),1),Raw_Volunteers!G757)</f>
        <v>2</v>
      </c>
    </row>
    <row r="758" customFormat="false" ht="15" hidden="false" customHeight="true" outlineLevel="0" collapsed="false">
      <c r="A758" s="9" t="str">
        <f aca="false">Raw_Volunteers!A758</f>
        <v>V2158</v>
      </c>
      <c r="B758" s="9" t="str">
        <f aca="false">IF(COUNTIFS(Raw_Volunteers!$A$2:$A$926,Raw_Volunteers!A758,Raw_Volunteers!$D$2:$D$926,Raw_Volunteers!D758,Raw_Volunteers!$E$2:$E$926,Raw_Volunteers!E758,Raw_Volunteers!$G$2:$G$926,Raw_Volunteers!G758)&gt;1,"Possible Duplicate","")</f>
        <v/>
      </c>
      <c r="C758" s="9" t="n">
        <f aca="false">Raw_Volunteers!B758</f>
        <v>0</v>
      </c>
      <c r="D758" s="9" t="str">
        <f aca="false">IF(C758="","No","Yes")</f>
        <v>No</v>
      </c>
      <c r="E758" s="9" t="str">
        <f aca="false">Raw_Volunteers!C758</f>
        <v>Deborah Perez</v>
      </c>
      <c r="F758" s="9" t="str">
        <f aca="false">Raw_Volunteers!D758</f>
        <v>05/07/2024</v>
      </c>
      <c r="G758" s="9" t="str">
        <f aca="false">PROPER(TRIM(Raw_Volunteers!E758))</f>
        <v>Front Desk Greeter</v>
      </c>
      <c r="H758" s="9" t="str">
        <f aca="false">Raw_Volunteers!F758</f>
        <v>Mobile Unit - Route B</v>
      </c>
      <c r="I758" s="9" t="n">
        <f aca="false">IF(Raw_Volunteers!G758="",ROUND(AVERAGE(Raw_Volunteers!$G$2:$G$926),1),Raw_Volunteers!G758)</f>
        <v>2</v>
      </c>
    </row>
    <row r="759" customFormat="false" ht="15" hidden="false" customHeight="true" outlineLevel="0" collapsed="false">
      <c r="A759" s="9" t="str">
        <f aca="false">Raw_Volunteers!A759</f>
        <v>V2159</v>
      </c>
      <c r="B759" s="9" t="str">
        <f aca="false">IF(COUNTIFS(Raw_Volunteers!$A$2:$A$926,Raw_Volunteers!A759,Raw_Volunteers!$D$2:$D$926,Raw_Volunteers!D759,Raw_Volunteers!$E$2:$E$926,Raw_Volunteers!E759,Raw_Volunteers!$G$2:$G$926,Raw_Volunteers!G759)&gt;1,"Possible Duplicate","")</f>
        <v/>
      </c>
      <c r="C759" s="9" t="n">
        <f aca="false">Raw_Volunteers!B759</f>
        <v>0</v>
      </c>
      <c r="D759" s="9" t="str">
        <f aca="false">IF(C759="","No","Yes")</f>
        <v>No</v>
      </c>
      <c r="E759" s="9" t="str">
        <f aca="false">Raw_Volunteers!C759</f>
        <v>John Jones</v>
      </c>
      <c r="F759" s="9" t="str">
        <f aca="false">Raw_Volunteers!D759</f>
        <v>12/03/2024</v>
      </c>
      <c r="G759" s="9" t="str">
        <f aca="false">PROPER(TRIM(Raw_Volunteers!E759))</f>
        <v>Front Desk Greeter</v>
      </c>
      <c r="H759" s="9" t="str">
        <f aca="false">Raw_Volunteers!F759</f>
        <v>Downtown Pantry</v>
      </c>
      <c r="I759" s="9" t="n">
        <f aca="false">IF(Raw_Volunteers!G759="",ROUND(AVERAGE(Raw_Volunteers!$G$2:$G$926),1),Raw_Volunteers!G759)</f>
        <v>3</v>
      </c>
    </row>
    <row r="760" customFormat="false" ht="15" hidden="false" customHeight="true" outlineLevel="0" collapsed="false">
      <c r="A760" s="9" t="str">
        <f aca="false">Raw_Volunteers!A760</f>
        <v>V2159</v>
      </c>
      <c r="B760" s="9" t="str">
        <f aca="false">IF(COUNTIFS(Raw_Volunteers!$A$2:$A$926,Raw_Volunteers!A760,Raw_Volunteers!$D$2:$D$926,Raw_Volunteers!D760,Raw_Volunteers!$E$2:$E$926,Raw_Volunteers!E760,Raw_Volunteers!$G$2:$G$926,Raw_Volunteers!G760)&gt;1,"Possible Duplicate","")</f>
        <v/>
      </c>
      <c r="C760" s="9" t="n">
        <f aca="false">Raw_Volunteers!B760</f>
        <v>0</v>
      </c>
      <c r="D760" s="9" t="str">
        <f aca="false">IF(C760="","No","Yes")</f>
        <v>No</v>
      </c>
      <c r="E760" s="9" t="str">
        <f aca="false">Raw_Volunteers!C760</f>
        <v>John Jones</v>
      </c>
      <c r="F760" s="9" t="str">
        <f aca="false">Raw_Volunteers!D760</f>
        <v>09/28/2024</v>
      </c>
      <c r="G760" s="9" t="str">
        <f aca="false">PROPER(TRIM(Raw_Volunteers!E760))</f>
        <v>Holiday Box Packing</v>
      </c>
      <c r="H760" s="9" t="str">
        <f aca="false">Raw_Volunteers!F760</f>
        <v>Mobile Unit - Route A</v>
      </c>
      <c r="I760" s="9" t="n">
        <f aca="false">IF(Raw_Volunteers!G760="",ROUND(AVERAGE(Raw_Volunteers!$G$2:$G$926),1),Raw_Volunteers!G760)</f>
        <v>4</v>
      </c>
    </row>
    <row r="761" customFormat="false" ht="15" hidden="false" customHeight="true" outlineLevel="0" collapsed="false">
      <c r="A761" s="9" t="str">
        <f aca="false">Raw_Volunteers!A761</f>
        <v>V2159</v>
      </c>
      <c r="B761" s="9" t="str">
        <f aca="false">IF(COUNTIFS(Raw_Volunteers!$A$2:$A$926,Raw_Volunteers!A761,Raw_Volunteers!$D$2:$D$926,Raw_Volunteers!D761,Raw_Volunteers!$E$2:$E$926,Raw_Volunteers!E761,Raw_Volunteers!$G$2:$G$926,Raw_Volunteers!G761)&gt;1,"Possible Duplicate","")</f>
        <v/>
      </c>
      <c r="C761" s="9" t="n">
        <f aca="false">Raw_Volunteers!B761</f>
        <v>0</v>
      </c>
      <c r="D761" s="9" t="str">
        <f aca="false">IF(C761="","No","Yes")</f>
        <v>No</v>
      </c>
      <c r="E761" s="9" t="str">
        <f aca="false">Raw_Volunteers!C761</f>
        <v>John Jones</v>
      </c>
      <c r="F761" s="9" t="str">
        <f aca="false">Raw_Volunteers!D761</f>
        <v>08/13/2024</v>
      </c>
      <c r="G761" s="9" t="str">
        <f aca="false">PROPER(TRIM(Raw_Volunteers!E761))</f>
        <v>Client Intake Assistant</v>
      </c>
      <c r="H761" s="9" t="str">
        <f aca="false">Raw_Volunteers!F761</f>
        <v>Downtown Pantry</v>
      </c>
      <c r="I761" s="9" t="n">
        <f aca="false">IF(Raw_Volunteers!G761="",ROUND(AVERAGE(Raw_Volunteers!$G$2:$G$926),1),Raw_Volunteers!G761)</f>
        <v>3</v>
      </c>
    </row>
    <row r="762" customFormat="false" ht="15" hidden="false" customHeight="true" outlineLevel="0" collapsed="false">
      <c r="A762" s="9" t="str">
        <f aca="false">Raw_Volunteers!A762</f>
        <v>V2160</v>
      </c>
      <c r="B762" s="9" t="str">
        <f aca="false">IF(COUNTIFS(Raw_Volunteers!$A$2:$A$926,Raw_Volunteers!A762,Raw_Volunteers!$D$2:$D$926,Raw_Volunteers!D762,Raw_Volunteers!$E$2:$E$926,Raw_Volunteers!E762,Raw_Volunteers!$G$2:$G$926,Raw_Volunteers!G762)&gt;1,"Possible Duplicate","")</f>
        <v/>
      </c>
      <c r="C762" s="9" t="n">
        <f aca="false">Raw_Volunteers!B762</f>
        <v>0</v>
      </c>
      <c r="D762" s="9" t="str">
        <f aca="false">IF(C762="","No","Yes")</f>
        <v>No</v>
      </c>
      <c r="E762" s="9" t="str">
        <f aca="false">Raw_Volunteers!C762</f>
        <v>Joseph Thompson</v>
      </c>
      <c r="F762" s="9" t="str">
        <f aca="false">Raw_Volunteers!D762</f>
        <v>01/06/2026</v>
      </c>
      <c r="G762" s="9" t="str">
        <f aca="false">PROPER(TRIM(Raw_Volunteers!E762))</f>
        <v>Warehouse Loading</v>
      </c>
      <c r="H762" s="9" t="str">
        <f aca="false">Raw_Volunteers!F762</f>
        <v>Community Center Site</v>
      </c>
      <c r="I762" s="9" t="n">
        <f aca="false">IF(Raw_Volunteers!G762="",ROUND(AVERAGE(Raw_Volunteers!$G$2:$G$926),1),Raw_Volunteers!G762)</f>
        <v>3</v>
      </c>
    </row>
    <row r="763" customFormat="false" ht="15" hidden="false" customHeight="true" outlineLevel="0" collapsed="false">
      <c r="A763" s="9" t="str">
        <f aca="false">Raw_Volunteers!A763</f>
        <v>V2160</v>
      </c>
      <c r="B763" s="9" t="str">
        <f aca="false">IF(COUNTIFS(Raw_Volunteers!$A$2:$A$926,Raw_Volunteers!A763,Raw_Volunteers!$D$2:$D$926,Raw_Volunteers!D763,Raw_Volunteers!$E$2:$E$926,Raw_Volunteers!E763,Raw_Volunteers!$G$2:$G$926,Raw_Volunteers!G763)&gt;1,"Possible Duplicate","")</f>
        <v/>
      </c>
      <c r="C763" s="9" t="n">
        <f aca="false">Raw_Volunteers!B763</f>
        <v>0</v>
      </c>
      <c r="D763" s="9" t="str">
        <f aca="false">IF(C763="","No","Yes")</f>
        <v>No</v>
      </c>
      <c r="E763" s="9" t="str">
        <f aca="false">Raw_Volunteers!C763</f>
        <v>Joseph Thompson</v>
      </c>
      <c r="F763" s="9" t="str">
        <f aca="false">Raw_Volunteers!D763</f>
        <v>06/05/2024</v>
      </c>
      <c r="G763" s="9" t="str">
        <f aca="false">PROPER(TRIM(Raw_Volunteers!E763))</f>
        <v>Front Desk Greeter</v>
      </c>
      <c r="H763" s="9" t="str">
        <f aca="false">Raw_Volunteers!F763</f>
        <v>Mobile Unit - Route A</v>
      </c>
      <c r="I763" s="9" t="n">
        <f aca="false">IF(Raw_Volunteers!G763="",ROUND(AVERAGE(Raw_Volunteers!$G$2:$G$926),1),Raw_Volunteers!G763)</f>
        <v>2</v>
      </c>
    </row>
    <row r="764" customFormat="false" ht="15" hidden="false" customHeight="true" outlineLevel="0" collapsed="false">
      <c r="A764" s="9" t="str">
        <f aca="false">Raw_Volunteers!A764</f>
        <v>V2161</v>
      </c>
      <c r="B764" s="9" t="str">
        <f aca="false">IF(COUNTIFS(Raw_Volunteers!$A$2:$A$926,Raw_Volunteers!A764,Raw_Volunteers!$D$2:$D$926,Raw_Volunteers!D764,Raw_Volunteers!$E$2:$E$926,Raw_Volunteers!E764,Raw_Volunteers!$G$2:$G$926,Raw_Volunteers!G764)&gt;1,"Possible Duplicate","")</f>
        <v/>
      </c>
      <c r="C764" s="9" t="n">
        <f aca="false">Raw_Volunteers!B764</f>
        <v>0</v>
      </c>
      <c r="D764" s="9" t="str">
        <f aca="false">IF(C764="","No","Yes")</f>
        <v>No</v>
      </c>
      <c r="E764" s="9" t="str">
        <f aca="false">Raw_Volunteers!C764</f>
        <v>Donald Johnson</v>
      </c>
      <c r="F764" s="9" t="str">
        <f aca="false">Raw_Volunteers!D764</f>
        <v>03/24/2026</v>
      </c>
      <c r="G764" s="9" t="str">
        <f aca="false">PROPER(TRIM(Raw_Volunteers!E764))</f>
        <v>Food Sorting</v>
      </c>
      <c r="H764" s="9" t="str">
        <f aca="false">Raw_Volunteers!F764</f>
        <v>Main Warehouse</v>
      </c>
      <c r="I764" s="9" t="n">
        <f aca="false">IF(Raw_Volunteers!G764="",ROUND(AVERAGE(Raw_Volunteers!$G$2:$G$926),1),Raw_Volunteers!G764)</f>
        <v>2</v>
      </c>
    </row>
    <row r="765" customFormat="false" ht="15" hidden="false" customHeight="true" outlineLevel="0" collapsed="false">
      <c r="A765" s="9" t="str">
        <f aca="false">Raw_Volunteers!A765</f>
        <v>V2161</v>
      </c>
      <c r="B765" s="9" t="str">
        <f aca="false">IF(COUNTIFS(Raw_Volunteers!$A$2:$A$926,Raw_Volunteers!A765,Raw_Volunteers!$D$2:$D$926,Raw_Volunteers!D765,Raw_Volunteers!$E$2:$E$926,Raw_Volunteers!E765,Raw_Volunteers!$G$2:$G$926,Raw_Volunteers!G765)&gt;1,"Possible Duplicate","")</f>
        <v/>
      </c>
      <c r="C765" s="9" t="n">
        <f aca="false">Raw_Volunteers!B765</f>
        <v>0</v>
      </c>
      <c r="D765" s="9" t="str">
        <f aca="false">IF(C765="","No","Yes")</f>
        <v>No</v>
      </c>
      <c r="E765" s="9" t="str">
        <f aca="false">Raw_Volunteers!C765</f>
        <v>Donald Johnson</v>
      </c>
      <c r="F765" s="9" t="str">
        <f aca="false">Raw_Volunteers!D765</f>
        <v>05/20/2024</v>
      </c>
      <c r="G765" s="9" t="str">
        <f aca="false">PROPER(TRIM(Raw_Volunteers!E765))</f>
        <v>Front Desk Greeter</v>
      </c>
      <c r="H765" s="9" t="str">
        <f aca="false">Raw_Volunteers!F765</f>
        <v>Mobile Unit - Route A</v>
      </c>
      <c r="I765" s="9" t="n">
        <f aca="false">IF(Raw_Volunteers!G765="",ROUND(AVERAGE(Raw_Volunteers!$G$2:$G$926),1),Raw_Volunteers!G765)</f>
        <v>3</v>
      </c>
    </row>
    <row r="766" customFormat="false" ht="15" hidden="false" customHeight="true" outlineLevel="0" collapsed="false">
      <c r="A766" s="9" t="str">
        <f aca="false">Raw_Volunteers!A766</f>
        <v>V2161</v>
      </c>
      <c r="B766" s="9" t="str">
        <f aca="false">IF(COUNTIFS(Raw_Volunteers!$A$2:$A$926,Raw_Volunteers!A766,Raw_Volunteers!$D$2:$D$926,Raw_Volunteers!D766,Raw_Volunteers!$E$2:$E$926,Raw_Volunteers!E766,Raw_Volunteers!$G$2:$G$926,Raw_Volunteers!G766)&gt;1,"Possible Duplicate","")</f>
        <v/>
      </c>
      <c r="C766" s="9" t="n">
        <f aca="false">Raw_Volunteers!B766</f>
        <v>0</v>
      </c>
      <c r="D766" s="9" t="str">
        <f aca="false">IF(C766="","No","Yes")</f>
        <v>No</v>
      </c>
      <c r="E766" s="9" t="str">
        <f aca="false">Raw_Volunteers!C766</f>
        <v>Donald Johnson</v>
      </c>
      <c r="F766" s="9" t="str">
        <f aca="false">Raw_Volunteers!D766</f>
        <v>02/13/2024</v>
      </c>
      <c r="G766" s="9" t="str">
        <f aca="false">PROPER(TRIM(Raw_Volunteers!E766))</f>
        <v>Mobile Distribution Driver</v>
      </c>
      <c r="H766" s="9" t="str">
        <f aca="false">Raw_Volunteers!F766</f>
        <v>Main Warehouse</v>
      </c>
      <c r="I766" s="9" t="n">
        <f aca="false">IF(Raw_Volunteers!G766="",ROUND(AVERAGE(Raw_Volunteers!$G$2:$G$926),1),Raw_Volunteers!G766)</f>
        <v>4</v>
      </c>
    </row>
    <row r="767" customFormat="false" ht="15" hidden="false" customHeight="true" outlineLevel="0" collapsed="false">
      <c r="A767" s="9" t="str">
        <f aca="false">Raw_Volunteers!A767</f>
        <v>V2161</v>
      </c>
      <c r="B767" s="9" t="str">
        <f aca="false">IF(COUNTIFS(Raw_Volunteers!$A$2:$A$926,Raw_Volunteers!A767,Raw_Volunteers!$D$2:$D$926,Raw_Volunteers!D767,Raw_Volunteers!$E$2:$E$926,Raw_Volunteers!E767,Raw_Volunteers!$G$2:$G$926,Raw_Volunteers!G767)&gt;1,"Possible Duplicate","")</f>
        <v/>
      </c>
      <c r="C767" s="9" t="n">
        <f aca="false">Raw_Volunteers!B767</f>
        <v>0</v>
      </c>
      <c r="D767" s="9" t="str">
        <f aca="false">IF(C767="","No","Yes")</f>
        <v>No</v>
      </c>
      <c r="E767" s="9" t="str">
        <f aca="false">Raw_Volunteers!C767</f>
        <v>Donald Johnson</v>
      </c>
      <c r="F767" s="9" t="str">
        <f aca="false">Raw_Volunteers!D767</f>
        <v>08/02/2025</v>
      </c>
      <c r="G767" s="9" t="str">
        <f aca="false">PROPER(TRIM(Raw_Volunteers!E767))</f>
        <v>Food Sorting</v>
      </c>
      <c r="H767" s="9" t="str">
        <f aca="false">Raw_Volunteers!F767</f>
        <v>Main Warehouse</v>
      </c>
      <c r="I767" s="9" t="n">
        <f aca="false">IF(Raw_Volunteers!G767="",ROUND(AVERAGE(Raw_Volunteers!$G$2:$G$926),1),Raw_Volunteers!G767)</f>
        <v>3</v>
      </c>
    </row>
    <row r="768" customFormat="false" ht="15" hidden="false" customHeight="true" outlineLevel="0" collapsed="false">
      <c r="A768" s="9" t="str">
        <f aca="false">Raw_Volunteers!A768</f>
        <v>V2161</v>
      </c>
      <c r="B768" s="9" t="str">
        <f aca="false">IF(COUNTIFS(Raw_Volunteers!$A$2:$A$926,Raw_Volunteers!A768,Raw_Volunteers!$D$2:$D$926,Raw_Volunteers!D768,Raw_Volunteers!$E$2:$E$926,Raw_Volunteers!E768,Raw_Volunteers!$G$2:$G$926,Raw_Volunteers!G768)&gt;1,"Possible Duplicate","")</f>
        <v/>
      </c>
      <c r="C768" s="9" t="n">
        <f aca="false">Raw_Volunteers!B768</f>
        <v>0</v>
      </c>
      <c r="D768" s="9" t="str">
        <f aca="false">IF(C768="","No","Yes")</f>
        <v>No</v>
      </c>
      <c r="E768" s="9" t="str">
        <f aca="false">Raw_Volunteers!C768</f>
        <v>Donald Johnson</v>
      </c>
      <c r="F768" s="9" t="str">
        <f aca="false">Raw_Volunteers!D768</f>
        <v>08/01/2024</v>
      </c>
      <c r="G768" s="9" t="str">
        <f aca="false">PROPER(TRIM(Raw_Volunteers!E768))</f>
        <v>Food Sorting</v>
      </c>
      <c r="H768" s="9" t="str">
        <f aca="false">Raw_Volunteers!F768</f>
        <v>Downtown Pantry</v>
      </c>
      <c r="I768" s="9" t="n">
        <f aca="false">IF(Raw_Volunteers!G768="",ROUND(AVERAGE(Raw_Volunteers!$G$2:$G$926),1),Raw_Volunteers!G768)</f>
        <v>5</v>
      </c>
    </row>
    <row r="769" customFormat="false" ht="15" hidden="false" customHeight="true" outlineLevel="0" collapsed="false">
      <c r="A769" s="9" t="str">
        <f aca="false">Raw_Volunteers!A769</f>
        <v>V2162</v>
      </c>
      <c r="B769" s="9" t="str">
        <f aca="false">IF(COUNTIFS(Raw_Volunteers!$A$2:$A$926,Raw_Volunteers!A769,Raw_Volunteers!$D$2:$D$926,Raw_Volunteers!D769,Raw_Volunteers!$E$2:$E$926,Raw_Volunteers!E769,Raw_Volunteers!$G$2:$G$926,Raw_Volunteers!G769)&gt;1,"Possible Duplicate","")</f>
        <v/>
      </c>
      <c r="C769" s="9" t="n">
        <f aca="false">Raw_Volunteers!B769</f>
        <v>0</v>
      </c>
      <c r="D769" s="9" t="str">
        <f aca="false">IF(C769="","No","Yes")</f>
        <v>No</v>
      </c>
      <c r="E769" s="9" t="str">
        <f aca="false">Raw_Volunteers!C769</f>
        <v>David Robinson</v>
      </c>
      <c r="F769" s="9" t="str">
        <f aca="false">Raw_Volunteers!D769</f>
        <v>03/04/2024</v>
      </c>
      <c r="G769" s="9" t="str">
        <f aca="false">PROPER(TRIM(Raw_Volunteers!E769))</f>
        <v>Event Setup</v>
      </c>
      <c r="H769" s="9" t="str">
        <f aca="false">Raw_Volunteers!F769</f>
        <v>Community Center Site</v>
      </c>
      <c r="I769" s="9" t="n">
        <f aca="false">IF(Raw_Volunteers!G769="",ROUND(AVERAGE(Raw_Volunteers!$G$2:$G$926),1),Raw_Volunteers!G769)</f>
        <v>3</v>
      </c>
    </row>
    <row r="770" customFormat="false" ht="15" hidden="false" customHeight="true" outlineLevel="0" collapsed="false">
      <c r="A770" s="9" t="str">
        <f aca="false">Raw_Volunteers!A770</f>
        <v>V2162</v>
      </c>
      <c r="B770" s="9" t="str">
        <f aca="false">IF(COUNTIFS(Raw_Volunteers!$A$2:$A$926,Raw_Volunteers!A770,Raw_Volunteers!$D$2:$D$926,Raw_Volunteers!D770,Raw_Volunteers!$E$2:$E$926,Raw_Volunteers!E770,Raw_Volunteers!$G$2:$G$926,Raw_Volunteers!G770)&gt;1,"Possible Duplicate","")</f>
        <v/>
      </c>
      <c r="C770" s="9" t="n">
        <f aca="false">Raw_Volunteers!B770</f>
        <v>0</v>
      </c>
      <c r="D770" s="9" t="str">
        <f aca="false">IF(C770="","No","Yes")</f>
        <v>No</v>
      </c>
      <c r="E770" s="9" t="str">
        <f aca="false">Raw_Volunteers!C770</f>
        <v>David Robinson</v>
      </c>
      <c r="F770" s="9" t="str">
        <f aca="false">Raw_Volunteers!D770</f>
        <v>12/10/2025</v>
      </c>
      <c r="G770" s="9" t="str">
        <f aca="false">PROPER(TRIM(Raw_Volunteers!E770))</f>
        <v>Warehouse Loading</v>
      </c>
      <c r="H770" s="9" t="str">
        <f aca="false">Raw_Volunteers!F770</f>
        <v>Main Warehouse</v>
      </c>
      <c r="I770" s="9" t="n">
        <f aca="false">IF(Raw_Volunteers!G770="",ROUND(AVERAGE(Raw_Volunteers!$G$2:$G$926),1),Raw_Volunteers!G770)</f>
        <v>4</v>
      </c>
    </row>
    <row r="771" customFormat="false" ht="15" hidden="false" customHeight="true" outlineLevel="0" collapsed="false">
      <c r="A771" s="9" t="str">
        <f aca="false">Raw_Volunteers!A771</f>
        <v>V2162</v>
      </c>
      <c r="B771" s="9" t="str">
        <f aca="false">IF(COUNTIFS(Raw_Volunteers!$A$2:$A$926,Raw_Volunteers!A771,Raw_Volunteers!$D$2:$D$926,Raw_Volunteers!D771,Raw_Volunteers!$E$2:$E$926,Raw_Volunteers!E771,Raw_Volunteers!$G$2:$G$926,Raw_Volunteers!G771)&gt;1,"Possible Duplicate","")</f>
        <v/>
      </c>
      <c r="C771" s="9" t="n">
        <f aca="false">Raw_Volunteers!B771</f>
        <v>0</v>
      </c>
      <c r="D771" s="9" t="str">
        <f aca="false">IF(C771="","No","Yes")</f>
        <v>No</v>
      </c>
      <c r="E771" s="9" t="str">
        <f aca="false">Raw_Volunteers!C771</f>
        <v>David Robinson</v>
      </c>
      <c r="F771" s="9" t="str">
        <f aca="false">Raw_Volunteers!D771</f>
        <v>02/04/2026</v>
      </c>
      <c r="G771" s="9" t="str">
        <f aca="false">PROPER(TRIM(Raw_Volunteers!E771))</f>
        <v>Warehouse Loading</v>
      </c>
      <c r="H771" s="9" t="str">
        <f aca="false">Raw_Volunteers!F771</f>
        <v>Mobile Unit - Route B</v>
      </c>
      <c r="I771" s="9" t="n">
        <f aca="false">IF(Raw_Volunteers!G771="",ROUND(AVERAGE(Raw_Volunteers!$G$2:$G$926),1),Raw_Volunteers!G771)</f>
        <v>2</v>
      </c>
    </row>
    <row r="772" customFormat="false" ht="15" hidden="false" customHeight="true" outlineLevel="0" collapsed="false">
      <c r="A772" s="9" t="str">
        <f aca="false">Raw_Volunteers!A772</f>
        <v>V2163</v>
      </c>
      <c r="B772" s="9" t="str">
        <f aca="false">IF(COUNTIFS(Raw_Volunteers!$A$2:$A$926,Raw_Volunteers!A772,Raw_Volunteers!$D$2:$D$926,Raw_Volunteers!D772,Raw_Volunteers!$E$2:$E$926,Raw_Volunteers!E772,Raw_Volunteers!$G$2:$G$926,Raw_Volunteers!G772)&gt;1,"Possible Duplicate","")</f>
        <v/>
      </c>
      <c r="C772" s="9" t="n">
        <f aca="false">Raw_Volunteers!B772</f>
        <v>0</v>
      </c>
      <c r="D772" s="9" t="str">
        <f aca="false">IF(C772="","No","Yes")</f>
        <v>No</v>
      </c>
      <c r="E772" s="9" t="str">
        <f aca="false">Raw_Volunteers!C772</f>
        <v>Deborah Ramirez</v>
      </c>
      <c r="F772" s="9" t="str">
        <f aca="false">Raw_Volunteers!D772</f>
        <v>03/31/2024</v>
      </c>
      <c r="G772" s="9" t="str">
        <f aca="false">PROPER(TRIM(Raw_Volunteers!E772))</f>
        <v>Holiday Box Packing</v>
      </c>
      <c r="H772" s="9" t="str">
        <f aca="false">Raw_Volunteers!F772</f>
        <v>Downtown Pantry</v>
      </c>
      <c r="I772" s="9" t="n">
        <f aca="false">IF(Raw_Volunteers!G772="",ROUND(AVERAGE(Raw_Volunteers!$G$2:$G$926),1),Raw_Volunteers!G772)</f>
        <v>2</v>
      </c>
    </row>
    <row r="773" customFormat="false" ht="15" hidden="false" customHeight="true" outlineLevel="0" collapsed="false">
      <c r="A773" s="9" t="str">
        <f aca="false">Raw_Volunteers!A773</f>
        <v>V2164</v>
      </c>
      <c r="B773" s="9" t="str">
        <f aca="false">IF(COUNTIFS(Raw_Volunteers!$A$2:$A$926,Raw_Volunteers!A773,Raw_Volunteers!$D$2:$D$926,Raw_Volunteers!D773,Raw_Volunteers!$E$2:$E$926,Raw_Volunteers!E773,Raw_Volunteers!$G$2:$G$926,Raw_Volunteers!G773)&gt;1,"Possible Duplicate","")</f>
        <v/>
      </c>
      <c r="C773" s="9" t="n">
        <f aca="false">Raw_Volunteers!B773</f>
        <v>0</v>
      </c>
      <c r="D773" s="9" t="str">
        <f aca="false">IF(C773="","No","Yes")</f>
        <v>No</v>
      </c>
      <c r="E773" s="9" t="str">
        <f aca="false">Raw_Volunteers!C773</f>
        <v>Stephanie Smith</v>
      </c>
      <c r="F773" s="9" t="str">
        <f aca="false">Raw_Volunteers!D773</f>
        <v>06/01/2025</v>
      </c>
      <c r="G773" s="9" t="str">
        <f aca="false">PROPER(TRIM(Raw_Volunteers!E773))</f>
        <v>Front Desk Greeter</v>
      </c>
      <c r="H773" s="9" t="str">
        <f aca="false">Raw_Volunteers!F773</f>
        <v>Community Center Site</v>
      </c>
      <c r="I773" s="9" t="n">
        <f aca="false">IF(Raw_Volunteers!G773="",ROUND(AVERAGE(Raw_Volunteers!$G$2:$G$926),1),Raw_Volunteers!G773)</f>
        <v>3</v>
      </c>
    </row>
    <row r="774" customFormat="false" ht="15" hidden="false" customHeight="true" outlineLevel="0" collapsed="false">
      <c r="A774" s="9" t="str">
        <f aca="false">Raw_Volunteers!A774</f>
        <v>V2164</v>
      </c>
      <c r="B774" s="9" t="str">
        <f aca="false">IF(COUNTIFS(Raw_Volunteers!$A$2:$A$926,Raw_Volunteers!A774,Raw_Volunteers!$D$2:$D$926,Raw_Volunteers!D774,Raw_Volunteers!$E$2:$E$926,Raw_Volunteers!E774,Raw_Volunteers!$G$2:$G$926,Raw_Volunteers!G774)&gt;1,"Possible Duplicate","")</f>
        <v/>
      </c>
      <c r="C774" s="9" t="n">
        <f aca="false">Raw_Volunteers!B774</f>
        <v>0</v>
      </c>
      <c r="D774" s="9" t="str">
        <f aca="false">IF(C774="","No","Yes")</f>
        <v>No</v>
      </c>
      <c r="E774" s="9" t="str">
        <f aca="false">Raw_Volunteers!C774</f>
        <v>Stephanie Smith</v>
      </c>
      <c r="F774" s="9" t="str">
        <f aca="false">Raw_Volunteers!D774</f>
        <v>05/27/2026</v>
      </c>
      <c r="G774" s="9" t="str">
        <f aca="false">PROPER(TRIM(Raw_Volunteers!E774))</f>
        <v>Client Intake Assistant</v>
      </c>
      <c r="H774" s="9" t="str">
        <f aca="false">Raw_Volunteers!F774</f>
        <v>Downtown Pantry</v>
      </c>
      <c r="I774" s="9" t="n">
        <f aca="false">IF(Raw_Volunteers!G774="",ROUND(AVERAGE(Raw_Volunteers!$G$2:$G$926),1),Raw_Volunteers!G774)</f>
        <v>3</v>
      </c>
    </row>
    <row r="775" customFormat="false" ht="15" hidden="false" customHeight="true" outlineLevel="0" collapsed="false">
      <c r="A775" s="9" t="str">
        <f aca="false">Raw_Volunteers!A775</f>
        <v>V2164</v>
      </c>
      <c r="B775" s="9" t="str">
        <f aca="false">IF(COUNTIFS(Raw_Volunteers!$A$2:$A$926,Raw_Volunteers!A775,Raw_Volunteers!$D$2:$D$926,Raw_Volunteers!D775,Raw_Volunteers!$E$2:$E$926,Raw_Volunteers!E775,Raw_Volunteers!$G$2:$G$926,Raw_Volunteers!G775)&gt;1,"Possible Duplicate","")</f>
        <v/>
      </c>
      <c r="C775" s="9" t="n">
        <f aca="false">Raw_Volunteers!B775</f>
        <v>0</v>
      </c>
      <c r="D775" s="9" t="str">
        <f aca="false">IF(C775="","No","Yes")</f>
        <v>No</v>
      </c>
      <c r="E775" s="9" t="str">
        <f aca="false">Raw_Volunteers!C775</f>
        <v>Stephanie Smith</v>
      </c>
      <c r="F775" s="9" t="str">
        <f aca="false">Raw_Volunteers!D775</f>
        <v>06/16/2025</v>
      </c>
      <c r="G775" s="9" t="str">
        <f aca="false">PROPER(TRIM(Raw_Volunteers!E775))</f>
        <v>Food Sorting</v>
      </c>
      <c r="H775" s="9" t="str">
        <f aca="false">Raw_Volunteers!F775</f>
        <v>Mobile Unit - Route B</v>
      </c>
      <c r="I775" s="9" t="n">
        <f aca="false">IF(Raw_Volunteers!G775="",ROUND(AVERAGE(Raw_Volunteers!$G$2:$G$926),1),Raw_Volunteers!G775)</f>
        <v>4</v>
      </c>
    </row>
    <row r="776" customFormat="false" ht="15" hidden="false" customHeight="true" outlineLevel="0" collapsed="false">
      <c r="A776" s="9" t="str">
        <f aca="false">Raw_Volunteers!A776</f>
        <v>V2164</v>
      </c>
      <c r="B776" s="9" t="str">
        <f aca="false">IF(COUNTIFS(Raw_Volunteers!$A$2:$A$926,Raw_Volunteers!A776,Raw_Volunteers!$D$2:$D$926,Raw_Volunteers!D776,Raw_Volunteers!$E$2:$E$926,Raw_Volunteers!E776,Raw_Volunteers!$G$2:$G$926,Raw_Volunteers!G776)&gt;1,"Possible Duplicate","")</f>
        <v/>
      </c>
      <c r="C776" s="9" t="n">
        <f aca="false">Raw_Volunteers!B776</f>
        <v>0</v>
      </c>
      <c r="D776" s="9" t="str">
        <f aca="false">IF(C776="","No","Yes")</f>
        <v>No</v>
      </c>
      <c r="E776" s="9" t="str">
        <f aca="false">Raw_Volunteers!C776</f>
        <v>Stephanie Smith</v>
      </c>
      <c r="F776" s="9" t="str">
        <f aca="false">Raw_Volunteers!D776</f>
        <v>09/06/2024</v>
      </c>
      <c r="G776" s="9" t="str">
        <f aca="false">PROPER(TRIM(Raw_Volunteers!E776))</f>
        <v>Food Sorting</v>
      </c>
      <c r="H776" s="9" t="str">
        <f aca="false">Raw_Volunteers!F776</f>
        <v>Mobile Unit - Route A</v>
      </c>
      <c r="I776" s="9" t="n">
        <f aca="false">IF(Raw_Volunteers!G776="",ROUND(AVERAGE(Raw_Volunteers!$G$2:$G$926),1),Raw_Volunteers!G776)</f>
        <v>2</v>
      </c>
    </row>
    <row r="777" customFormat="false" ht="15" hidden="false" customHeight="true" outlineLevel="0" collapsed="false">
      <c r="A777" s="9" t="str">
        <f aca="false">Raw_Volunteers!A777</f>
        <v>V2164</v>
      </c>
      <c r="B777" s="9" t="str">
        <f aca="false">IF(COUNTIFS(Raw_Volunteers!$A$2:$A$926,Raw_Volunteers!A777,Raw_Volunteers!$D$2:$D$926,Raw_Volunteers!D777,Raw_Volunteers!$E$2:$E$926,Raw_Volunteers!E777,Raw_Volunteers!$G$2:$G$926,Raw_Volunteers!G777)&gt;1,"Possible Duplicate","")</f>
        <v/>
      </c>
      <c r="C777" s="9" t="n">
        <f aca="false">Raw_Volunteers!B777</f>
        <v>0</v>
      </c>
      <c r="D777" s="9" t="str">
        <f aca="false">IF(C777="","No","Yes")</f>
        <v>No</v>
      </c>
      <c r="E777" s="9" t="str">
        <f aca="false">Raw_Volunteers!C777</f>
        <v>Stephanie Smith</v>
      </c>
      <c r="F777" s="9" t="str">
        <f aca="false">Raw_Volunteers!D777</f>
        <v>11/18/2024</v>
      </c>
      <c r="G777" s="9" t="str">
        <f aca="false">PROPER(TRIM(Raw_Volunteers!E777))</f>
        <v>Holiday Box Packing</v>
      </c>
      <c r="H777" s="9" t="str">
        <f aca="false">Raw_Volunteers!F777</f>
        <v>Mobile Unit - Route A</v>
      </c>
      <c r="I777" s="9" t="n">
        <f aca="false">IF(Raw_Volunteers!G777="",ROUND(AVERAGE(Raw_Volunteers!$G$2:$G$926),1),Raw_Volunteers!G777)</f>
        <v>3</v>
      </c>
    </row>
    <row r="778" customFormat="false" ht="15" hidden="false" customHeight="true" outlineLevel="0" collapsed="false">
      <c r="A778" s="9" t="str">
        <f aca="false">Raw_Volunteers!A778</f>
        <v>V2164</v>
      </c>
      <c r="B778" s="9" t="str">
        <f aca="false">IF(COUNTIFS(Raw_Volunteers!$A$2:$A$926,Raw_Volunteers!A778,Raw_Volunteers!$D$2:$D$926,Raw_Volunteers!D778,Raw_Volunteers!$E$2:$E$926,Raw_Volunteers!E778,Raw_Volunteers!$G$2:$G$926,Raw_Volunteers!G778)&gt;1,"Possible Duplicate","")</f>
        <v/>
      </c>
      <c r="C778" s="9" t="n">
        <f aca="false">Raw_Volunteers!B778</f>
        <v>0</v>
      </c>
      <c r="D778" s="9" t="str">
        <f aca="false">IF(C778="","No","Yes")</f>
        <v>No</v>
      </c>
      <c r="E778" s="9" t="str">
        <f aca="false">Raw_Volunteers!C778</f>
        <v>Stephanie Smith</v>
      </c>
      <c r="F778" s="9" t="str">
        <f aca="false">Raw_Volunteers!D778</f>
        <v>06/30/2025</v>
      </c>
      <c r="G778" s="9" t="str">
        <f aca="false">PROPER(TRIM(Raw_Volunteers!E778))</f>
        <v>Front Desk Greeter</v>
      </c>
      <c r="H778" s="9" t="str">
        <f aca="false">Raw_Volunteers!F778</f>
        <v>Community Center Site</v>
      </c>
      <c r="I778" s="9" t="n">
        <f aca="false">IF(Raw_Volunteers!G778="",ROUND(AVERAGE(Raw_Volunteers!$G$2:$G$926),1),Raw_Volunteers!G778)</f>
        <v>4</v>
      </c>
    </row>
    <row r="779" customFormat="false" ht="15" hidden="false" customHeight="true" outlineLevel="0" collapsed="false">
      <c r="A779" s="9" t="str">
        <f aca="false">Raw_Volunteers!A779</f>
        <v>V2165</v>
      </c>
      <c r="B779" s="9" t="str">
        <f aca="false">IF(COUNTIFS(Raw_Volunteers!$A$2:$A$926,Raw_Volunteers!A779,Raw_Volunteers!$D$2:$D$926,Raw_Volunteers!D779,Raw_Volunteers!$E$2:$E$926,Raw_Volunteers!E779,Raw_Volunteers!$G$2:$G$926,Raw_Volunteers!G779)&gt;1,"Possible Duplicate","")</f>
        <v/>
      </c>
      <c r="C779" s="9" t="n">
        <f aca="false">Raw_Volunteers!B779</f>
        <v>0</v>
      </c>
      <c r="D779" s="9" t="str">
        <f aca="false">IF(C779="","No","Yes")</f>
        <v>No</v>
      </c>
      <c r="E779" s="9" t="str">
        <f aca="false">Raw_Volunteers!C779</f>
        <v>Patricia King</v>
      </c>
      <c r="F779" s="9" t="str">
        <f aca="false">Raw_Volunteers!D779</f>
        <v>09/03/2025</v>
      </c>
      <c r="G779" s="9" t="str">
        <f aca="false">PROPER(TRIM(Raw_Volunteers!E779))</f>
        <v>Client Intake Assistant</v>
      </c>
      <c r="H779" s="9" t="str">
        <f aca="false">Raw_Volunteers!F779</f>
        <v>Downtown Pantry</v>
      </c>
      <c r="I779" s="9" t="n">
        <f aca="false">IF(Raw_Volunteers!G779="",ROUND(AVERAGE(Raw_Volunteers!$G$2:$G$926),1),Raw_Volunteers!G779)</f>
        <v>2</v>
      </c>
    </row>
    <row r="780" customFormat="false" ht="15" hidden="false" customHeight="true" outlineLevel="0" collapsed="false">
      <c r="A780" s="9" t="str">
        <f aca="false">Raw_Volunteers!A780</f>
        <v>V2165</v>
      </c>
      <c r="B780" s="9" t="str">
        <f aca="false">IF(COUNTIFS(Raw_Volunteers!$A$2:$A$926,Raw_Volunteers!A780,Raw_Volunteers!$D$2:$D$926,Raw_Volunteers!D780,Raw_Volunteers!$E$2:$E$926,Raw_Volunteers!E780,Raw_Volunteers!$G$2:$G$926,Raw_Volunteers!G780)&gt;1,"Possible Duplicate","")</f>
        <v/>
      </c>
      <c r="C780" s="9" t="n">
        <f aca="false">Raw_Volunteers!B780</f>
        <v>0</v>
      </c>
      <c r="D780" s="9" t="str">
        <f aca="false">IF(C780="","No","Yes")</f>
        <v>No</v>
      </c>
      <c r="E780" s="9" t="str">
        <f aca="false">Raw_Volunteers!C780</f>
        <v>Patricia King</v>
      </c>
      <c r="F780" s="9" t="str">
        <f aca="false">Raw_Volunteers!D780</f>
        <v>12/29/2024</v>
      </c>
      <c r="G780" s="9" t="str">
        <f aca="false">PROPER(TRIM(Raw_Volunteers!E780))</f>
        <v>Event Setup</v>
      </c>
      <c r="H780" s="9" t="str">
        <f aca="false">Raw_Volunteers!F780</f>
        <v>Downtown Pantry</v>
      </c>
      <c r="I780" s="9" t="n">
        <f aca="false">IF(Raw_Volunteers!G780="",ROUND(AVERAGE(Raw_Volunteers!$G$2:$G$926),1),Raw_Volunteers!G780)</f>
        <v>2</v>
      </c>
    </row>
    <row r="781" customFormat="false" ht="15" hidden="false" customHeight="true" outlineLevel="0" collapsed="false">
      <c r="A781" s="9" t="str">
        <f aca="false">Raw_Volunteers!A781</f>
        <v>V2165</v>
      </c>
      <c r="B781" s="9" t="str">
        <f aca="false">IF(COUNTIFS(Raw_Volunteers!$A$2:$A$926,Raw_Volunteers!A781,Raw_Volunteers!$D$2:$D$926,Raw_Volunteers!D781,Raw_Volunteers!$E$2:$E$926,Raw_Volunteers!E781,Raw_Volunteers!$G$2:$G$926,Raw_Volunteers!G781)&gt;1,"Possible Duplicate","")</f>
        <v/>
      </c>
      <c r="C781" s="9" t="n">
        <f aca="false">Raw_Volunteers!B781</f>
        <v>0</v>
      </c>
      <c r="D781" s="9" t="str">
        <f aca="false">IF(C781="","No","Yes")</f>
        <v>No</v>
      </c>
      <c r="E781" s="9" t="str">
        <f aca="false">Raw_Volunteers!C781</f>
        <v>Patricia King</v>
      </c>
      <c r="F781" s="9" t="str">
        <f aca="false">Raw_Volunteers!D781</f>
        <v>01/12/2024</v>
      </c>
      <c r="G781" s="9" t="str">
        <f aca="false">PROPER(TRIM(Raw_Volunteers!E781))</f>
        <v>Front Desk Greeter</v>
      </c>
      <c r="H781" s="9" t="str">
        <f aca="false">Raw_Volunteers!F781</f>
        <v>Mobile Unit - Route B</v>
      </c>
      <c r="I781" s="9" t="n">
        <f aca="false">IF(Raw_Volunteers!G781="",ROUND(AVERAGE(Raw_Volunteers!$G$2:$G$926),1),Raw_Volunteers!G781)</f>
        <v>3</v>
      </c>
    </row>
    <row r="782" customFormat="false" ht="15" hidden="false" customHeight="true" outlineLevel="0" collapsed="false">
      <c r="A782" s="9" t="str">
        <f aca="false">Raw_Volunteers!A782</f>
        <v>V2166</v>
      </c>
      <c r="B782" s="9" t="str">
        <f aca="false">IF(COUNTIFS(Raw_Volunteers!$A$2:$A$926,Raw_Volunteers!A782,Raw_Volunteers!$D$2:$D$926,Raw_Volunteers!D782,Raw_Volunteers!$E$2:$E$926,Raw_Volunteers!E782,Raw_Volunteers!$G$2:$G$926,Raw_Volunteers!G782)&gt;1,"Possible Duplicate","")</f>
        <v/>
      </c>
      <c r="C782" s="9" t="n">
        <f aca="false">Raw_Volunteers!B782</f>
        <v>0</v>
      </c>
      <c r="D782" s="9" t="str">
        <f aca="false">IF(C782="","No","Yes")</f>
        <v>No</v>
      </c>
      <c r="E782" s="9" t="str">
        <f aca="false">Raw_Volunteers!C782</f>
        <v>Linda White</v>
      </c>
      <c r="F782" s="9" t="str">
        <f aca="false">Raw_Volunteers!D782</f>
        <v>09/04/2025</v>
      </c>
      <c r="G782" s="9" t="str">
        <f aca="false">PROPER(TRIM(Raw_Volunteers!E782))</f>
        <v>Event Setup</v>
      </c>
      <c r="H782" s="9" t="str">
        <f aca="false">Raw_Volunteers!F782</f>
        <v>Community Center Site</v>
      </c>
      <c r="I782" s="9" t="n">
        <f aca="false">IF(Raw_Volunteers!G782="",ROUND(AVERAGE(Raw_Volunteers!$G$2:$G$926),1),Raw_Volunteers!G782)</f>
        <v>2</v>
      </c>
    </row>
    <row r="783" customFormat="false" ht="15" hidden="false" customHeight="true" outlineLevel="0" collapsed="false">
      <c r="A783" s="9" t="str">
        <f aca="false">Raw_Volunteers!A783</f>
        <v>V2167</v>
      </c>
      <c r="B783" s="9" t="str">
        <f aca="false">IF(COUNTIFS(Raw_Volunteers!$A$2:$A$926,Raw_Volunteers!A783,Raw_Volunteers!$D$2:$D$926,Raw_Volunteers!D783,Raw_Volunteers!$E$2:$E$926,Raw_Volunteers!E783,Raw_Volunteers!$G$2:$G$926,Raw_Volunteers!G783)&gt;1,"Possible Duplicate","")</f>
        <v/>
      </c>
      <c r="C783" s="9" t="n">
        <f aca="false">Raw_Volunteers!B783</f>
        <v>0</v>
      </c>
      <c r="D783" s="9" t="str">
        <f aca="false">IF(C783="","No","Yes")</f>
        <v>No</v>
      </c>
      <c r="E783" s="9" t="str">
        <f aca="false">Raw_Volunteers!C783</f>
        <v>Robert Lewis</v>
      </c>
      <c r="F783" s="9" t="str">
        <f aca="false">Raw_Volunteers!D783</f>
        <v>07/30/2024</v>
      </c>
      <c r="G783" s="9" t="str">
        <f aca="false">PROPER(TRIM(Raw_Volunteers!E783))</f>
        <v>Front Desk Greeter</v>
      </c>
      <c r="H783" s="9" t="str">
        <f aca="false">Raw_Volunteers!F783</f>
        <v>Main Warehouse</v>
      </c>
      <c r="I783" s="9" t="n">
        <f aca="false">IF(Raw_Volunteers!G783="",ROUND(AVERAGE(Raw_Volunteers!$G$2:$G$926),1),Raw_Volunteers!G783)</f>
        <v>2</v>
      </c>
    </row>
    <row r="784" customFormat="false" ht="15" hidden="false" customHeight="true" outlineLevel="0" collapsed="false">
      <c r="A784" s="9" t="str">
        <f aca="false">Raw_Volunteers!A784</f>
        <v>V2167</v>
      </c>
      <c r="B784" s="9" t="str">
        <f aca="false">IF(COUNTIFS(Raw_Volunteers!$A$2:$A$926,Raw_Volunteers!A784,Raw_Volunteers!$D$2:$D$926,Raw_Volunteers!D784,Raw_Volunteers!$E$2:$E$926,Raw_Volunteers!E784,Raw_Volunteers!$G$2:$G$926,Raw_Volunteers!G784)&gt;1,"Possible Duplicate","")</f>
        <v/>
      </c>
      <c r="C784" s="9" t="n">
        <f aca="false">Raw_Volunteers!B784</f>
        <v>0</v>
      </c>
      <c r="D784" s="9" t="str">
        <f aca="false">IF(C784="","No","Yes")</f>
        <v>No</v>
      </c>
      <c r="E784" s="9" t="str">
        <f aca="false">Raw_Volunteers!C784</f>
        <v>Robert Lewis</v>
      </c>
      <c r="F784" s="9" t="str">
        <f aca="false">Raw_Volunteers!D784</f>
        <v>01/13/2024</v>
      </c>
      <c r="G784" s="9" t="str">
        <f aca="false">PROPER(TRIM(Raw_Volunteers!E784))</f>
        <v>Client Intake Assistant</v>
      </c>
      <c r="H784" s="9" t="str">
        <f aca="false">Raw_Volunteers!F784</f>
        <v>Mobile Unit - Route A</v>
      </c>
      <c r="I784" s="9" t="n">
        <f aca="false">IF(Raw_Volunteers!G784="",ROUND(AVERAGE(Raw_Volunteers!$G$2:$G$926),1),Raw_Volunteers!G784)</f>
        <v>5</v>
      </c>
    </row>
    <row r="785" customFormat="false" ht="15" hidden="false" customHeight="true" outlineLevel="0" collapsed="false">
      <c r="A785" s="9" t="str">
        <f aca="false">Raw_Volunteers!A785</f>
        <v>V2167</v>
      </c>
      <c r="B785" s="9" t="str">
        <f aca="false">IF(COUNTIFS(Raw_Volunteers!$A$2:$A$926,Raw_Volunteers!A785,Raw_Volunteers!$D$2:$D$926,Raw_Volunteers!D785,Raw_Volunteers!$E$2:$E$926,Raw_Volunteers!E785,Raw_Volunteers!$G$2:$G$926,Raw_Volunteers!G785)&gt;1,"Possible Duplicate","")</f>
        <v/>
      </c>
      <c r="C785" s="9" t="n">
        <f aca="false">Raw_Volunteers!B785</f>
        <v>0</v>
      </c>
      <c r="D785" s="9" t="str">
        <f aca="false">IF(C785="","No","Yes")</f>
        <v>No</v>
      </c>
      <c r="E785" s="9" t="str">
        <f aca="false">Raw_Volunteers!C785</f>
        <v>Robert Lewis</v>
      </c>
      <c r="F785" s="9" t="str">
        <f aca="false">Raw_Volunteers!D785</f>
        <v>02/20/2024</v>
      </c>
      <c r="G785" s="9" t="str">
        <f aca="false">PROPER(TRIM(Raw_Volunteers!E785))</f>
        <v>Warehouse Loading</v>
      </c>
      <c r="H785" s="9" t="str">
        <f aca="false">Raw_Volunteers!F785</f>
        <v>Downtown Pantry</v>
      </c>
      <c r="I785" s="9" t="n">
        <f aca="false">IF(Raw_Volunteers!G785="",ROUND(AVERAGE(Raw_Volunteers!$G$2:$G$926),1),Raw_Volunteers!G785)</f>
        <v>3</v>
      </c>
    </row>
    <row r="786" customFormat="false" ht="15" hidden="false" customHeight="true" outlineLevel="0" collapsed="false">
      <c r="A786" s="9" t="str">
        <f aca="false">Raw_Volunteers!A786</f>
        <v>V2168</v>
      </c>
      <c r="B786" s="9" t="str">
        <f aca="false">IF(COUNTIFS(Raw_Volunteers!$A$2:$A$926,Raw_Volunteers!A786,Raw_Volunteers!$D$2:$D$926,Raw_Volunteers!D786,Raw_Volunteers!$E$2:$E$926,Raw_Volunteers!E786,Raw_Volunteers!$G$2:$G$926,Raw_Volunteers!G786)&gt;1,"Possible Duplicate","")</f>
        <v/>
      </c>
      <c r="C786" s="9" t="n">
        <f aca="false">Raw_Volunteers!B786</f>
        <v>0</v>
      </c>
      <c r="D786" s="9" t="str">
        <f aca="false">IF(C786="","No","Yes")</f>
        <v>No</v>
      </c>
      <c r="E786" s="9" t="str">
        <f aca="false">Raw_Volunteers!C786</f>
        <v>Richard Torres</v>
      </c>
      <c r="F786" s="9" t="str">
        <f aca="false">Raw_Volunteers!D786</f>
        <v>01/16/2024</v>
      </c>
      <c r="G786" s="9" t="str">
        <f aca="false">PROPER(TRIM(Raw_Volunteers!E786))</f>
        <v>Warehouse Loading</v>
      </c>
      <c r="H786" s="9" t="str">
        <f aca="false">Raw_Volunteers!F786</f>
        <v>Mobile Unit - Route A</v>
      </c>
      <c r="I786" s="9" t="n">
        <f aca="false">IF(Raw_Volunteers!G786="",ROUND(AVERAGE(Raw_Volunteers!$G$2:$G$926),1),Raw_Volunteers!G786)</f>
        <v>2</v>
      </c>
    </row>
    <row r="787" customFormat="false" ht="15" hidden="false" customHeight="true" outlineLevel="0" collapsed="false">
      <c r="A787" s="9" t="str">
        <f aca="false">Raw_Volunteers!A787</f>
        <v>V2169</v>
      </c>
      <c r="B787" s="9" t="str">
        <f aca="false">IF(COUNTIFS(Raw_Volunteers!$A$2:$A$926,Raw_Volunteers!A787,Raw_Volunteers!$D$2:$D$926,Raw_Volunteers!D787,Raw_Volunteers!$E$2:$E$926,Raw_Volunteers!E787,Raw_Volunteers!$G$2:$G$926,Raw_Volunteers!G787)&gt;1,"Possible Duplicate","")</f>
        <v/>
      </c>
      <c r="C787" s="9" t="n">
        <f aca="false">Raw_Volunteers!B787</f>
        <v>0</v>
      </c>
      <c r="D787" s="9" t="str">
        <f aca="false">IF(C787="","No","Yes")</f>
        <v>No</v>
      </c>
      <c r="E787" s="9" t="str">
        <f aca="false">Raw_Volunteers!C787</f>
        <v>Patricia Nguyen</v>
      </c>
      <c r="F787" s="9" t="str">
        <f aca="false">Raw_Volunteers!D787</f>
        <v>12/23/2024</v>
      </c>
      <c r="G787" s="9" t="str">
        <f aca="false">PROPER(TRIM(Raw_Volunteers!E787))</f>
        <v>Warehouse Loading</v>
      </c>
      <c r="H787" s="9" t="str">
        <f aca="false">Raw_Volunteers!F787</f>
        <v>Mobile Unit - Route B</v>
      </c>
      <c r="I787" s="9" t="n">
        <f aca="false">IF(Raw_Volunteers!G787="",ROUND(AVERAGE(Raw_Volunteers!$G$2:$G$926),1),Raw_Volunteers!G787)</f>
        <v>2</v>
      </c>
    </row>
    <row r="788" customFormat="false" ht="15" hidden="false" customHeight="true" outlineLevel="0" collapsed="false">
      <c r="A788" s="9" t="str">
        <f aca="false">Raw_Volunteers!A788</f>
        <v>V2169</v>
      </c>
      <c r="B788" s="9" t="str">
        <f aca="false">IF(COUNTIFS(Raw_Volunteers!$A$2:$A$926,Raw_Volunteers!A788,Raw_Volunteers!$D$2:$D$926,Raw_Volunteers!D788,Raw_Volunteers!$E$2:$E$926,Raw_Volunteers!E788,Raw_Volunteers!$G$2:$G$926,Raw_Volunteers!G788)&gt;1,"Possible Duplicate","")</f>
        <v/>
      </c>
      <c r="C788" s="9" t="n">
        <f aca="false">Raw_Volunteers!B788</f>
        <v>0</v>
      </c>
      <c r="D788" s="9" t="str">
        <f aca="false">IF(C788="","No","Yes")</f>
        <v>No</v>
      </c>
      <c r="E788" s="9" t="str">
        <f aca="false">Raw_Volunteers!C788</f>
        <v>Patricia Nguyen</v>
      </c>
      <c r="F788" s="9" t="str">
        <f aca="false">Raw_Volunteers!D788</f>
        <v>12/26/2025</v>
      </c>
      <c r="G788" s="9" t="str">
        <f aca="false">PROPER(TRIM(Raw_Volunteers!E788))</f>
        <v>Mobile Distribution Driver</v>
      </c>
      <c r="H788" s="9" t="str">
        <f aca="false">Raw_Volunteers!F788</f>
        <v>Mobile Unit - Route B</v>
      </c>
      <c r="I788" s="9" t="n">
        <f aca="false">IF(Raw_Volunteers!G788="",ROUND(AVERAGE(Raw_Volunteers!$G$2:$G$926),1),Raw_Volunteers!G788)</f>
        <v>2</v>
      </c>
    </row>
    <row r="789" customFormat="false" ht="15" hidden="false" customHeight="true" outlineLevel="0" collapsed="false">
      <c r="A789" s="9" t="str">
        <f aca="false">Raw_Volunteers!A789</f>
        <v>V2169</v>
      </c>
      <c r="B789" s="9" t="str">
        <f aca="false">IF(COUNTIFS(Raw_Volunteers!$A$2:$A$926,Raw_Volunteers!A789,Raw_Volunteers!$D$2:$D$926,Raw_Volunteers!D789,Raw_Volunteers!$E$2:$E$926,Raw_Volunteers!E789,Raw_Volunteers!$G$2:$G$926,Raw_Volunteers!G789)&gt;1,"Possible Duplicate","")</f>
        <v/>
      </c>
      <c r="C789" s="9" t="n">
        <f aca="false">Raw_Volunteers!B789</f>
        <v>0</v>
      </c>
      <c r="D789" s="9" t="str">
        <f aca="false">IF(C789="","No","Yes")</f>
        <v>No</v>
      </c>
      <c r="E789" s="9" t="str">
        <f aca="false">Raw_Volunteers!C789</f>
        <v>Patricia Nguyen</v>
      </c>
      <c r="F789" s="9" t="str">
        <f aca="false">Raw_Volunteers!D789</f>
        <v>06/18/2025</v>
      </c>
      <c r="G789" s="9" t="str">
        <f aca="false">PROPER(TRIM(Raw_Volunteers!E789))</f>
        <v>Food Sorting</v>
      </c>
      <c r="H789" s="9" t="str">
        <f aca="false">Raw_Volunteers!F789</f>
        <v>Main Warehouse</v>
      </c>
      <c r="I789" s="9" t="n">
        <f aca="false">IF(Raw_Volunteers!G789="",ROUND(AVERAGE(Raw_Volunteers!$G$2:$G$926),1),Raw_Volunteers!G789)</f>
        <v>2</v>
      </c>
    </row>
    <row r="790" customFormat="false" ht="15" hidden="false" customHeight="true" outlineLevel="0" collapsed="false">
      <c r="A790" s="9" t="str">
        <f aca="false">Raw_Volunteers!A790</f>
        <v>V2170</v>
      </c>
      <c r="B790" s="9" t="str">
        <f aca="false">IF(COUNTIFS(Raw_Volunteers!$A$2:$A$926,Raw_Volunteers!A790,Raw_Volunteers!$D$2:$D$926,Raw_Volunteers!D790,Raw_Volunteers!$E$2:$E$926,Raw_Volunteers!E790,Raw_Volunteers!$G$2:$G$926,Raw_Volunteers!G790)&gt;1,"Possible Duplicate","")</f>
        <v/>
      </c>
      <c r="C790" s="9" t="n">
        <f aca="false">Raw_Volunteers!B790</f>
        <v>0</v>
      </c>
      <c r="D790" s="9" t="str">
        <f aca="false">IF(C790="","No","Yes")</f>
        <v>No</v>
      </c>
      <c r="E790" s="9" t="str">
        <f aca="false">Raw_Volunteers!C790</f>
        <v>Joshua Flores</v>
      </c>
      <c r="F790" s="9" t="str">
        <f aca="false">Raw_Volunteers!D790</f>
        <v>12/08/2025</v>
      </c>
      <c r="G790" s="9" t="str">
        <f aca="false">PROPER(TRIM(Raw_Volunteers!E790))</f>
        <v>Warehouse Loading</v>
      </c>
      <c r="H790" s="9" t="str">
        <f aca="false">Raw_Volunteers!F790</f>
        <v>Community Center Site</v>
      </c>
      <c r="I790" s="9" t="n">
        <f aca="false">IF(Raw_Volunteers!G790="",ROUND(AVERAGE(Raw_Volunteers!$G$2:$G$926),1),Raw_Volunteers!G790)</f>
        <v>2</v>
      </c>
    </row>
    <row r="791" customFormat="false" ht="15" hidden="false" customHeight="true" outlineLevel="0" collapsed="false">
      <c r="A791" s="9" t="str">
        <f aca="false">Raw_Volunteers!A791</f>
        <v>V2170</v>
      </c>
      <c r="B791" s="9" t="str">
        <f aca="false">IF(COUNTIFS(Raw_Volunteers!$A$2:$A$926,Raw_Volunteers!A791,Raw_Volunteers!$D$2:$D$926,Raw_Volunteers!D791,Raw_Volunteers!$E$2:$E$926,Raw_Volunteers!E791,Raw_Volunteers!$G$2:$G$926,Raw_Volunteers!G791)&gt;1,"Possible Duplicate","")</f>
        <v/>
      </c>
      <c r="C791" s="9" t="n">
        <f aca="false">Raw_Volunteers!B791</f>
        <v>0</v>
      </c>
      <c r="D791" s="9" t="str">
        <f aca="false">IF(C791="","No","Yes")</f>
        <v>No</v>
      </c>
      <c r="E791" s="9" t="str">
        <f aca="false">Raw_Volunteers!C791</f>
        <v>Joshua Flores</v>
      </c>
      <c r="F791" s="9" t="str">
        <f aca="false">Raw_Volunteers!D791</f>
        <v>04/24/2025</v>
      </c>
      <c r="G791" s="9" t="str">
        <f aca="false">PROPER(TRIM(Raw_Volunteers!E791))</f>
        <v>Front Desk Greeter</v>
      </c>
      <c r="H791" s="9" t="str">
        <f aca="false">Raw_Volunteers!F791</f>
        <v>Community Center Site</v>
      </c>
      <c r="I791" s="9" t="n">
        <f aca="false">IF(Raw_Volunteers!G791="",ROUND(AVERAGE(Raw_Volunteers!$G$2:$G$926),1),Raw_Volunteers!G791)</f>
        <v>4</v>
      </c>
    </row>
    <row r="792" customFormat="false" ht="15" hidden="false" customHeight="true" outlineLevel="0" collapsed="false">
      <c r="A792" s="9" t="str">
        <f aca="false">Raw_Volunteers!A792</f>
        <v>V2170</v>
      </c>
      <c r="B792" s="9" t="str">
        <f aca="false">IF(COUNTIFS(Raw_Volunteers!$A$2:$A$926,Raw_Volunteers!A792,Raw_Volunteers!$D$2:$D$926,Raw_Volunteers!D792,Raw_Volunteers!$E$2:$E$926,Raw_Volunteers!E792,Raw_Volunteers!$G$2:$G$926,Raw_Volunteers!G792)&gt;1,"Possible Duplicate","")</f>
        <v/>
      </c>
      <c r="C792" s="9" t="n">
        <f aca="false">Raw_Volunteers!B792</f>
        <v>0</v>
      </c>
      <c r="D792" s="9" t="str">
        <f aca="false">IF(C792="","No","Yes")</f>
        <v>No</v>
      </c>
      <c r="E792" s="9" t="str">
        <f aca="false">Raw_Volunteers!C792</f>
        <v>Joshua Flores</v>
      </c>
      <c r="F792" s="9" t="str">
        <f aca="false">Raw_Volunteers!D792</f>
        <v>08/05/2024</v>
      </c>
      <c r="G792" s="9" t="str">
        <f aca="false">PROPER(TRIM(Raw_Volunteers!E792))</f>
        <v>Holiday Box Packing</v>
      </c>
      <c r="H792" s="9" t="str">
        <f aca="false">Raw_Volunteers!F792</f>
        <v>Main Warehouse</v>
      </c>
      <c r="I792" s="9" t="n">
        <f aca="false">IF(Raw_Volunteers!G792="",ROUND(AVERAGE(Raw_Volunteers!$G$2:$G$926),1),Raw_Volunteers!G792)</f>
        <v>2</v>
      </c>
    </row>
    <row r="793" customFormat="false" ht="15" hidden="false" customHeight="true" outlineLevel="0" collapsed="false">
      <c r="A793" s="9" t="str">
        <f aca="false">Raw_Volunteers!A793</f>
        <v>V2171</v>
      </c>
      <c r="B793" s="9" t="str">
        <f aca="false">IF(COUNTIFS(Raw_Volunteers!$A$2:$A$926,Raw_Volunteers!A793,Raw_Volunteers!$D$2:$D$926,Raw_Volunteers!D793,Raw_Volunteers!$E$2:$E$926,Raw_Volunteers!E793,Raw_Volunteers!$G$2:$G$926,Raw_Volunteers!G793)&gt;1,"Possible Duplicate","")</f>
        <v/>
      </c>
      <c r="C793" s="9" t="n">
        <f aca="false">Raw_Volunteers!B793</f>
        <v>0</v>
      </c>
      <c r="D793" s="9" t="str">
        <f aca="false">IF(C793="","No","Yes")</f>
        <v>No</v>
      </c>
      <c r="E793" s="9" t="str">
        <f aca="false">Raw_Volunteers!C793</f>
        <v>Anthony Lopez</v>
      </c>
      <c r="F793" s="9" t="str">
        <f aca="false">Raw_Volunteers!D793</f>
        <v>08/22/2025</v>
      </c>
      <c r="G793" s="9" t="str">
        <f aca="false">PROPER(TRIM(Raw_Volunteers!E793))</f>
        <v>Warehouse Loading</v>
      </c>
      <c r="H793" s="9" t="str">
        <f aca="false">Raw_Volunteers!F793</f>
        <v>Mobile Unit - Route B</v>
      </c>
      <c r="I793" s="9" t="n">
        <f aca="false">IF(Raw_Volunteers!G793="",ROUND(AVERAGE(Raw_Volunteers!$G$2:$G$926),1),Raw_Volunteers!G793)</f>
        <v>3</v>
      </c>
    </row>
    <row r="794" customFormat="false" ht="15" hidden="false" customHeight="true" outlineLevel="0" collapsed="false">
      <c r="A794" s="9" t="str">
        <f aca="false">Raw_Volunteers!A794</f>
        <v>V2171</v>
      </c>
      <c r="B794" s="9" t="str">
        <f aca="false">IF(COUNTIFS(Raw_Volunteers!$A$2:$A$926,Raw_Volunteers!A794,Raw_Volunteers!$D$2:$D$926,Raw_Volunteers!D794,Raw_Volunteers!$E$2:$E$926,Raw_Volunteers!E794,Raw_Volunteers!$G$2:$G$926,Raw_Volunteers!G794)&gt;1,"Possible Duplicate","")</f>
        <v/>
      </c>
      <c r="C794" s="9" t="n">
        <f aca="false">Raw_Volunteers!B794</f>
        <v>0</v>
      </c>
      <c r="D794" s="9" t="str">
        <f aca="false">IF(C794="","No","Yes")</f>
        <v>No</v>
      </c>
      <c r="E794" s="9" t="str">
        <f aca="false">Raw_Volunteers!C794</f>
        <v>Anthony Lopez</v>
      </c>
      <c r="F794" s="9" t="str">
        <f aca="false">Raw_Volunteers!D794</f>
        <v>04/30/2025</v>
      </c>
      <c r="G794" s="9" t="str">
        <f aca="false">PROPER(TRIM(Raw_Volunteers!E794))</f>
        <v>Warehouse Loading</v>
      </c>
      <c r="H794" s="9" t="str">
        <f aca="false">Raw_Volunteers!F794</f>
        <v>Community Center Site</v>
      </c>
      <c r="I794" s="9" t="n">
        <f aca="false">IF(Raw_Volunteers!G794="",ROUND(AVERAGE(Raw_Volunteers!$G$2:$G$926),1),Raw_Volunteers!G794)</f>
        <v>3</v>
      </c>
    </row>
    <row r="795" customFormat="false" ht="15" hidden="false" customHeight="true" outlineLevel="0" collapsed="false">
      <c r="A795" s="9" t="str">
        <f aca="false">Raw_Volunteers!A795</f>
        <v>V2171</v>
      </c>
      <c r="B795" s="9" t="str">
        <f aca="false">IF(COUNTIFS(Raw_Volunteers!$A$2:$A$926,Raw_Volunteers!A795,Raw_Volunteers!$D$2:$D$926,Raw_Volunteers!D795,Raw_Volunteers!$E$2:$E$926,Raw_Volunteers!E795,Raw_Volunteers!$G$2:$G$926,Raw_Volunteers!G795)&gt;1,"Possible Duplicate","")</f>
        <v/>
      </c>
      <c r="C795" s="9" t="n">
        <f aca="false">Raw_Volunteers!B795</f>
        <v>0</v>
      </c>
      <c r="D795" s="9" t="str">
        <f aca="false">IF(C795="","No","Yes")</f>
        <v>No</v>
      </c>
      <c r="E795" s="9" t="str">
        <f aca="false">Raw_Volunteers!C795</f>
        <v>Anthony Lopez</v>
      </c>
      <c r="F795" s="9" t="str">
        <f aca="false">Raw_Volunteers!D795</f>
        <v>07/25/2025</v>
      </c>
      <c r="G795" s="9" t="str">
        <f aca="false">PROPER(TRIM(Raw_Volunteers!E795))</f>
        <v>Warehouse Loading</v>
      </c>
      <c r="H795" s="9" t="str">
        <f aca="false">Raw_Volunteers!F795</f>
        <v>Main Warehouse</v>
      </c>
      <c r="I795" s="9" t="n">
        <f aca="false">IF(Raw_Volunteers!G795="",ROUND(AVERAGE(Raw_Volunteers!$G$2:$G$926),1),Raw_Volunteers!G795)</f>
        <v>4</v>
      </c>
    </row>
    <row r="796" customFormat="false" ht="15" hidden="false" customHeight="true" outlineLevel="0" collapsed="false">
      <c r="A796" s="9" t="str">
        <f aca="false">Raw_Volunteers!A796</f>
        <v>V2171</v>
      </c>
      <c r="B796" s="9" t="str">
        <f aca="false">IF(COUNTIFS(Raw_Volunteers!$A$2:$A$926,Raw_Volunteers!A796,Raw_Volunteers!$D$2:$D$926,Raw_Volunteers!D796,Raw_Volunteers!$E$2:$E$926,Raw_Volunteers!E796,Raw_Volunteers!$G$2:$G$926,Raw_Volunteers!G796)&gt;1,"Possible Duplicate","")</f>
        <v/>
      </c>
      <c r="C796" s="9" t="n">
        <f aca="false">Raw_Volunteers!B796</f>
        <v>0</v>
      </c>
      <c r="D796" s="9" t="str">
        <f aca="false">IF(C796="","No","Yes")</f>
        <v>No</v>
      </c>
      <c r="E796" s="9" t="str">
        <f aca="false">Raw_Volunteers!C796</f>
        <v>Anthony Lopez</v>
      </c>
      <c r="F796" s="9" t="str">
        <f aca="false">Raw_Volunteers!D796</f>
        <v>01/05/2026</v>
      </c>
      <c r="G796" s="9" t="str">
        <f aca="false">PROPER(TRIM(Raw_Volunteers!E796))</f>
        <v>Front Desk Greeter</v>
      </c>
      <c r="H796" s="9" t="str">
        <f aca="false">Raw_Volunteers!F796</f>
        <v>Main Warehouse</v>
      </c>
      <c r="I796" s="9" t="n">
        <f aca="false">IF(Raw_Volunteers!G796="",ROUND(AVERAGE(Raw_Volunteers!$G$2:$G$926),1),Raw_Volunteers!G796)</f>
        <v>2</v>
      </c>
    </row>
    <row r="797" customFormat="false" ht="15" hidden="false" customHeight="true" outlineLevel="0" collapsed="false">
      <c r="A797" s="9" t="str">
        <f aca="false">Raw_Volunteers!A797</f>
        <v>V2171</v>
      </c>
      <c r="B797" s="9" t="str">
        <f aca="false">IF(COUNTIFS(Raw_Volunteers!$A$2:$A$926,Raw_Volunteers!A797,Raw_Volunteers!$D$2:$D$926,Raw_Volunteers!D797,Raw_Volunteers!$E$2:$E$926,Raw_Volunteers!E797,Raw_Volunteers!$G$2:$G$926,Raw_Volunteers!G797)&gt;1,"Possible Duplicate","")</f>
        <v/>
      </c>
      <c r="C797" s="9" t="n">
        <f aca="false">Raw_Volunteers!B797</f>
        <v>0</v>
      </c>
      <c r="D797" s="9" t="str">
        <f aca="false">IF(C797="","No","Yes")</f>
        <v>No</v>
      </c>
      <c r="E797" s="9" t="str">
        <f aca="false">Raw_Volunteers!C797</f>
        <v>Anthony Lopez</v>
      </c>
      <c r="F797" s="9" t="str">
        <f aca="false">Raw_Volunteers!D797</f>
        <v>04/21/2025</v>
      </c>
      <c r="G797" s="9" t="str">
        <f aca="false">PROPER(TRIM(Raw_Volunteers!E797))</f>
        <v>Holiday Box Packing</v>
      </c>
      <c r="H797" s="9" t="str">
        <f aca="false">Raw_Volunteers!F797</f>
        <v>Downtown Pantry</v>
      </c>
      <c r="I797" s="9" t="n">
        <f aca="false">IF(Raw_Volunteers!G797="",ROUND(AVERAGE(Raw_Volunteers!$G$2:$G$926),1),Raw_Volunteers!G797)</f>
        <v>3</v>
      </c>
    </row>
    <row r="798" customFormat="false" ht="15" hidden="false" customHeight="true" outlineLevel="0" collapsed="false">
      <c r="A798" s="9" t="str">
        <f aca="false">Raw_Volunteers!A798</f>
        <v>V2171</v>
      </c>
      <c r="B798" s="9" t="str">
        <f aca="false">IF(COUNTIFS(Raw_Volunteers!$A$2:$A$926,Raw_Volunteers!A798,Raw_Volunteers!$D$2:$D$926,Raw_Volunteers!D798,Raw_Volunteers!$E$2:$E$926,Raw_Volunteers!E798,Raw_Volunteers!$G$2:$G$926,Raw_Volunteers!G798)&gt;1,"Possible Duplicate","")</f>
        <v/>
      </c>
      <c r="C798" s="9" t="n">
        <f aca="false">Raw_Volunteers!B798</f>
        <v>0</v>
      </c>
      <c r="D798" s="9" t="str">
        <f aca="false">IF(C798="","No","Yes")</f>
        <v>No</v>
      </c>
      <c r="E798" s="9" t="str">
        <f aca="false">Raw_Volunteers!C798</f>
        <v>Anthony Lopez</v>
      </c>
      <c r="F798" s="9" t="str">
        <f aca="false">Raw_Volunteers!D798</f>
        <v>01/12/2024</v>
      </c>
      <c r="G798" s="9" t="str">
        <f aca="false">PROPER(TRIM(Raw_Volunteers!E798))</f>
        <v>Food Sorting</v>
      </c>
      <c r="H798" s="9" t="str">
        <f aca="false">Raw_Volunteers!F798</f>
        <v>Downtown Pantry</v>
      </c>
      <c r="I798" s="9" t="n">
        <f aca="false">IF(Raw_Volunteers!G798="",ROUND(AVERAGE(Raw_Volunteers!$G$2:$G$926),1),Raw_Volunteers!G798)</f>
        <v>2</v>
      </c>
    </row>
    <row r="799" customFormat="false" ht="15" hidden="false" customHeight="true" outlineLevel="0" collapsed="false">
      <c r="A799" s="9" t="str">
        <f aca="false">Raw_Volunteers!A799</f>
        <v>V2172</v>
      </c>
      <c r="B799" s="9" t="str">
        <f aca="false">IF(COUNTIFS(Raw_Volunteers!$A$2:$A$926,Raw_Volunteers!A799,Raw_Volunteers!$D$2:$D$926,Raw_Volunteers!D799,Raw_Volunteers!$E$2:$E$926,Raw_Volunteers!E799,Raw_Volunteers!$G$2:$G$926,Raw_Volunteers!G799)&gt;1,"Possible Duplicate","")</f>
        <v>Possible Duplicate</v>
      </c>
      <c r="C799" s="9" t="n">
        <f aca="false">Raw_Volunteers!B799</f>
        <v>0</v>
      </c>
      <c r="D799" s="9" t="str">
        <f aca="false">IF(C799="","No","Yes")</f>
        <v>No</v>
      </c>
      <c r="E799" s="9" t="str">
        <f aca="false">Raw_Volunteers!C799</f>
        <v>James Walker</v>
      </c>
      <c r="F799" s="9" t="str">
        <f aca="false">Raw_Volunteers!D799</f>
        <v>04/07/2026</v>
      </c>
      <c r="G799" s="9" t="str">
        <f aca="false">PROPER(TRIM(Raw_Volunteers!E799))</f>
        <v>Event Setup</v>
      </c>
      <c r="H799" s="9" t="str">
        <f aca="false">Raw_Volunteers!F799</f>
        <v>Downtown Pantry</v>
      </c>
      <c r="I799" s="9" t="n">
        <f aca="false">IF(Raw_Volunteers!G799="",ROUND(AVERAGE(Raw_Volunteers!$G$2:$G$926),1),Raw_Volunteers!G799)</f>
        <v>5</v>
      </c>
    </row>
    <row r="800" customFormat="false" ht="15" hidden="false" customHeight="true" outlineLevel="0" collapsed="false">
      <c r="A800" s="9" t="str">
        <f aca="false">Raw_Volunteers!A800</f>
        <v>V2172</v>
      </c>
      <c r="B800" s="9" t="str">
        <f aca="false">IF(COUNTIFS(Raw_Volunteers!$A$2:$A$926,Raw_Volunteers!A800,Raw_Volunteers!$D$2:$D$926,Raw_Volunteers!D800,Raw_Volunteers!$E$2:$E$926,Raw_Volunteers!E800,Raw_Volunteers!$G$2:$G$926,Raw_Volunteers!G800)&gt;1,"Possible Duplicate","")</f>
        <v/>
      </c>
      <c r="C800" s="9" t="n">
        <f aca="false">Raw_Volunteers!B800</f>
        <v>0</v>
      </c>
      <c r="D800" s="9" t="str">
        <f aca="false">IF(C800="","No","Yes")</f>
        <v>No</v>
      </c>
      <c r="E800" s="9" t="str">
        <f aca="false">Raw_Volunteers!C800</f>
        <v>James Walker</v>
      </c>
      <c r="F800" s="9" t="str">
        <f aca="false">Raw_Volunteers!D800</f>
        <v>11/10/2025</v>
      </c>
      <c r="G800" s="9" t="str">
        <f aca="false">PROPER(TRIM(Raw_Volunteers!E800))</f>
        <v>Warehouse Loading</v>
      </c>
      <c r="H800" s="9" t="str">
        <f aca="false">Raw_Volunteers!F800</f>
        <v>Community Center Site</v>
      </c>
      <c r="I800" s="9" t="n">
        <f aca="false">IF(Raw_Volunteers!G800="",ROUND(AVERAGE(Raw_Volunteers!$G$2:$G$926),1),Raw_Volunteers!G800)</f>
        <v>4</v>
      </c>
    </row>
    <row r="801" customFormat="false" ht="15" hidden="false" customHeight="true" outlineLevel="0" collapsed="false">
      <c r="A801" s="9" t="str">
        <f aca="false">Raw_Volunteers!A801</f>
        <v>V2172</v>
      </c>
      <c r="B801" s="9" t="str">
        <f aca="false">IF(COUNTIFS(Raw_Volunteers!$A$2:$A$926,Raw_Volunteers!A801,Raw_Volunteers!$D$2:$D$926,Raw_Volunteers!D801,Raw_Volunteers!$E$2:$E$926,Raw_Volunteers!E801,Raw_Volunteers!$G$2:$G$926,Raw_Volunteers!G801)&gt;1,"Possible Duplicate","")</f>
        <v/>
      </c>
      <c r="C801" s="9" t="n">
        <f aca="false">Raw_Volunteers!B801</f>
        <v>0</v>
      </c>
      <c r="D801" s="9" t="str">
        <f aca="false">IF(C801="","No","Yes")</f>
        <v>No</v>
      </c>
      <c r="E801" s="9" t="str">
        <f aca="false">Raw_Volunteers!C801</f>
        <v>James Walker</v>
      </c>
      <c r="F801" s="9" t="str">
        <f aca="false">Raw_Volunteers!D801</f>
        <v>05/29/2025</v>
      </c>
      <c r="G801" s="9" t="str">
        <f aca="false">PROPER(TRIM(Raw_Volunteers!E801))</f>
        <v>Holiday Box Packing</v>
      </c>
      <c r="H801" s="9" t="str">
        <f aca="false">Raw_Volunteers!F801</f>
        <v>Main Warehouse</v>
      </c>
      <c r="I801" s="9" t="n">
        <f aca="false">IF(Raw_Volunteers!G801="",ROUND(AVERAGE(Raw_Volunteers!$G$2:$G$926),1),Raw_Volunteers!G801)</f>
        <v>2</v>
      </c>
    </row>
    <row r="802" customFormat="false" ht="15" hidden="false" customHeight="true" outlineLevel="0" collapsed="false">
      <c r="A802" s="9" t="str">
        <f aca="false">Raw_Volunteers!A802</f>
        <v>V2173</v>
      </c>
      <c r="B802" s="9" t="str">
        <f aca="false">IF(COUNTIFS(Raw_Volunteers!$A$2:$A$926,Raw_Volunteers!A802,Raw_Volunteers!$D$2:$D$926,Raw_Volunteers!D802,Raw_Volunteers!$E$2:$E$926,Raw_Volunteers!E802,Raw_Volunteers!$G$2:$G$926,Raw_Volunteers!G802)&gt;1,"Possible Duplicate","")</f>
        <v/>
      </c>
      <c r="C802" s="9" t="n">
        <f aca="false">Raw_Volunteers!B802</f>
        <v>0</v>
      </c>
      <c r="D802" s="9" t="str">
        <f aca="false">IF(C802="","No","Yes")</f>
        <v>No</v>
      </c>
      <c r="E802" s="9" t="str">
        <f aca="false">Raw_Volunteers!C802</f>
        <v>Thomas Harris</v>
      </c>
      <c r="F802" s="9" t="str">
        <f aca="false">Raw_Volunteers!D802</f>
        <v>10/30/2024</v>
      </c>
      <c r="G802" s="9" t="str">
        <f aca="false">PROPER(TRIM(Raw_Volunteers!E802))</f>
        <v>Holiday Box Packing</v>
      </c>
      <c r="H802" s="9" t="str">
        <f aca="false">Raw_Volunteers!F802</f>
        <v>Main Warehouse</v>
      </c>
      <c r="I802" s="9" t="n">
        <f aca="false">IF(Raw_Volunteers!G802="",ROUND(AVERAGE(Raw_Volunteers!$G$2:$G$926),1),Raw_Volunteers!G802)</f>
        <v>5</v>
      </c>
    </row>
    <row r="803" customFormat="false" ht="15" hidden="false" customHeight="true" outlineLevel="0" collapsed="false">
      <c r="A803" s="9" t="str">
        <f aca="false">Raw_Volunteers!A803</f>
        <v>V2173</v>
      </c>
      <c r="B803" s="9" t="str">
        <f aca="false">IF(COUNTIFS(Raw_Volunteers!$A$2:$A$926,Raw_Volunteers!A803,Raw_Volunteers!$D$2:$D$926,Raw_Volunteers!D803,Raw_Volunteers!$E$2:$E$926,Raw_Volunteers!E803,Raw_Volunteers!$G$2:$G$926,Raw_Volunteers!G803)&gt;1,"Possible Duplicate","")</f>
        <v/>
      </c>
      <c r="C803" s="9" t="n">
        <f aca="false">Raw_Volunteers!B803</f>
        <v>0</v>
      </c>
      <c r="D803" s="9" t="str">
        <f aca="false">IF(C803="","No","Yes")</f>
        <v>No</v>
      </c>
      <c r="E803" s="9" t="str">
        <f aca="false">Raw_Volunteers!C803</f>
        <v>Thomas Harris</v>
      </c>
      <c r="F803" s="9" t="str">
        <f aca="false">Raw_Volunteers!D803</f>
        <v>09/28/2024</v>
      </c>
      <c r="G803" s="9" t="str">
        <f aca="false">PROPER(TRIM(Raw_Volunteers!E803))</f>
        <v>Holiday Box Packing</v>
      </c>
      <c r="H803" s="9" t="str">
        <f aca="false">Raw_Volunteers!F803</f>
        <v>Mobile Unit - Route B</v>
      </c>
      <c r="I803" s="9" t="n">
        <f aca="false">IF(Raw_Volunteers!G803="",ROUND(AVERAGE(Raw_Volunteers!$G$2:$G$926),1),Raw_Volunteers!G803)</f>
        <v>2</v>
      </c>
    </row>
    <row r="804" customFormat="false" ht="15" hidden="false" customHeight="true" outlineLevel="0" collapsed="false">
      <c r="A804" s="9" t="str">
        <f aca="false">Raw_Volunteers!A804</f>
        <v>V2173</v>
      </c>
      <c r="B804" s="9" t="str">
        <f aca="false">IF(COUNTIFS(Raw_Volunteers!$A$2:$A$926,Raw_Volunteers!A804,Raw_Volunteers!$D$2:$D$926,Raw_Volunteers!D804,Raw_Volunteers!$E$2:$E$926,Raw_Volunteers!E804,Raw_Volunteers!$G$2:$G$926,Raw_Volunteers!G804)&gt;1,"Possible Duplicate","")</f>
        <v/>
      </c>
      <c r="C804" s="9" t="n">
        <f aca="false">Raw_Volunteers!B804</f>
        <v>0</v>
      </c>
      <c r="D804" s="9" t="str">
        <f aca="false">IF(C804="","No","Yes")</f>
        <v>No</v>
      </c>
      <c r="E804" s="9" t="str">
        <f aca="false">Raw_Volunteers!C804</f>
        <v>Thomas Harris</v>
      </c>
      <c r="F804" s="9" t="str">
        <f aca="false">Raw_Volunteers!D804</f>
        <v>09/04/2024</v>
      </c>
      <c r="G804" s="9" t="str">
        <f aca="false">PROPER(TRIM(Raw_Volunteers!E804))</f>
        <v>Mobile Distribution Driver</v>
      </c>
      <c r="H804" s="9" t="str">
        <f aca="false">Raw_Volunteers!F804</f>
        <v>Community Center Site</v>
      </c>
      <c r="I804" s="9" t="n">
        <f aca="false">IF(Raw_Volunteers!G804="",ROUND(AVERAGE(Raw_Volunteers!$G$2:$G$926),1),Raw_Volunteers!G804)</f>
        <v>2</v>
      </c>
    </row>
    <row r="805" customFormat="false" ht="15" hidden="false" customHeight="true" outlineLevel="0" collapsed="false">
      <c r="A805" s="9" t="str">
        <f aca="false">Raw_Volunteers!A805</f>
        <v>V2173</v>
      </c>
      <c r="B805" s="9" t="str">
        <f aca="false">IF(COUNTIFS(Raw_Volunteers!$A$2:$A$926,Raw_Volunteers!A805,Raw_Volunteers!$D$2:$D$926,Raw_Volunteers!D805,Raw_Volunteers!$E$2:$E$926,Raw_Volunteers!E805,Raw_Volunteers!$G$2:$G$926,Raw_Volunteers!G805)&gt;1,"Possible Duplicate","")</f>
        <v/>
      </c>
      <c r="C805" s="9" t="n">
        <f aca="false">Raw_Volunteers!B805</f>
        <v>0</v>
      </c>
      <c r="D805" s="9" t="str">
        <f aca="false">IF(C805="","No","Yes")</f>
        <v>No</v>
      </c>
      <c r="E805" s="9" t="str">
        <f aca="false">Raw_Volunteers!C805</f>
        <v>Thomas Harris</v>
      </c>
      <c r="F805" s="9" t="str">
        <f aca="false">Raw_Volunteers!D805</f>
        <v>12/04/2025</v>
      </c>
      <c r="G805" s="9" t="str">
        <f aca="false">PROPER(TRIM(Raw_Volunteers!E805))</f>
        <v>Food Sorting</v>
      </c>
      <c r="H805" s="9" t="str">
        <f aca="false">Raw_Volunteers!F805</f>
        <v>Downtown Pantry</v>
      </c>
      <c r="I805" s="9" t="n">
        <f aca="false">IF(Raw_Volunteers!G805="",ROUND(AVERAGE(Raw_Volunteers!$G$2:$G$926),1),Raw_Volunteers!G805)</f>
        <v>3</v>
      </c>
    </row>
    <row r="806" customFormat="false" ht="15" hidden="false" customHeight="true" outlineLevel="0" collapsed="false">
      <c r="A806" s="9" t="str">
        <f aca="false">Raw_Volunteers!A806</f>
        <v>V2173</v>
      </c>
      <c r="B806" s="9" t="str">
        <f aca="false">IF(COUNTIFS(Raw_Volunteers!$A$2:$A$926,Raw_Volunteers!A806,Raw_Volunteers!$D$2:$D$926,Raw_Volunteers!D806,Raw_Volunteers!$E$2:$E$926,Raw_Volunteers!E806,Raw_Volunteers!$G$2:$G$926,Raw_Volunteers!G806)&gt;1,"Possible Duplicate","")</f>
        <v/>
      </c>
      <c r="C806" s="9" t="n">
        <f aca="false">Raw_Volunteers!B806</f>
        <v>0</v>
      </c>
      <c r="D806" s="9" t="str">
        <f aca="false">IF(C806="","No","Yes")</f>
        <v>No</v>
      </c>
      <c r="E806" s="9" t="str">
        <f aca="false">Raw_Volunteers!C806</f>
        <v>Thomas Harris</v>
      </c>
      <c r="F806" s="9" t="str">
        <f aca="false">Raw_Volunteers!D806</f>
        <v>10/09/2025</v>
      </c>
      <c r="G806" s="9" t="str">
        <f aca="false">PROPER(TRIM(Raw_Volunteers!E806))</f>
        <v>Holiday Box Packing</v>
      </c>
      <c r="H806" s="9" t="str">
        <f aca="false">Raw_Volunteers!F806</f>
        <v>Mobile Unit - Route B</v>
      </c>
      <c r="I806" s="9" t="n">
        <f aca="false">IF(Raw_Volunteers!G806="",ROUND(AVERAGE(Raw_Volunteers!$G$2:$G$926),1),Raw_Volunteers!G806)</f>
        <v>3</v>
      </c>
    </row>
    <row r="807" customFormat="false" ht="15" hidden="false" customHeight="true" outlineLevel="0" collapsed="false">
      <c r="A807" s="9" t="str">
        <f aca="false">Raw_Volunteers!A807</f>
        <v>V2173</v>
      </c>
      <c r="B807" s="9" t="str">
        <f aca="false">IF(COUNTIFS(Raw_Volunteers!$A$2:$A$926,Raw_Volunteers!A807,Raw_Volunteers!$D$2:$D$926,Raw_Volunteers!D807,Raw_Volunteers!$E$2:$E$926,Raw_Volunteers!E807,Raw_Volunteers!$G$2:$G$926,Raw_Volunteers!G807)&gt;1,"Possible Duplicate","")</f>
        <v/>
      </c>
      <c r="C807" s="9" t="n">
        <f aca="false">Raw_Volunteers!B807</f>
        <v>0</v>
      </c>
      <c r="D807" s="9" t="str">
        <f aca="false">IF(C807="","No","Yes")</f>
        <v>No</v>
      </c>
      <c r="E807" s="9" t="str">
        <f aca="false">Raw_Volunteers!C807</f>
        <v>Thomas Harris</v>
      </c>
      <c r="F807" s="9" t="str">
        <f aca="false">Raw_Volunteers!D807</f>
        <v>09/20/2025</v>
      </c>
      <c r="G807" s="9" t="str">
        <f aca="false">PROPER(TRIM(Raw_Volunteers!E807))</f>
        <v>Event Setup</v>
      </c>
      <c r="H807" s="9" t="str">
        <f aca="false">Raw_Volunteers!F807</f>
        <v>Mobile Unit - Route A</v>
      </c>
      <c r="I807" s="9" t="n">
        <f aca="false">IF(Raw_Volunteers!G807="",ROUND(AVERAGE(Raw_Volunteers!$G$2:$G$926),1),Raw_Volunteers!G807)</f>
        <v>3</v>
      </c>
    </row>
    <row r="808" customFormat="false" ht="15" hidden="false" customHeight="true" outlineLevel="0" collapsed="false">
      <c r="A808" s="9" t="str">
        <f aca="false">Raw_Volunteers!A808</f>
        <v>V2174</v>
      </c>
      <c r="B808" s="9" t="str">
        <f aca="false">IF(COUNTIFS(Raw_Volunteers!$A$2:$A$926,Raw_Volunteers!A808,Raw_Volunteers!$D$2:$D$926,Raw_Volunteers!D808,Raw_Volunteers!$E$2:$E$926,Raw_Volunteers!E808,Raw_Volunteers!$G$2:$G$926,Raw_Volunteers!G808)&gt;1,"Possible Duplicate","")</f>
        <v/>
      </c>
      <c r="C808" s="9" t="n">
        <f aca="false">Raw_Volunteers!B808</f>
        <v>0</v>
      </c>
      <c r="D808" s="9" t="str">
        <f aca="false">IF(C808="","No","Yes")</f>
        <v>No</v>
      </c>
      <c r="E808" s="9" t="str">
        <f aca="false">Raw_Volunteers!C808</f>
        <v>Karen White</v>
      </c>
      <c r="F808" s="9" t="str">
        <f aca="false">Raw_Volunteers!D808</f>
        <v>10/19/2025</v>
      </c>
      <c r="G808" s="9" t="str">
        <f aca="false">PROPER(TRIM(Raw_Volunteers!E808))</f>
        <v>Event Setup</v>
      </c>
      <c r="H808" s="9" t="str">
        <f aca="false">Raw_Volunteers!F808</f>
        <v>Main Warehouse</v>
      </c>
      <c r="I808" s="9" t="n">
        <f aca="false">IF(Raw_Volunteers!G808="",ROUND(AVERAGE(Raw_Volunteers!$G$2:$G$926),1),Raw_Volunteers!G808)</f>
        <v>2</v>
      </c>
    </row>
    <row r="809" customFormat="false" ht="15" hidden="false" customHeight="true" outlineLevel="0" collapsed="false">
      <c r="A809" s="9" t="str">
        <f aca="false">Raw_Volunteers!A809</f>
        <v>V2174</v>
      </c>
      <c r="B809" s="9" t="str">
        <f aca="false">IF(COUNTIFS(Raw_Volunteers!$A$2:$A$926,Raw_Volunteers!A809,Raw_Volunteers!$D$2:$D$926,Raw_Volunteers!D809,Raw_Volunteers!$E$2:$E$926,Raw_Volunteers!E809,Raw_Volunteers!$G$2:$G$926,Raw_Volunteers!G809)&gt;1,"Possible Duplicate","")</f>
        <v/>
      </c>
      <c r="C809" s="9" t="n">
        <f aca="false">Raw_Volunteers!B809</f>
        <v>0</v>
      </c>
      <c r="D809" s="9" t="str">
        <f aca="false">IF(C809="","No","Yes")</f>
        <v>No</v>
      </c>
      <c r="E809" s="9" t="str">
        <f aca="false">Raw_Volunteers!C809</f>
        <v>Karen White</v>
      </c>
      <c r="F809" s="9" t="str">
        <f aca="false">Raw_Volunteers!D809</f>
        <v>08/25/2024</v>
      </c>
      <c r="G809" s="9" t="str">
        <f aca="false">PROPER(TRIM(Raw_Volunteers!E809))</f>
        <v>Warehouse Loading</v>
      </c>
      <c r="H809" s="9" t="str">
        <f aca="false">Raw_Volunteers!F809</f>
        <v>Main Warehouse</v>
      </c>
      <c r="I809" s="9" t="n">
        <f aca="false">IF(Raw_Volunteers!G809="",ROUND(AVERAGE(Raw_Volunteers!$G$2:$G$926),1),Raw_Volunteers!G809)</f>
        <v>3</v>
      </c>
    </row>
    <row r="810" customFormat="false" ht="15" hidden="false" customHeight="true" outlineLevel="0" collapsed="false">
      <c r="A810" s="9" t="str">
        <f aca="false">Raw_Volunteers!A810</f>
        <v>V2174</v>
      </c>
      <c r="B810" s="9" t="str">
        <f aca="false">IF(COUNTIFS(Raw_Volunteers!$A$2:$A$926,Raw_Volunteers!A810,Raw_Volunteers!$D$2:$D$926,Raw_Volunteers!D810,Raw_Volunteers!$E$2:$E$926,Raw_Volunteers!E810,Raw_Volunteers!$G$2:$G$926,Raw_Volunteers!G810)&gt;1,"Possible Duplicate","")</f>
        <v/>
      </c>
      <c r="C810" s="9" t="n">
        <f aca="false">Raw_Volunteers!B810</f>
        <v>0</v>
      </c>
      <c r="D810" s="9" t="str">
        <f aca="false">IF(C810="","No","Yes")</f>
        <v>No</v>
      </c>
      <c r="E810" s="9" t="str">
        <f aca="false">Raw_Volunteers!C810</f>
        <v>Karen White</v>
      </c>
      <c r="F810" s="9" t="str">
        <f aca="false">Raw_Volunteers!D810</f>
        <v>09/28/2024</v>
      </c>
      <c r="G810" s="9" t="str">
        <f aca="false">PROPER(TRIM(Raw_Volunteers!E810))</f>
        <v>Food Sorting</v>
      </c>
      <c r="H810" s="9" t="str">
        <f aca="false">Raw_Volunteers!F810</f>
        <v>Main Warehouse</v>
      </c>
      <c r="I810" s="9" t="n">
        <f aca="false">IF(Raw_Volunteers!G810="",ROUND(AVERAGE(Raw_Volunteers!$G$2:$G$926),1),Raw_Volunteers!G810)</f>
        <v>2</v>
      </c>
    </row>
    <row r="811" customFormat="false" ht="15" hidden="false" customHeight="true" outlineLevel="0" collapsed="false">
      <c r="A811" s="9" t="str">
        <f aca="false">Raw_Volunteers!A811</f>
        <v>V2174</v>
      </c>
      <c r="B811" s="9" t="str">
        <f aca="false">IF(COUNTIFS(Raw_Volunteers!$A$2:$A$926,Raw_Volunteers!A811,Raw_Volunteers!$D$2:$D$926,Raw_Volunteers!D811,Raw_Volunteers!$E$2:$E$926,Raw_Volunteers!E811,Raw_Volunteers!$G$2:$G$926,Raw_Volunteers!G811)&gt;1,"Possible Duplicate","")</f>
        <v/>
      </c>
      <c r="C811" s="9" t="n">
        <f aca="false">Raw_Volunteers!B811</f>
        <v>0</v>
      </c>
      <c r="D811" s="9" t="str">
        <f aca="false">IF(C811="","No","Yes")</f>
        <v>No</v>
      </c>
      <c r="E811" s="9" t="str">
        <f aca="false">Raw_Volunteers!C811</f>
        <v>Karen White</v>
      </c>
      <c r="F811" s="9" t="str">
        <f aca="false">Raw_Volunteers!D811</f>
        <v>08/26/2024</v>
      </c>
      <c r="G811" s="9" t="str">
        <f aca="false">PROPER(TRIM(Raw_Volunteers!E811))</f>
        <v>Event Setup</v>
      </c>
      <c r="H811" s="9" t="str">
        <f aca="false">Raw_Volunteers!F811</f>
        <v>Downtown Pantry</v>
      </c>
      <c r="I811" s="9" t="n">
        <f aca="false">IF(Raw_Volunteers!G811="",ROUND(AVERAGE(Raw_Volunteers!$G$2:$G$926),1),Raw_Volunteers!G811)</f>
        <v>3</v>
      </c>
    </row>
    <row r="812" customFormat="false" ht="15" hidden="false" customHeight="true" outlineLevel="0" collapsed="false">
      <c r="A812" s="9" t="str">
        <f aca="false">Raw_Volunteers!A812</f>
        <v>V2175</v>
      </c>
      <c r="B812" s="9" t="str">
        <f aca="false">IF(COUNTIFS(Raw_Volunteers!$A$2:$A$926,Raw_Volunteers!A812,Raw_Volunteers!$D$2:$D$926,Raw_Volunteers!D812,Raw_Volunteers!$E$2:$E$926,Raw_Volunteers!E812,Raw_Volunteers!$G$2:$G$926,Raw_Volunteers!G812)&gt;1,"Possible Duplicate","")</f>
        <v/>
      </c>
      <c r="C812" s="9" t="n">
        <f aca="false">Raw_Volunteers!B812</f>
        <v>0</v>
      </c>
      <c r="D812" s="9" t="str">
        <f aca="false">IF(C812="","No","Yes")</f>
        <v>No</v>
      </c>
      <c r="E812" s="9" t="str">
        <f aca="false">Raw_Volunteers!C812</f>
        <v>Mary Wright</v>
      </c>
      <c r="F812" s="9" t="str">
        <f aca="false">Raw_Volunteers!D812</f>
        <v>09/18/2024</v>
      </c>
      <c r="G812" s="9" t="str">
        <f aca="false">PROPER(TRIM(Raw_Volunteers!E812))</f>
        <v>Event Setup</v>
      </c>
      <c r="H812" s="9" t="str">
        <f aca="false">Raw_Volunteers!F812</f>
        <v>Mobile Unit - Route B</v>
      </c>
      <c r="I812" s="9" t="n">
        <f aca="false">IF(Raw_Volunteers!G812="",ROUND(AVERAGE(Raw_Volunteers!$G$2:$G$926),1),Raw_Volunteers!G812)</f>
        <v>2</v>
      </c>
    </row>
    <row r="813" customFormat="false" ht="15" hidden="false" customHeight="true" outlineLevel="0" collapsed="false">
      <c r="A813" s="9" t="str">
        <f aca="false">Raw_Volunteers!A813</f>
        <v>V2175</v>
      </c>
      <c r="B813" s="9" t="str">
        <f aca="false">IF(COUNTIFS(Raw_Volunteers!$A$2:$A$926,Raw_Volunteers!A813,Raw_Volunteers!$D$2:$D$926,Raw_Volunteers!D813,Raw_Volunteers!$E$2:$E$926,Raw_Volunteers!E813,Raw_Volunteers!$G$2:$G$926,Raw_Volunteers!G813)&gt;1,"Possible Duplicate","")</f>
        <v/>
      </c>
      <c r="C813" s="9" t="n">
        <f aca="false">Raw_Volunteers!B813</f>
        <v>0</v>
      </c>
      <c r="D813" s="9" t="str">
        <f aca="false">IF(C813="","No","Yes")</f>
        <v>No</v>
      </c>
      <c r="E813" s="9" t="str">
        <f aca="false">Raw_Volunteers!C813</f>
        <v>Mary Wright</v>
      </c>
      <c r="F813" s="9" t="str">
        <f aca="false">Raw_Volunteers!D813</f>
        <v>03/07/2026</v>
      </c>
      <c r="G813" s="9" t="str">
        <f aca="false">PROPER(TRIM(Raw_Volunteers!E813))</f>
        <v>Pantry Stocking</v>
      </c>
      <c r="H813" s="9" t="str">
        <f aca="false">Raw_Volunteers!F813</f>
        <v>Mobile Unit - Route B</v>
      </c>
      <c r="I813" s="9" t="n">
        <f aca="false">IF(Raw_Volunteers!G813="",ROUND(AVERAGE(Raw_Volunteers!$G$2:$G$926),1),Raw_Volunteers!G813)</f>
        <v>2</v>
      </c>
    </row>
    <row r="814" customFormat="false" ht="15" hidden="false" customHeight="true" outlineLevel="0" collapsed="false">
      <c r="A814" s="9" t="str">
        <f aca="false">Raw_Volunteers!A814</f>
        <v>V2175</v>
      </c>
      <c r="B814" s="9" t="str">
        <f aca="false">IF(COUNTIFS(Raw_Volunteers!$A$2:$A$926,Raw_Volunteers!A814,Raw_Volunteers!$D$2:$D$926,Raw_Volunteers!D814,Raw_Volunteers!$E$2:$E$926,Raw_Volunteers!E814,Raw_Volunteers!$G$2:$G$926,Raw_Volunteers!G814)&gt;1,"Possible Duplicate","")</f>
        <v/>
      </c>
      <c r="C814" s="9" t="n">
        <f aca="false">Raw_Volunteers!B814</f>
        <v>0</v>
      </c>
      <c r="D814" s="9" t="str">
        <f aca="false">IF(C814="","No","Yes")</f>
        <v>No</v>
      </c>
      <c r="E814" s="9" t="str">
        <f aca="false">Raw_Volunteers!C814</f>
        <v>Mary Wright</v>
      </c>
      <c r="F814" s="9" t="str">
        <f aca="false">Raw_Volunteers!D814</f>
        <v>01/12/2025</v>
      </c>
      <c r="G814" s="9" t="str">
        <f aca="false">PROPER(TRIM(Raw_Volunteers!E814))</f>
        <v>Mobile Distribution Driver</v>
      </c>
      <c r="H814" s="9" t="str">
        <f aca="false">Raw_Volunteers!F814</f>
        <v>Mobile Unit - Route A</v>
      </c>
      <c r="I814" s="9" t="n">
        <f aca="false">IF(Raw_Volunteers!G814="",ROUND(AVERAGE(Raw_Volunteers!$G$2:$G$926),1),Raw_Volunteers!G814)</f>
        <v>3</v>
      </c>
    </row>
    <row r="815" customFormat="false" ht="15" hidden="false" customHeight="true" outlineLevel="0" collapsed="false">
      <c r="A815" s="9" t="str">
        <f aca="false">Raw_Volunteers!A815</f>
        <v>V2175</v>
      </c>
      <c r="B815" s="9" t="str">
        <f aca="false">IF(COUNTIFS(Raw_Volunteers!$A$2:$A$926,Raw_Volunteers!A815,Raw_Volunteers!$D$2:$D$926,Raw_Volunteers!D815,Raw_Volunteers!$E$2:$E$926,Raw_Volunteers!E815,Raw_Volunteers!$G$2:$G$926,Raw_Volunteers!G815)&gt;1,"Possible Duplicate","")</f>
        <v/>
      </c>
      <c r="C815" s="9" t="n">
        <f aca="false">Raw_Volunteers!B815</f>
        <v>0</v>
      </c>
      <c r="D815" s="9" t="str">
        <f aca="false">IF(C815="","No","Yes")</f>
        <v>No</v>
      </c>
      <c r="E815" s="9" t="str">
        <f aca="false">Raw_Volunteers!C815</f>
        <v>Mary Wright</v>
      </c>
      <c r="F815" s="9" t="str">
        <f aca="false">Raw_Volunteers!D815</f>
        <v>04/22/2026</v>
      </c>
      <c r="G815" s="9" t="str">
        <f aca="false">PROPER(TRIM(Raw_Volunteers!E815))</f>
        <v>Client Intake Assistant</v>
      </c>
      <c r="H815" s="9" t="str">
        <f aca="false">Raw_Volunteers!F815</f>
        <v>Downtown Pantry</v>
      </c>
      <c r="I815" s="9" t="n">
        <f aca="false">IF(Raw_Volunteers!G815="",ROUND(AVERAGE(Raw_Volunteers!$G$2:$G$926),1),Raw_Volunteers!G815)</f>
        <v>2</v>
      </c>
    </row>
    <row r="816" customFormat="false" ht="15" hidden="false" customHeight="true" outlineLevel="0" collapsed="false">
      <c r="A816" s="9" t="str">
        <f aca="false">Raw_Volunteers!A816</f>
        <v>V2176</v>
      </c>
      <c r="B816" s="9" t="str">
        <f aca="false">IF(COUNTIFS(Raw_Volunteers!$A$2:$A$926,Raw_Volunteers!A816,Raw_Volunteers!$D$2:$D$926,Raw_Volunteers!D816,Raw_Volunteers!$E$2:$E$926,Raw_Volunteers!E816,Raw_Volunteers!$G$2:$G$926,Raw_Volunteers!G816)&gt;1,"Possible Duplicate","")</f>
        <v/>
      </c>
      <c r="C816" s="9" t="n">
        <f aca="false">Raw_Volunteers!B816</f>
        <v>0</v>
      </c>
      <c r="D816" s="9" t="str">
        <f aca="false">IF(C816="","No","Yes")</f>
        <v>No</v>
      </c>
      <c r="E816" s="9" t="str">
        <f aca="false">Raw_Volunteers!C816</f>
        <v>Paul Miller</v>
      </c>
      <c r="F816" s="9" t="str">
        <f aca="false">Raw_Volunteers!D816</f>
        <v>08/09/2025</v>
      </c>
      <c r="G816" s="9" t="str">
        <f aca="false">PROPER(TRIM(Raw_Volunteers!E816))</f>
        <v>Event Setup</v>
      </c>
      <c r="H816" s="9" t="str">
        <f aca="false">Raw_Volunteers!F816</f>
        <v>Downtown Pantry</v>
      </c>
      <c r="I816" s="9" t="n">
        <f aca="false">IF(Raw_Volunteers!G816="",ROUND(AVERAGE(Raw_Volunteers!$G$2:$G$926),1),Raw_Volunteers!G816)</f>
        <v>3</v>
      </c>
    </row>
    <row r="817" customFormat="false" ht="15" hidden="false" customHeight="true" outlineLevel="0" collapsed="false">
      <c r="A817" s="9" t="str">
        <f aca="false">Raw_Volunteers!A817</f>
        <v>V2176</v>
      </c>
      <c r="B817" s="9" t="str">
        <f aca="false">IF(COUNTIFS(Raw_Volunteers!$A$2:$A$926,Raw_Volunteers!A817,Raw_Volunteers!$D$2:$D$926,Raw_Volunteers!D817,Raw_Volunteers!$E$2:$E$926,Raw_Volunteers!E817,Raw_Volunteers!$G$2:$G$926,Raw_Volunteers!G817)&gt;1,"Possible Duplicate","")</f>
        <v/>
      </c>
      <c r="C817" s="9" t="n">
        <f aca="false">Raw_Volunteers!B817</f>
        <v>0</v>
      </c>
      <c r="D817" s="9" t="str">
        <f aca="false">IF(C817="","No","Yes")</f>
        <v>No</v>
      </c>
      <c r="E817" s="9" t="str">
        <f aca="false">Raw_Volunteers!C817</f>
        <v>Paul Miller</v>
      </c>
      <c r="F817" s="9" t="str">
        <f aca="false">Raw_Volunteers!D817</f>
        <v>05/12/2025</v>
      </c>
      <c r="G817" s="9" t="str">
        <f aca="false">PROPER(TRIM(Raw_Volunteers!E817))</f>
        <v>Food Sorting</v>
      </c>
      <c r="H817" s="9" t="str">
        <f aca="false">Raw_Volunteers!F817</f>
        <v>Community Center Site</v>
      </c>
      <c r="I817" s="9" t="n">
        <f aca="false">IF(Raw_Volunteers!G817="",ROUND(AVERAGE(Raw_Volunteers!$G$2:$G$926),1),Raw_Volunteers!G817)</f>
        <v>2</v>
      </c>
    </row>
    <row r="818" customFormat="false" ht="15" hidden="false" customHeight="true" outlineLevel="0" collapsed="false">
      <c r="A818" s="9" t="str">
        <f aca="false">Raw_Volunteers!A818</f>
        <v>V2177</v>
      </c>
      <c r="B818" s="9" t="str">
        <f aca="false">IF(COUNTIFS(Raw_Volunteers!$A$2:$A$926,Raw_Volunteers!A818,Raw_Volunteers!$D$2:$D$926,Raw_Volunteers!D818,Raw_Volunteers!$E$2:$E$926,Raw_Volunteers!E818,Raw_Volunteers!$G$2:$G$926,Raw_Volunteers!G818)&gt;1,"Possible Duplicate","")</f>
        <v/>
      </c>
      <c r="C818" s="9" t="n">
        <f aca="false">Raw_Volunteers!B818</f>
        <v>0</v>
      </c>
      <c r="D818" s="9" t="str">
        <f aca="false">IF(C818="","No","Yes")</f>
        <v>No</v>
      </c>
      <c r="E818" s="9" t="str">
        <f aca="false">Raw_Volunteers!C818</f>
        <v>Paul Lewis</v>
      </c>
      <c r="F818" s="9" t="str">
        <f aca="false">Raw_Volunteers!D818</f>
        <v>12/06/2024</v>
      </c>
      <c r="G818" s="9" t="str">
        <f aca="false">PROPER(TRIM(Raw_Volunteers!E818))</f>
        <v>Client Intake Assistant</v>
      </c>
      <c r="H818" s="9" t="str">
        <f aca="false">Raw_Volunteers!F818</f>
        <v>Main Warehouse</v>
      </c>
      <c r="I818" s="9" t="n">
        <f aca="false">IF(Raw_Volunteers!G818="",ROUND(AVERAGE(Raw_Volunteers!$G$2:$G$926),1),Raw_Volunteers!G818)</f>
        <v>5</v>
      </c>
    </row>
    <row r="819" customFormat="false" ht="15" hidden="false" customHeight="true" outlineLevel="0" collapsed="false">
      <c r="A819" s="9" t="str">
        <f aca="false">Raw_Volunteers!A819</f>
        <v>V2177</v>
      </c>
      <c r="B819" s="9" t="str">
        <f aca="false">IF(COUNTIFS(Raw_Volunteers!$A$2:$A$926,Raw_Volunteers!A819,Raw_Volunteers!$D$2:$D$926,Raw_Volunteers!D819,Raw_Volunteers!$E$2:$E$926,Raw_Volunteers!E819,Raw_Volunteers!$G$2:$G$926,Raw_Volunteers!G819)&gt;1,"Possible Duplicate","")</f>
        <v/>
      </c>
      <c r="C819" s="9" t="n">
        <f aca="false">Raw_Volunteers!B819</f>
        <v>0</v>
      </c>
      <c r="D819" s="9" t="str">
        <f aca="false">IF(C819="","No","Yes")</f>
        <v>No</v>
      </c>
      <c r="E819" s="9" t="str">
        <f aca="false">Raw_Volunteers!C819</f>
        <v>Paul Lewis</v>
      </c>
      <c r="F819" s="9" t="str">
        <f aca="false">Raw_Volunteers!D819</f>
        <v>12/07/2024</v>
      </c>
      <c r="G819" s="9" t="str">
        <f aca="false">PROPER(TRIM(Raw_Volunteers!E819))</f>
        <v>Front Desk Greeter</v>
      </c>
      <c r="H819" s="9" t="str">
        <f aca="false">Raw_Volunteers!F819</f>
        <v>Downtown Pantry</v>
      </c>
      <c r="I819" s="9" t="n">
        <f aca="false">IF(Raw_Volunteers!G819="",ROUND(AVERAGE(Raw_Volunteers!$G$2:$G$926),1),Raw_Volunteers!G819)</f>
        <v>3</v>
      </c>
    </row>
    <row r="820" customFormat="false" ht="15" hidden="false" customHeight="true" outlineLevel="0" collapsed="false">
      <c r="A820" s="9" t="str">
        <f aca="false">Raw_Volunteers!A820</f>
        <v>V2177</v>
      </c>
      <c r="B820" s="9" t="str">
        <f aca="false">IF(COUNTIFS(Raw_Volunteers!$A$2:$A$926,Raw_Volunteers!A820,Raw_Volunteers!$D$2:$D$926,Raw_Volunteers!D820,Raw_Volunteers!$E$2:$E$926,Raw_Volunteers!E820,Raw_Volunteers!$G$2:$G$926,Raw_Volunteers!G820)&gt;1,"Possible Duplicate","")</f>
        <v/>
      </c>
      <c r="C820" s="9" t="n">
        <f aca="false">Raw_Volunteers!B820</f>
        <v>0</v>
      </c>
      <c r="D820" s="9" t="str">
        <f aca="false">IF(C820="","No","Yes")</f>
        <v>No</v>
      </c>
      <c r="E820" s="9" t="str">
        <f aca="false">Raw_Volunteers!C820</f>
        <v>Paul Lewis</v>
      </c>
      <c r="F820" s="9" t="str">
        <f aca="false">Raw_Volunteers!D820</f>
        <v>06/15/2025</v>
      </c>
      <c r="G820" s="9" t="str">
        <f aca="false">PROPER(TRIM(Raw_Volunteers!E820))</f>
        <v>Warehouse Loading</v>
      </c>
      <c r="H820" s="9" t="str">
        <f aca="false">Raw_Volunteers!F820</f>
        <v>Community Center Site</v>
      </c>
      <c r="I820" s="9" t="n">
        <f aca="false">IF(Raw_Volunteers!G820="",ROUND(AVERAGE(Raw_Volunteers!$G$2:$G$926),1),Raw_Volunteers!G820)</f>
        <v>3</v>
      </c>
    </row>
    <row r="821" customFormat="false" ht="15" hidden="false" customHeight="true" outlineLevel="0" collapsed="false">
      <c r="A821" s="9" t="str">
        <f aca="false">Raw_Volunteers!A821</f>
        <v>V2177</v>
      </c>
      <c r="B821" s="9" t="str">
        <f aca="false">IF(COUNTIFS(Raw_Volunteers!$A$2:$A$926,Raw_Volunteers!A821,Raw_Volunteers!$D$2:$D$926,Raw_Volunteers!D821,Raw_Volunteers!$E$2:$E$926,Raw_Volunteers!E821,Raw_Volunteers!$G$2:$G$926,Raw_Volunteers!G821)&gt;1,"Possible Duplicate","")</f>
        <v/>
      </c>
      <c r="C821" s="9" t="n">
        <f aca="false">Raw_Volunteers!B821</f>
        <v>0</v>
      </c>
      <c r="D821" s="9" t="str">
        <f aca="false">IF(C821="","No","Yes")</f>
        <v>No</v>
      </c>
      <c r="E821" s="9" t="str">
        <f aca="false">Raw_Volunteers!C821</f>
        <v>Paul Lewis</v>
      </c>
      <c r="F821" s="9" t="str">
        <f aca="false">Raw_Volunteers!D821</f>
        <v>04/30/2026</v>
      </c>
      <c r="G821" s="9" t="str">
        <f aca="false">PROPER(TRIM(Raw_Volunteers!E821))</f>
        <v>Event Setup</v>
      </c>
      <c r="H821" s="9" t="str">
        <f aca="false">Raw_Volunteers!F821</f>
        <v>Mobile Unit - Route A</v>
      </c>
      <c r="I821" s="9" t="n">
        <f aca="false">IF(Raw_Volunteers!G821="",ROUND(AVERAGE(Raw_Volunteers!$G$2:$G$926),1),Raw_Volunteers!G821)</f>
        <v>3</v>
      </c>
    </row>
    <row r="822" customFormat="false" ht="15" hidden="false" customHeight="true" outlineLevel="0" collapsed="false">
      <c r="A822" s="9" t="str">
        <f aca="false">Raw_Volunteers!A822</f>
        <v>V2178</v>
      </c>
      <c r="B822" s="9" t="str">
        <f aca="false">IF(COUNTIFS(Raw_Volunteers!$A$2:$A$926,Raw_Volunteers!A822,Raw_Volunteers!$D$2:$D$926,Raw_Volunteers!D822,Raw_Volunteers!$E$2:$E$926,Raw_Volunteers!E822,Raw_Volunteers!$G$2:$G$926,Raw_Volunteers!G822)&gt;1,"Possible Duplicate","")</f>
        <v/>
      </c>
      <c r="C822" s="9" t="n">
        <f aca="false">Raw_Volunteers!B822</f>
        <v>0</v>
      </c>
      <c r="D822" s="9" t="str">
        <f aca="false">IF(C822="","No","Yes")</f>
        <v>No</v>
      </c>
      <c r="E822" s="9" t="str">
        <f aca="false">Raw_Volunteers!C822</f>
        <v>Elizabeth Jackson</v>
      </c>
      <c r="F822" s="9" t="str">
        <f aca="false">Raw_Volunteers!D822</f>
        <v>02/25/2025</v>
      </c>
      <c r="G822" s="9" t="str">
        <f aca="false">PROPER(TRIM(Raw_Volunteers!E822))</f>
        <v>Front Desk Greeter</v>
      </c>
      <c r="H822" s="9" t="str">
        <f aca="false">Raw_Volunteers!F822</f>
        <v>Community Center Site</v>
      </c>
      <c r="I822" s="9" t="n">
        <f aca="false">IF(Raw_Volunteers!G822="",ROUND(AVERAGE(Raw_Volunteers!$G$2:$G$926),1),Raw_Volunteers!G822)</f>
        <v>3</v>
      </c>
    </row>
    <row r="823" customFormat="false" ht="15" hidden="false" customHeight="true" outlineLevel="0" collapsed="false">
      <c r="A823" s="9" t="str">
        <f aca="false">Raw_Volunteers!A823</f>
        <v>V2178</v>
      </c>
      <c r="B823" s="9" t="str">
        <f aca="false">IF(COUNTIFS(Raw_Volunteers!$A$2:$A$926,Raw_Volunteers!A823,Raw_Volunteers!$D$2:$D$926,Raw_Volunteers!D823,Raw_Volunteers!$E$2:$E$926,Raw_Volunteers!E823,Raw_Volunteers!$G$2:$G$926,Raw_Volunteers!G823)&gt;1,"Possible Duplicate","")</f>
        <v/>
      </c>
      <c r="C823" s="9" t="n">
        <f aca="false">Raw_Volunteers!B823</f>
        <v>0</v>
      </c>
      <c r="D823" s="9" t="str">
        <f aca="false">IF(C823="","No","Yes")</f>
        <v>No</v>
      </c>
      <c r="E823" s="9" t="str">
        <f aca="false">Raw_Volunteers!C823</f>
        <v>Elizabeth Jackson</v>
      </c>
      <c r="F823" s="9" t="str">
        <f aca="false">Raw_Volunteers!D823</f>
        <v>09/28/2024</v>
      </c>
      <c r="G823" s="9" t="str">
        <f aca="false">PROPER(TRIM(Raw_Volunteers!E823))</f>
        <v>Mobile Distribution Driver</v>
      </c>
      <c r="H823" s="9" t="str">
        <f aca="false">Raw_Volunteers!F823</f>
        <v>Community Center Site</v>
      </c>
      <c r="I823" s="9" t="n">
        <f aca="false">IF(Raw_Volunteers!G823="",ROUND(AVERAGE(Raw_Volunteers!$G$2:$G$926),1),Raw_Volunteers!G823)</f>
        <v>4</v>
      </c>
    </row>
    <row r="824" customFormat="false" ht="15" hidden="false" customHeight="true" outlineLevel="0" collapsed="false">
      <c r="A824" s="9" t="str">
        <f aca="false">Raw_Volunteers!A824</f>
        <v>V2178</v>
      </c>
      <c r="B824" s="9" t="str">
        <f aca="false">IF(COUNTIFS(Raw_Volunteers!$A$2:$A$926,Raw_Volunteers!A824,Raw_Volunteers!$D$2:$D$926,Raw_Volunteers!D824,Raw_Volunteers!$E$2:$E$926,Raw_Volunteers!E824,Raw_Volunteers!$G$2:$G$926,Raw_Volunteers!G824)&gt;1,"Possible Duplicate","")</f>
        <v/>
      </c>
      <c r="C824" s="9" t="n">
        <f aca="false">Raw_Volunteers!B824</f>
        <v>0</v>
      </c>
      <c r="D824" s="9" t="str">
        <f aca="false">IF(C824="","No","Yes")</f>
        <v>No</v>
      </c>
      <c r="E824" s="9" t="str">
        <f aca="false">Raw_Volunteers!C824</f>
        <v>Elizabeth Jackson</v>
      </c>
      <c r="F824" s="9" t="str">
        <f aca="false">Raw_Volunteers!D824</f>
        <v>08/22/2025</v>
      </c>
      <c r="G824" s="9" t="str">
        <f aca="false">PROPER(TRIM(Raw_Volunteers!E824))</f>
        <v>Warehouse Loading</v>
      </c>
      <c r="H824" s="9" t="str">
        <f aca="false">Raw_Volunteers!F824</f>
        <v>Mobile Unit - Route A</v>
      </c>
      <c r="I824" s="9" t="n">
        <f aca="false">IF(Raw_Volunteers!G824="",ROUND(AVERAGE(Raw_Volunteers!$G$2:$G$926),1),Raw_Volunteers!G824)</f>
        <v>3</v>
      </c>
    </row>
    <row r="825" customFormat="false" ht="15" hidden="false" customHeight="true" outlineLevel="0" collapsed="false">
      <c r="A825" s="9" t="str">
        <f aca="false">Raw_Volunteers!A825</f>
        <v>V2179</v>
      </c>
      <c r="B825" s="9" t="str">
        <f aca="false">IF(COUNTIFS(Raw_Volunteers!$A$2:$A$926,Raw_Volunteers!A825,Raw_Volunteers!$D$2:$D$926,Raw_Volunteers!D825,Raw_Volunteers!$E$2:$E$926,Raw_Volunteers!E825,Raw_Volunteers!$G$2:$G$926,Raw_Volunteers!G825)&gt;1,"Possible Duplicate","")</f>
        <v/>
      </c>
      <c r="C825" s="9" t="n">
        <f aca="false">Raw_Volunteers!B825</f>
        <v>0</v>
      </c>
      <c r="D825" s="9" t="str">
        <f aca="false">IF(C825="","No","Yes")</f>
        <v>No</v>
      </c>
      <c r="E825" s="9" t="str">
        <f aca="false">Raw_Volunteers!C825</f>
        <v>Matthew Thomas</v>
      </c>
      <c r="F825" s="9" t="str">
        <f aca="false">Raw_Volunteers!D825</f>
        <v>03/12/2024</v>
      </c>
      <c r="G825" s="9" t="str">
        <f aca="false">PROPER(TRIM(Raw_Volunteers!E825))</f>
        <v>Front Desk Greeter</v>
      </c>
      <c r="H825" s="9" t="str">
        <f aca="false">Raw_Volunteers!F825</f>
        <v>Downtown Pantry</v>
      </c>
      <c r="I825" s="9" t="n">
        <f aca="false">IF(Raw_Volunteers!G825="",ROUND(AVERAGE(Raw_Volunteers!$G$2:$G$926),1),Raw_Volunteers!G825)</f>
        <v>2.9</v>
      </c>
    </row>
    <row r="826" customFormat="false" ht="15" hidden="false" customHeight="true" outlineLevel="0" collapsed="false">
      <c r="A826" s="9" t="str">
        <f aca="false">Raw_Volunteers!A826</f>
        <v>V2179</v>
      </c>
      <c r="B826" s="9" t="str">
        <f aca="false">IF(COUNTIFS(Raw_Volunteers!$A$2:$A$926,Raw_Volunteers!A826,Raw_Volunteers!$D$2:$D$926,Raw_Volunteers!D826,Raw_Volunteers!$E$2:$E$926,Raw_Volunteers!E826,Raw_Volunteers!$G$2:$G$926,Raw_Volunteers!G826)&gt;1,"Possible Duplicate","")</f>
        <v/>
      </c>
      <c r="C826" s="9" t="n">
        <f aca="false">Raw_Volunteers!B826</f>
        <v>0</v>
      </c>
      <c r="D826" s="9" t="str">
        <f aca="false">IF(C826="","No","Yes")</f>
        <v>No</v>
      </c>
      <c r="E826" s="9" t="str">
        <f aca="false">Raw_Volunteers!C826</f>
        <v>Matthew Thomas</v>
      </c>
      <c r="F826" s="9" t="str">
        <f aca="false">Raw_Volunteers!D826</f>
        <v>11/03/2024</v>
      </c>
      <c r="G826" s="9" t="str">
        <f aca="false">PROPER(TRIM(Raw_Volunteers!E826))</f>
        <v>Warehouse Loading</v>
      </c>
      <c r="H826" s="9" t="str">
        <f aca="false">Raw_Volunteers!F826</f>
        <v>Downtown Pantry</v>
      </c>
      <c r="I826" s="9" t="n">
        <f aca="false">IF(Raw_Volunteers!G826="",ROUND(AVERAGE(Raw_Volunteers!$G$2:$G$926),1),Raw_Volunteers!G826)</f>
        <v>3</v>
      </c>
    </row>
    <row r="827" customFormat="false" ht="15" hidden="false" customHeight="true" outlineLevel="0" collapsed="false">
      <c r="A827" s="9" t="str">
        <f aca="false">Raw_Volunteers!A827</f>
        <v>V2179</v>
      </c>
      <c r="B827" s="9" t="str">
        <f aca="false">IF(COUNTIFS(Raw_Volunteers!$A$2:$A$926,Raw_Volunteers!A827,Raw_Volunteers!$D$2:$D$926,Raw_Volunteers!D827,Raw_Volunteers!$E$2:$E$926,Raw_Volunteers!E827,Raw_Volunteers!$G$2:$G$926,Raw_Volunteers!G827)&gt;1,"Possible Duplicate","")</f>
        <v/>
      </c>
      <c r="C827" s="9" t="n">
        <f aca="false">Raw_Volunteers!B827</f>
        <v>0</v>
      </c>
      <c r="D827" s="9" t="str">
        <f aca="false">IF(C827="","No","Yes")</f>
        <v>No</v>
      </c>
      <c r="E827" s="9" t="str">
        <f aca="false">Raw_Volunteers!C827</f>
        <v>Matthew Thomas</v>
      </c>
      <c r="F827" s="9" t="str">
        <f aca="false">Raw_Volunteers!D827</f>
        <v>05/30/2024</v>
      </c>
      <c r="G827" s="9" t="str">
        <f aca="false">PROPER(TRIM(Raw_Volunteers!E827))</f>
        <v>Mobile Distribution Driver</v>
      </c>
      <c r="H827" s="9" t="str">
        <f aca="false">Raw_Volunteers!F827</f>
        <v>Community Center Site</v>
      </c>
      <c r="I827" s="9" t="n">
        <f aca="false">IF(Raw_Volunteers!G827="",ROUND(AVERAGE(Raw_Volunteers!$G$2:$G$926),1),Raw_Volunteers!G827)</f>
        <v>3</v>
      </c>
    </row>
    <row r="828" customFormat="false" ht="15" hidden="false" customHeight="true" outlineLevel="0" collapsed="false">
      <c r="A828" s="9" t="str">
        <f aca="false">Raw_Volunteers!A828</f>
        <v>V2179</v>
      </c>
      <c r="B828" s="9" t="str">
        <f aca="false">IF(COUNTIFS(Raw_Volunteers!$A$2:$A$926,Raw_Volunteers!A828,Raw_Volunteers!$D$2:$D$926,Raw_Volunteers!D828,Raw_Volunteers!$E$2:$E$926,Raw_Volunteers!E828,Raw_Volunteers!$G$2:$G$926,Raw_Volunteers!G828)&gt;1,"Possible Duplicate","")</f>
        <v/>
      </c>
      <c r="C828" s="9" t="n">
        <f aca="false">Raw_Volunteers!B828</f>
        <v>0</v>
      </c>
      <c r="D828" s="9" t="str">
        <f aca="false">IF(C828="","No","Yes")</f>
        <v>No</v>
      </c>
      <c r="E828" s="9" t="str">
        <f aca="false">Raw_Volunteers!C828</f>
        <v>Matthew Thomas</v>
      </c>
      <c r="F828" s="9" t="str">
        <f aca="false">Raw_Volunteers!D828</f>
        <v>06/24/2024</v>
      </c>
      <c r="G828" s="9" t="str">
        <f aca="false">PROPER(TRIM(Raw_Volunteers!E828))</f>
        <v>Food Sorting</v>
      </c>
      <c r="H828" s="9" t="str">
        <f aca="false">Raw_Volunteers!F828</f>
        <v>Community Center Site</v>
      </c>
      <c r="I828" s="9" t="n">
        <f aca="false">IF(Raw_Volunteers!G828="",ROUND(AVERAGE(Raw_Volunteers!$G$2:$G$926),1),Raw_Volunteers!G828)</f>
        <v>2</v>
      </c>
    </row>
    <row r="829" customFormat="false" ht="15" hidden="false" customHeight="true" outlineLevel="0" collapsed="false">
      <c r="A829" s="9" t="str">
        <f aca="false">Raw_Volunteers!A829</f>
        <v>V2179</v>
      </c>
      <c r="B829" s="9" t="str">
        <f aca="false">IF(COUNTIFS(Raw_Volunteers!$A$2:$A$926,Raw_Volunteers!A829,Raw_Volunteers!$D$2:$D$926,Raw_Volunteers!D829,Raw_Volunteers!$E$2:$E$926,Raw_Volunteers!E829,Raw_Volunteers!$G$2:$G$926,Raw_Volunteers!G829)&gt;1,"Possible Duplicate","")</f>
        <v/>
      </c>
      <c r="C829" s="9" t="n">
        <f aca="false">Raw_Volunteers!B829</f>
        <v>0</v>
      </c>
      <c r="D829" s="9" t="str">
        <f aca="false">IF(C829="","No","Yes")</f>
        <v>No</v>
      </c>
      <c r="E829" s="9" t="str">
        <f aca="false">Raw_Volunteers!C829</f>
        <v>Matthew Thomas</v>
      </c>
      <c r="F829" s="9" t="str">
        <f aca="false">Raw_Volunteers!D829</f>
        <v>10/30/2025</v>
      </c>
      <c r="G829" s="9" t="str">
        <f aca="false">PROPER(TRIM(Raw_Volunteers!E829))</f>
        <v>Front Desk Greeter</v>
      </c>
      <c r="H829" s="9" t="str">
        <f aca="false">Raw_Volunteers!F829</f>
        <v>Mobile Unit - Route A</v>
      </c>
      <c r="I829" s="9" t="n">
        <f aca="false">IF(Raw_Volunteers!G829="",ROUND(AVERAGE(Raw_Volunteers!$G$2:$G$926),1),Raw_Volunteers!G829)</f>
        <v>2</v>
      </c>
    </row>
    <row r="830" customFormat="false" ht="15" hidden="false" customHeight="true" outlineLevel="0" collapsed="false">
      <c r="A830" s="9" t="str">
        <f aca="false">Raw_Volunteers!A830</f>
        <v>V2180</v>
      </c>
      <c r="B830" s="9" t="str">
        <f aca="false">IF(COUNTIFS(Raw_Volunteers!$A$2:$A$926,Raw_Volunteers!A830,Raw_Volunteers!$D$2:$D$926,Raw_Volunteers!D830,Raw_Volunteers!$E$2:$E$926,Raw_Volunteers!E830,Raw_Volunteers!$G$2:$G$926,Raw_Volunteers!G830)&gt;1,"Possible Duplicate","")</f>
        <v/>
      </c>
      <c r="C830" s="9" t="n">
        <f aca="false">Raw_Volunteers!B830</f>
        <v>0</v>
      </c>
      <c r="D830" s="9" t="str">
        <f aca="false">IF(C830="","No","Yes")</f>
        <v>No</v>
      </c>
      <c r="E830" s="9" t="str">
        <f aca="false">Raw_Volunteers!C830</f>
        <v>Joshua Davis</v>
      </c>
      <c r="F830" s="9" t="str">
        <f aca="false">Raw_Volunteers!D830</f>
        <v>01/08/2025</v>
      </c>
      <c r="G830" s="9" t="str">
        <f aca="false">PROPER(TRIM(Raw_Volunteers!E830))</f>
        <v>Client Intake Assistant</v>
      </c>
      <c r="H830" s="9" t="str">
        <f aca="false">Raw_Volunteers!F830</f>
        <v>Community Center Site</v>
      </c>
      <c r="I830" s="9" t="n">
        <f aca="false">IF(Raw_Volunteers!G830="",ROUND(AVERAGE(Raw_Volunteers!$G$2:$G$926),1),Raw_Volunteers!G830)</f>
        <v>2</v>
      </c>
    </row>
    <row r="831" customFormat="false" ht="15" hidden="false" customHeight="true" outlineLevel="0" collapsed="false">
      <c r="A831" s="9" t="str">
        <f aca="false">Raw_Volunteers!A831</f>
        <v>V2180</v>
      </c>
      <c r="B831" s="9" t="str">
        <f aca="false">IF(COUNTIFS(Raw_Volunteers!$A$2:$A$926,Raw_Volunteers!A831,Raw_Volunteers!$D$2:$D$926,Raw_Volunteers!D831,Raw_Volunteers!$E$2:$E$926,Raw_Volunteers!E831,Raw_Volunteers!$G$2:$G$926,Raw_Volunteers!G831)&gt;1,"Possible Duplicate","")</f>
        <v/>
      </c>
      <c r="C831" s="9" t="n">
        <f aca="false">Raw_Volunteers!B831</f>
        <v>0</v>
      </c>
      <c r="D831" s="9" t="str">
        <f aca="false">IF(C831="","No","Yes")</f>
        <v>No</v>
      </c>
      <c r="E831" s="9" t="str">
        <f aca="false">Raw_Volunteers!C831</f>
        <v>Joshua Davis</v>
      </c>
      <c r="F831" s="9" t="str">
        <f aca="false">Raw_Volunteers!D831</f>
        <v>12/05/2024</v>
      </c>
      <c r="G831" s="9" t="str">
        <f aca="false">PROPER(TRIM(Raw_Volunteers!E831))</f>
        <v>Event Setup</v>
      </c>
      <c r="H831" s="9" t="str">
        <f aca="false">Raw_Volunteers!F831</f>
        <v>Community Center Site</v>
      </c>
      <c r="I831" s="9" t="n">
        <f aca="false">IF(Raw_Volunteers!G831="",ROUND(AVERAGE(Raw_Volunteers!$G$2:$G$926),1),Raw_Volunteers!G831)</f>
        <v>3</v>
      </c>
    </row>
    <row r="832" customFormat="false" ht="15" hidden="false" customHeight="true" outlineLevel="0" collapsed="false">
      <c r="A832" s="9" t="str">
        <f aca="false">Raw_Volunteers!A832</f>
        <v>V2180</v>
      </c>
      <c r="B832" s="9" t="str">
        <f aca="false">IF(COUNTIFS(Raw_Volunteers!$A$2:$A$926,Raw_Volunteers!A832,Raw_Volunteers!$D$2:$D$926,Raw_Volunteers!D832,Raw_Volunteers!$E$2:$E$926,Raw_Volunteers!E832,Raw_Volunteers!$G$2:$G$926,Raw_Volunteers!G832)&gt;1,"Possible Duplicate","")</f>
        <v/>
      </c>
      <c r="C832" s="9" t="n">
        <f aca="false">Raw_Volunteers!B832</f>
        <v>0</v>
      </c>
      <c r="D832" s="9" t="str">
        <f aca="false">IF(C832="","No","Yes")</f>
        <v>No</v>
      </c>
      <c r="E832" s="9" t="str">
        <f aca="false">Raw_Volunteers!C832</f>
        <v>Joshua Davis</v>
      </c>
      <c r="F832" s="9" t="str">
        <f aca="false">Raw_Volunteers!D832</f>
        <v>01/29/2024</v>
      </c>
      <c r="G832" s="9" t="str">
        <f aca="false">PROPER(TRIM(Raw_Volunteers!E832))</f>
        <v>Client Intake Assistant</v>
      </c>
      <c r="H832" s="9" t="str">
        <f aca="false">Raw_Volunteers!F832</f>
        <v>Main Warehouse</v>
      </c>
      <c r="I832" s="9" t="n">
        <f aca="false">IF(Raw_Volunteers!G832="",ROUND(AVERAGE(Raw_Volunteers!$G$2:$G$926),1),Raw_Volunteers!G832)</f>
        <v>4</v>
      </c>
    </row>
    <row r="833" customFormat="false" ht="15" hidden="false" customHeight="true" outlineLevel="0" collapsed="false">
      <c r="A833" s="9" t="str">
        <f aca="false">Raw_Volunteers!A833</f>
        <v>V2180</v>
      </c>
      <c r="B833" s="9" t="str">
        <f aca="false">IF(COUNTIFS(Raw_Volunteers!$A$2:$A$926,Raw_Volunteers!A833,Raw_Volunteers!$D$2:$D$926,Raw_Volunteers!D833,Raw_Volunteers!$E$2:$E$926,Raw_Volunteers!E833,Raw_Volunteers!$G$2:$G$926,Raw_Volunteers!G833)&gt;1,"Possible Duplicate","")</f>
        <v/>
      </c>
      <c r="C833" s="9" t="n">
        <f aca="false">Raw_Volunteers!B833</f>
        <v>0</v>
      </c>
      <c r="D833" s="9" t="str">
        <f aca="false">IF(C833="","No","Yes")</f>
        <v>No</v>
      </c>
      <c r="E833" s="9" t="str">
        <f aca="false">Raw_Volunteers!C833</f>
        <v>Joshua Davis</v>
      </c>
      <c r="F833" s="9" t="str">
        <f aca="false">Raw_Volunteers!D833</f>
        <v>01/14/2025</v>
      </c>
      <c r="G833" s="9" t="str">
        <f aca="false">PROPER(TRIM(Raw_Volunteers!E833))</f>
        <v>Event Setup</v>
      </c>
      <c r="H833" s="9" t="str">
        <f aca="false">Raw_Volunteers!F833</f>
        <v>Community Center Site</v>
      </c>
      <c r="I833" s="9" t="n">
        <f aca="false">IF(Raw_Volunteers!G833="",ROUND(AVERAGE(Raw_Volunteers!$G$2:$G$926),1),Raw_Volunteers!G833)</f>
        <v>3</v>
      </c>
    </row>
    <row r="834" customFormat="false" ht="15" hidden="false" customHeight="true" outlineLevel="0" collapsed="false">
      <c r="A834" s="9" t="str">
        <f aca="false">Raw_Volunteers!A834</f>
        <v>V2181</v>
      </c>
      <c r="B834" s="9" t="str">
        <f aca="false">IF(COUNTIFS(Raw_Volunteers!$A$2:$A$926,Raw_Volunteers!A834,Raw_Volunteers!$D$2:$D$926,Raw_Volunteers!D834,Raw_Volunteers!$E$2:$E$926,Raw_Volunteers!E834,Raw_Volunteers!$G$2:$G$926,Raw_Volunteers!G834)&gt;1,"Possible Duplicate","")</f>
        <v/>
      </c>
      <c r="C834" s="9" t="n">
        <f aca="false">Raw_Volunteers!B834</f>
        <v>0</v>
      </c>
      <c r="D834" s="9" t="str">
        <f aca="false">IF(C834="","No","Yes")</f>
        <v>No</v>
      </c>
      <c r="E834" s="9" t="str">
        <f aca="false">Raw_Volunteers!C834</f>
        <v>Donald Miller</v>
      </c>
      <c r="F834" s="9" t="str">
        <f aca="false">Raw_Volunteers!D834</f>
        <v>04/30/2024</v>
      </c>
      <c r="G834" s="9" t="str">
        <f aca="false">PROPER(TRIM(Raw_Volunteers!E834))</f>
        <v>Food Sorting</v>
      </c>
      <c r="H834" s="9" t="str">
        <f aca="false">Raw_Volunteers!F834</f>
        <v>Community Center Site</v>
      </c>
      <c r="I834" s="9" t="n">
        <f aca="false">IF(Raw_Volunteers!G834="",ROUND(AVERAGE(Raw_Volunteers!$G$2:$G$926),1),Raw_Volunteers!G834)</f>
        <v>2</v>
      </c>
    </row>
    <row r="835" customFormat="false" ht="15" hidden="false" customHeight="true" outlineLevel="0" collapsed="false">
      <c r="A835" s="9" t="str">
        <f aca="false">Raw_Volunteers!A835</f>
        <v>V2181</v>
      </c>
      <c r="B835" s="9" t="str">
        <f aca="false">IF(COUNTIFS(Raw_Volunteers!$A$2:$A$926,Raw_Volunteers!A835,Raw_Volunteers!$D$2:$D$926,Raw_Volunteers!D835,Raw_Volunteers!$E$2:$E$926,Raw_Volunteers!E835,Raw_Volunteers!$G$2:$G$926,Raw_Volunteers!G835)&gt;1,"Possible Duplicate","")</f>
        <v/>
      </c>
      <c r="C835" s="9" t="n">
        <f aca="false">Raw_Volunteers!B835</f>
        <v>0</v>
      </c>
      <c r="D835" s="9" t="str">
        <f aca="false">IF(C835="","No","Yes")</f>
        <v>No</v>
      </c>
      <c r="E835" s="9" t="str">
        <f aca="false">Raw_Volunteers!C835</f>
        <v>Donald Miller</v>
      </c>
      <c r="F835" s="9" t="str">
        <f aca="false">Raw_Volunteers!D835</f>
        <v>10/13/2024</v>
      </c>
      <c r="G835" s="9" t="str">
        <f aca="false">PROPER(TRIM(Raw_Volunteers!E835))</f>
        <v>Client Intake Assistant</v>
      </c>
      <c r="H835" s="9" t="str">
        <f aca="false">Raw_Volunteers!F835</f>
        <v>Main Warehouse</v>
      </c>
      <c r="I835" s="9" t="n">
        <f aca="false">IF(Raw_Volunteers!G835="",ROUND(AVERAGE(Raw_Volunteers!$G$2:$G$926),1),Raw_Volunteers!G835)</f>
        <v>2</v>
      </c>
    </row>
    <row r="836" customFormat="false" ht="15" hidden="false" customHeight="true" outlineLevel="0" collapsed="false">
      <c r="A836" s="9" t="str">
        <f aca="false">Raw_Volunteers!A836</f>
        <v>V2181</v>
      </c>
      <c r="B836" s="9" t="str">
        <f aca="false">IF(COUNTIFS(Raw_Volunteers!$A$2:$A$926,Raw_Volunteers!A836,Raw_Volunteers!$D$2:$D$926,Raw_Volunteers!D836,Raw_Volunteers!$E$2:$E$926,Raw_Volunteers!E836,Raw_Volunteers!$G$2:$G$926,Raw_Volunteers!G836)&gt;1,"Possible Duplicate","")</f>
        <v/>
      </c>
      <c r="C836" s="9" t="n">
        <f aca="false">Raw_Volunteers!B836</f>
        <v>0</v>
      </c>
      <c r="D836" s="9" t="str">
        <f aca="false">IF(C836="","No","Yes")</f>
        <v>No</v>
      </c>
      <c r="E836" s="9" t="str">
        <f aca="false">Raw_Volunteers!C836</f>
        <v>Donald Miller</v>
      </c>
      <c r="F836" s="9" t="str">
        <f aca="false">Raw_Volunteers!D836</f>
        <v>06/08/2025</v>
      </c>
      <c r="G836" s="9" t="str">
        <f aca="false">PROPER(TRIM(Raw_Volunteers!E836))</f>
        <v>Event Setup</v>
      </c>
      <c r="H836" s="9" t="str">
        <f aca="false">Raw_Volunteers!F836</f>
        <v>Mobile Unit - Route B</v>
      </c>
      <c r="I836" s="9" t="n">
        <f aca="false">IF(Raw_Volunteers!G836="",ROUND(AVERAGE(Raw_Volunteers!$G$2:$G$926),1),Raw_Volunteers!G836)</f>
        <v>2</v>
      </c>
    </row>
    <row r="837" customFormat="false" ht="15" hidden="false" customHeight="true" outlineLevel="0" collapsed="false">
      <c r="A837" s="9" t="str">
        <f aca="false">Raw_Volunteers!A837</f>
        <v>V2182</v>
      </c>
      <c r="B837" s="9" t="str">
        <f aca="false">IF(COUNTIFS(Raw_Volunteers!$A$2:$A$926,Raw_Volunteers!A837,Raw_Volunteers!$D$2:$D$926,Raw_Volunteers!D837,Raw_Volunteers!$E$2:$E$926,Raw_Volunteers!E837,Raw_Volunteers!$G$2:$G$926,Raw_Volunteers!G837)&gt;1,"Possible Duplicate","")</f>
        <v/>
      </c>
      <c r="C837" s="9" t="n">
        <f aca="false">Raw_Volunteers!B837</f>
        <v>0</v>
      </c>
      <c r="D837" s="9" t="str">
        <f aca="false">IF(C837="","No","Yes")</f>
        <v>No</v>
      </c>
      <c r="E837" s="9" t="str">
        <f aca="false">Raw_Volunteers!C837</f>
        <v>Margaret Clark</v>
      </c>
      <c r="F837" s="9" t="str">
        <f aca="false">Raw_Volunteers!D837</f>
        <v>12/11/2024</v>
      </c>
      <c r="G837" s="9" t="str">
        <f aca="false">PROPER(TRIM(Raw_Volunteers!E837))</f>
        <v>Client Intake Assistant</v>
      </c>
      <c r="H837" s="9" t="str">
        <f aca="false">Raw_Volunteers!F837</f>
        <v>Mobile Unit - Route B</v>
      </c>
      <c r="I837" s="9" t="n">
        <f aca="false">IF(Raw_Volunteers!G837="",ROUND(AVERAGE(Raw_Volunteers!$G$2:$G$926),1),Raw_Volunteers!G837)</f>
        <v>3</v>
      </c>
    </row>
    <row r="838" customFormat="false" ht="15" hidden="false" customHeight="true" outlineLevel="0" collapsed="false">
      <c r="A838" s="9" t="str">
        <f aca="false">Raw_Volunteers!A838</f>
        <v>V2182</v>
      </c>
      <c r="B838" s="9" t="str">
        <f aca="false">IF(COUNTIFS(Raw_Volunteers!$A$2:$A$926,Raw_Volunteers!A838,Raw_Volunteers!$D$2:$D$926,Raw_Volunteers!D838,Raw_Volunteers!$E$2:$E$926,Raw_Volunteers!E838,Raw_Volunteers!$G$2:$G$926,Raw_Volunteers!G838)&gt;1,"Possible Duplicate","")</f>
        <v/>
      </c>
      <c r="C838" s="9" t="n">
        <f aca="false">Raw_Volunteers!B838</f>
        <v>0</v>
      </c>
      <c r="D838" s="9" t="str">
        <f aca="false">IF(C838="","No","Yes")</f>
        <v>No</v>
      </c>
      <c r="E838" s="9" t="str">
        <f aca="false">Raw_Volunteers!C838</f>
        <v>Margaret Clark</v>
      </c>
      <c r="F838" s="9" t="str">
        <f aca="false">Raw_Volunteers!D838</f>
        <v>01/31/2024</v>
      </c>
      <c r="G838" s="9" t="str">
        <f aca="false">PROPER(TRIM(Raw_Volunteers!E838))</f>
        <v>Warehouse Loading</v>
      </c>
      <c r="H838" s="9" t="str">
        <f aca="false">Raw_Volunteers!F838</f>
        <v>Mobile Unit - Route A</v>
      </c>
      <c r="I838" s="9" t="n">
        <f aca="false">IF(Raw_Volunteers!G838="",ROUND(AVERAGE(Raw_Volunteers!$G$2:$G$926),1),Raw_Volunteers!G838)</f>
        <v>4</v>
      </c>
    </row>
    <row r="839" customFormat="false" ht="15" hidden="false" customHeight="true" outlineLevel="0" collapsed="false">
      <c r="A839" s="9" t="str">
        <f aca="false">Raw_Volunteers!A839</f>
        <v>V2182</v>
      </c>
      <c r="B839" s="9" t="str">
        <f aca="false">IF(COUNTIFS(Raw_Volunteers!$A$2:$A$926,Raw_Volunteers!A839,Raw_Volunteers!$D$2:$D$926,Raw_Volunteers!D839,Raw_Volunteers!$E$2:$E$926,Raw_Volunteers!E839,Raw_Volunteers!$G$2:$G$926,Raw_Volunteers!G839)&gt;1,"Possible Duplicate","")</f>
        <v/>
      </c>
      <c r="C839" s="9" t="n">
        <f aca="false">Raw_Volunteers!B839</f>
        <v>0</v>
      </c>
      <c r="D839" s="9" t="str">
        <f aca="false">IF(C839="","No","Yes")</f>
        <v>No</v>
      </c>
      <c r="E839" s="9" t="str">
        <f aca="false">Raw_Volunteers!C839</f>
        <v>Margaret Clark</v>
      </c>
      <c r="F839" s="9" t="str">
        <f aca="false">Raw_Volunteers!D839</f>
        <v>04/03/2025</v>
      </c>
      <c r="G839" s="9" t="str">
        <f aca="false">PROPER(TRIM(Raw_Volunteers!E839))</f>
        <v>Client Intake Assistant</v>
      </c>
      <c r="H839" s="9" t="str">
        <f aca="false">Raw_Volunteers!F839</f>
        <v>Mobile Unit - Route B</v>
      </c>
      <c r="I839" s="9" t="n">
        <f aca="false">IF(Raw_Volunteers!G839="",ROUND(AVERAGE(Raw_Volunteers!$G$2:$G$926),1),Raw_Volunteers!G839)</f>
        <v>2.9</v>
      </c>
    </row>
    <row r="840" customFormat="false" ht="15" hidden="false" customHeight="true" outlineLevel="0" collapsed="false">
      <c r="A840" s="9" t="str">
        <f aca="false">Raw_Volunteers!A840</f>
        <v>V2182</v>
      </c>
      <c r="B840" s="9" t="str">
        <f aca="false">IF(COUNTIFS(Raw_Volunteers!$A$2:$A$926,Raw_Volunteers!A840,Raw_Volunteers!$D$2:$D$926,Raw_Volunteers!D840,Raw_Volunteers!$E$2:$E$926,Raw_Volunteers!E840,Raw_Volunteers!$G$2:$G$926,Raw_Volunteers!G840)&gt;1,"Possible Duplicate","")</f>
        <v/>
      </c>
      <c r="C840" s="9" t="n">
        <f aca="false">Raw_Volunteers!B840</f>
        <v>0</v>
      </c>
      <c r="D840" s="9" t="str">
        <f aca="false">IF(C840="","No","Yes")</f>
        <v>No</v>
      </c>
      <c r="E840" s="9" t="str">
        <f aca="false">Raw_Volunteers!C840</f>
        <v>Margaret Clark</v>
      </c>
      <c r="F840" s="9" t="str">
        <f aca="false">Raw_Volunteers!D840</f>
        <v>02/17/2025</v>
      </c>
      <c r="G840" s="9" t="str">
        <f aca="false">PROPER(TRIM(Raw_Volunteers!E840))</f>
        <v>Pantry Stocking</v>
      </c>
      <c r="H840" s="9" t="str">
        <f aca="false">Raw_Volunteers!F840</f>
        <v>Downtown Pantry</v>
      </c>
      <c r="I840" s="9" t="n">
        <f aca="false">IF(Raw_Volunteers!G840="",ROUND(AVERAGE(Raw_Volunteers!$G$2:$G$926),1),Raw_Volunteers!G840)</f>
        <v>2</v>
      </c>
    </row>
    <row r="841" customFormat="false" ht="15" hidden="false" customHeight="true" outlineLevel="0" collapsed="false">
      <c r="A841" s="9" t="str">
        <f aca="false">Raw_Volunteers!A841</f>
        <v>V2182</v>
      </c>
      <c r="B841" s="9" t="str">
        <f aca="false">IF(COUNTIFS(Raw_Volunteers!$A$2:$A$926,Raw_Volunteers!A841,Raw_Volunteers!$D$2:$D$926,Raw_Volunteers!D841,Raw_Volunteers!$E$2:$E$926,Raw_Volunteers!E841,Raw_Volunteers!$G$2:$G$926,Raw_Volunteers!G841)&gt;1,"Possible Duplicate","")</f>
        <v/>
      </c>
      <c r="C841" s="9" t="n">
        <f aca="false">Raw_Volunteers!B841</f>
        <v>0</v>
      </c>
      <c r="D841" s="9" t="str">
        <f aca="false">IF(C841="","No","Yes")</f>
        <v>No</v>
      </c>
      <c r="E841" s="9" t="str">
        <f aca="false">Raw_Volunteers!C841</f>
        <v>Margaret Clark</v>
      </c>
      <c r="F841" s="9" t="str">
        <f aca="false">Raw_Volunteers!D841</f>
        <v>05/23/2026</v>
      </c>
      <c r="G841" s="9" t="str">
        <f aca="false">PROPER(TRIM(Raw_Volunteers!E841))</f>
        <v>Food Sorting</v>
      </c>
      <c r="H841" s="9" t="str">
        <f aca="false">Raw_Volunteers!F841</f>
        <v>Main Warehouse</v>
      </c>
      <c r="I841" s="9" t="n">
        <f aca="false">IF(Raw_Volunteers!G841="",ROUND(AVERAGE(Raw_Volunteers!$G$2:$G$926),1),Raw_Volunteers!G841)</f>
        <v>2.9</v>
      </c>
    </row>
    <row r="842" customFormat="false" ht="15" hidden="false" customHeight="true" outlineLevel="0" collapsed="false">
      <c r="A842" s="9" t="str">
        <f aca="false">Raw_Volunteers!A842</f>
        <v>V2182</v>
      </c>
      <c r="B842" s="9" t="str">
        <f aca="false">IF(COUNTIFS(Raw_Volunteers!$A$2:$A$926,Raw_Volunteers!A842,Raw_Volunteers!$D$2:$D$926,Raw_Volunteers!D842,Raw_Volunteers!$E$2:$E$926,Raw_Volunteers!E842,Raw_Volunteers!$G$2:$G$926,Raw_Volunteers!G842)&gt;1,"Possible Duplicate","")</f>
        <v/>
      </c>
      <c r="C842" s="9" t="n">
        <f aca="false">Raw_Volunteers!B842</f>
        <v>0</v>
      </c>
      <c r="D842" s="9" t="str">
        <f aca="false">IF(C842="","No","Yes")</f>
        <v>No</v>
      </c>
      <c r="E842" s="9" t="str">
        <f aca="false">Raw_Volunteers!C842</f>
        <v>Margaret Clark</v>
      </c>
      <c r="F842" s="9" t="str">
        <f aca="false">Raw_Volunteers!D842</f>
        <v>01/10/2024</v>
      </c>
      <c r="G842" s="9" t="str">
        <f aca="false">PROPER(TRIM(Raw_Volunteers!E842))</f>
        <v>Warehouse Loading</v>
      </c>
      <c r="H842" s="9" t="str">
        <f aca="false">Raw_Volunteers!F842</f>
        <v>Community Center Site</v>
      </c>
      <c r="I842" s="9" t="n">
        <f aca="false">IF(Raw_Volunteers!G842="",ROUND(AVERAGE(Raw_Volunteers!$G$2:$G$926),1),Raw_Volunteers!G842)</f>
        <v>2</v>
      </c>
    </row>
    <row r="843" customFormat="false" ht="15" hidden="false" customHeight="true" outlineLevel="0" collapsed="false">
      <c r="A843" s="9" t="str">
        <f aca="false">Raw_Volunteers!A843</f>
        <v>V2183</v>
      </c>
      <c r="B843" s="9" t="str">
        <f aca="false">IF(COUNTIFS(Raw_Volunteers!$A$2:$A$926,Raw_Volunteers!A843,Raw_Volunteers!$D$2:$D$926,Raw_Volunteers!D843,Raw_Volunteers!$E$2:$E$926,Raw_Volunteers!E843,Raw_Volunteers!$G$2:$G$926,Raw_Volunteers!G843)&gt;1,"Possible Duplicate","")</f>
        <v/>
      </c>
      <c r="C843" s="9" t="n">
        <f aca="false">Raw_Volunteers!B843</f>
        <v>0</v>
      </c>
      <c r="D843" s="9" t="str">
        <f aca="false">IF(C843="","No","Yes")</f>
        <v>No</v>
      </c>
      <c r="E843" s="9" t="str">
        <f aca="false">Raw_Volunteers!C843</f>
        <v>Steven Allen</v>
      </c>
      <c r="F843" s="9" t="str">
        <f aca="false">Raw_Volunteers!D843</f>
        <v>04/27/2026</v>
      </c>
      <c r="G843" s="9" t="str">
        <f aca="false">PROPER(TRIM(Raw_Volunteers!E843))</f>
        <v>Pantry Stocking</v>
      </c>
      <c r="H843" s="9" t="str">
        <f aca="false">Raw_Volunteers!F843</f>
        <v>Mobile Unit - Route B</v>
      </c>
      <c r="I843" s="9" t="n">
        <f aca="false">IF(Raw_Volunteers!G843="",ROUND(AVERAGE(Raw_Volunteers!$G$2:$G$926),1),Raw_Volunteers!G843)</f>
        <v>3</v>
      </c>
    </row>
    <row r="844" customFormat="false" ht="15" hidden="false" customHeight="true" outlineLevel="0" collapsed="false">
      <c r="A844" s="9" t="str">
        <f aca="false">Raw_Volunteers!A844</f>
        <v>V2183</v>
      </c>
      <c r="B844" s="9" t="str">
        <f aca="false">IF(COUNTIFS(Raw_Volunteers!$A$2:$A$926,Raw_Volunteers!A844,Raw_Volunteers!$D$2:$D$926,Raw_Volunteers!D844,Raw_Volunteers!$E$2:$E$926,Raw_Volunteers!E844,Raw_Volunteers!$G$2:$G$926,Raw_Volunteers!G844)&gt;1,"Possible Duplicate","")</f>
        <v/>
      </c>
      <c r="C844" s="9" t="n">
        <f aca="false">Raw_Volunteers!B844</f>
        <v>0</v>
      </c>
      <c r="D844" s="9" t="str">
        <f aca="false">IF(C844="","No","Yes")</f>
        <v>No</v>
      </c>
      <c r="E844" s="9" t="str">
        <f aca="false">Raw_Volunteers!C844</f>
        <v>Steven Allen</v>
      </c>
      <c r="F844" s="9" t="str">
        <f aca="false">Raw_Volunteers!D844</f>
        <v>01/29/2024</v>
      </c>
      <c r="G844" s="9" t="str">
        <f aca="false">PROPER(TRIM(Raw_Volunteers!E844))</f>
        <v>Pantry Stocking</v>
      </c>
      <c r="H844" s="9" t="str">
        <f aca="false">Raw_Volunteers!F844</f>
        <v>Community Center Site</v>
      </c>
      <c r="I844" s="9" t="n">
        <f aca="false">IF(Raw_Volunteers!G844="",ROUND(AVERAGE(Raw_Volunteers!$G$2:$G$926),1),Raw_Volunteers!G844)</f>
        <v>3</v>
      </c>
    </row>
    <row r="845" customFormat="false" ht="15" hidden="false" customHeight="true" outlineLevel="0" collapsed="false">
      <c r="A845" s="9" t="str">
        <f aca="false">Raw_Volunteers!A845</f>
        <v>V2183</v>
      </c>
      <c r="B845" s="9" t="str">
        <f aca="false">IF(COUNTIFS(Raw_Volunteers!$A$2:$A$926,Raw_Volunteers!A845,Raw_Volunteers!$D$2:$D$926,Raw_Volunteers!D845,Raw_Volunteers!$E$2:$E$926,Raw_Volunteers!E845,Raw_Volunteers!$G$2:$G$926,Raw_Volunteers!G845)&gt;1,"Possible Duplicate","")</f>
        <v/>
      </c>
      <c r="C845" s="9" t="n">
        <f aca="false">Raw_Volunteers!B845</f>
        <v>0</v>
      </c>
      <c r="D845" s="9" t="str">
        <f aca="false">IF(C845="","No","Yes")</f>
        <v>No</v>
      </c>
      <c r="E845" s="9" t="str">
        <f aca="false">Raw_Volunteers!C845</f>
        <v>Steven Allen</v>
      </c>
      <c r="F845" s="9" t="str">
        <f aca="false">Raw_Volunteers!D845</f>
        <v>06/22/2024</v>
      </c>
      <c r="G845" s="9" t="str">
        <f aca="false">PROPER(TRIM(Raw_Volunteers!E845))</f>
        <v>Client Intake Assistant</v>
      </c>
      <c r="H845" s="9" t="str">
        <f aca="false">Raw_Volunteers!F845</f>
        <v>Downtown Pantry</v>
      </c>
      <c r="I845" s="9" t="n">
        <f aca="false">IF(Raw_Volunteers!G845="",ROUND(AVERAGE(Raw_Volunteers!$G$2:$G$926),1),Raw_Volunteers!G845)</f>
        <v>4</v>
      </c>
    </row>
    <row r="846" customFormat="false" ht="15" hidden="false" customHeight="true" outlineLevel="0" collapsed="false">
      <c r="A846" s="9" t="str">
        <f aca="false">Raw_Volunteers!A846</f>
        <v>V2184</v>
      </c>
      <c r="B846" s="9" t="str">
        <f aca="false">IF(COUNTIFS(Raw_Volunteers!$A$2:$A$926,Raw_Volunteers!A846,Raw_Volunteers!$D$2:$D$926,Raw_Volunteers!D846,Raw_Volunteers!$E$2:$E$926,Raw_Volunteers!E846,Raw_Volunteers!$G$2:$G$926,Raw_Volunteers!G846)&gt;1,"Possible Duplicate","")</f>
        <v/>
      </c>
      <c r="C846" s="9" t="n">
        <f aca="false">Raw_Volunteers!B846</f>
        <v>0</v>
      </c>
      <c r="D846" s="9" t="str">
        <f aca="false">IF(C846="","No","Yes")</f>
        <v>No</v>
      </c>
      <c r="E846" s="9" t="str">
        <f aca="false">Raw_Volunteers!C846</f>
        <v>Sarah Harris</v>
      </c>
      <c r="F846" s="9" t="str">
        <f aca="false">Raw_Volunteers!D846</f>
        <v>07/26/2025</v>
      </c>
      <c r="G846" s="9" t="str">
        <f aca="false">PROPER(TRIM(Raw_Volunteers!E846))</f>
        <v>Mobile Distribution Driver</v>
      </c>
      <c r="H846" s="9" t="str">
        <f aca="false">Raw_Volunteers!F846</f>
        <v>Main Warehouse</v>
      </c>
      <c r="I846" s="9" t="n">
        <f aca="false">IF(Raw_Volunteers!G846="",ROUND(AVERAGE(Raw_Volunteers!$G$2:$G$926),1),Raw_Volunteers!G846)</f>
        <v>3</v>
      </c>
    </row>
    <row r="847" customFormat="false" ht="15" hidden="false" customHeight="true" outlineLevel="0" collapsed="false">
      <c r="A847" s="9" t="str">
        <f aca="false">Raw_Volunteers!A847</f>
        <v>V2185</v>
      </c>
      <c r="B847" s="9" t="str">
        <f aca="false">IF(COUNTIFS(Raw_Volunteers!$A$2:$A$926,Raw_Volunteers!A847,Raw_Volunteers!$D$2:$D$926,Raw_Volunteers!D847,Raw_Volunteers!$E$2:$E$926,Raw_Volunteers!E847,Raw_Volunteers!$G$2:$G$926,Raw_Volunteers!G847)&gt;1,"Possible Duplicate","")</f>
        <v/>
      </c>
      <c r="C847" s="9" t="n">
        <f aca="false">Raw_Volunteers!B847</f>
        <v>0</v>
      </c>
      <c r="D847" s="9" t="str">
        <f aca="false">IF(C847="","No","Yes")</f>
        <v>No</v>
      </c>
      <c r="E847" s="9" t="str">
        <f aca="false">Raw_Volunteers!C847</f>
        <v>Michael Wright</v>
      </c>
      <c r="F847" s="9" t="str">
        <f aca="false">Raw_Volunteers!D847</f>
        <v>10/24/2025</v>
      </c>
      <c r="G847" s="9" t="str">
        <f aca="false">PROPER(TRIM(Raw_Volunteers!E847))</f>
        <v>Food Sorting</v>
      </c>
      <c r="H847" s="9" t="str">
        <f aca="false">Raw_Volunteers!F847</f>
        <v>Main Warehouse</v>
      </c>
      <c r="I847" s="9" t="n">
        <f aca="false">IF(Raw_Volunteers!G847="",ROUND(AVERAGE(Raw_Volunteers!$G$2:$G$926),1),Raw_Volunteers!G847)</f>
        <v>2</v>
      </c>
    </row>
    <row r="848" customFormat="false" ht="15" hidden="false" customHeight="true" outlineLevel="0" collapsed="false">
      <c r="A848" s="9" t="str">
        <f aca="false">Raw_Volunteers!A848</f>
        <v>V2185</v>
      </c>
      <c r="B848" s="9" t="str">
        <f aca="false">IF(COUNTIFS(Raw_Volunteers!$A$2:$A$926,Raw_Volunteers!A848,Raw_Volunteers!$D$2:$D$926,Raw_Volunteers!D848,Raw_Volunteers!$E$2:$E$926,Raw_Volunteers!E848,Raw_Volunteers!$G$2:$G$926,Raw_Volunteers!G848)&gt;1,"Possible Duplicate","")</f>
        <v/>
      </c>
      <c r="C848" s="9" t="n">
        <f aca="false">Raw_Volunteers!B848</f>
        <v>0</v>
      </c>
      <c r="D848" s="9" t="str">
        <f aca="false">IF(C848="","No","Yes")</f>
        <v>No</v>
      </c>
      <c r="E848" s="9" t="str">
        <f aca="false">Raw_Volunteers!C848</f>
        <v>Michael Wright</v>
      </c>
      <c r="F848" s="9" t="str">
        <f aca="false">Raw_Volunteers!D848</f>
        <v>05/06/2026</v>
      </c>
      <c r="G848" s="9" t="str">
        <f aca="false">PROPER(TRIM(Raw_Volunteers!E848))</f>
        <v>Food Sorting</v>
      </c>
      <c r="H848" s="9" t="str">
        <f aca="false">Raw_Volunteers!F848</f>
        <v>Mobile Unit - Route B</v>
      </c>
      <c r="I848" s="9" t="n">
        <f aca="false">IF(Raw_Volunteers!G848="",ROUND(AVERAGE(Raw_Volunteers!$G$2:$G$926),1),Raw_Volunteers!G848)</f>
        <v>2</v>
      </c>
    </row>
    <row r="849" customFormat="false" ht="15" hidden="false" customHeight="true" outlineLevel="0" collapsed="false">
      <c r="A849" s="9" t="str">
        <f aca="false">Raw_Volunteers!A849</f>
        <v>V2185</v>
      </c>
      <c r="B849" s="9" t="str">
        <f aca="false">IF(COUNTIFS(Raw_Volunteers!$A$2:$A$926,Raw_Volunteers!A849,Raw_Volunteers!$D$2:$D$926,Raw_Volunteers!D849,Raw_Volunteers!$E$2:$E$926,Raw_Volunteers!E849,Raw_Volunteers!$G$2:$G$926,Raw_Volunteers!G849)&gt;1,"Possible Duplicate","")</f>
        <v/>
      </c>
      <c r="C849" s="9" t="n">
        <f aca="false">Raw_Volunteers!B849</f>
        <v>0</v>
      </c>
      <c r="D849" s="9" t="str">
        <f aca="false">IF(C849="","No","Yes")</f>
        <v>No</v>
      </c>
      <c r="E849" s="9" t="str">
        <f aca="false">Raw_Volunteers!C849</f>
        <v>Michael Wright</v>
      </c>
      <c r="F849" s="9" t="str">
        <f aca="false">Raw_Volunteers!D849</f>
        <v>04/08/2026</v>
      </c>
      <c r="G849" s="9" t="str">
        <f aca="false">PROPER(TRIM(Raw_Volunteers!E849))</f>
        <v>Event Setup</v>
      </c>
      <c r="H849" s="9" t="str">
        <f aca="false">Raw_Volunteers!F849</f>
        <v>Mobile Unit - Route B</v>
      </c>
      <c r="I849" s="9" t="n">
        <f aca="false">IF(Raw_Volunteers!G849="",ROUND(AVERAGE(Raw_Volunteers!$G$2:$G$926),1),Raw_Volunteers!G849)</f>
        <v>3</v>
      </c>
    </row>
    <row r="850" customFormat="false" ht="15" hidden="false" customHeight="true" outlineLevel="0" collapsed="false">
      <c r="A850" s="9" t="str">
        <f aca="false">Raw_Volunteers!A850</f>
        <v>V2185</v>
      </c>
      <c r="B850" s="9" t="str">
        <f aca="false">IF(COUNTIFS(Raw_Volunteers!$A$2:$A$926,Raw_Volunteers!A850,Raw_Volunteers!$D$2:$D$926,Raw_Volunteers!D850,Raw_Volunteers!$E$2:$E$926,Raw_Volunteers!E850,Raw_Volunteers!$G$2:$G$926,Raw_Volunteers!G850)&gt;1,"Possible Duplicate","")</f>
        <v/>
      </c>
      <c r="C850" s="9" t="n">
        <f aca="false">Raw_Volunteers!B850</f>
        <v>0</v>
      </c>
      <c r="D850" s="9" t="str">
        <f aca="false">IF(C850="","No","Yes")</f>
        <v>No</v>
      </c>
      <c r="E850" s="9" t="str">
        <f aca="false">Raw_Volunteers!C850</f>
        <v>Michael Wright</v>
      </c>
      <c r="F850" s="9" t="str">
        <f aca="false">Raw_Volunteers!D850</f>
        <v>05/10/2025</v>
      </c>
      <c r="G850" s="9" t="str">
        <f aca="false">PROPER(TRIM(Raw_Volunteers!E850))</f>
        <v>Event Setup</v>
      </c>
      <c r="H850" s="9" t="str">
        <f aca="false">Raw_Volunteers!F850</f>
        <v>Mobile Unit - Route A</v>
      </c>
      <c r="I850" s="9" t="n">
        <f aca="false">IF(Raw_Volunteers!G850="",ROUND(AVERAGE(Raw_Volunteers!$G$2:$G$926),1),Raw_Volunteers!G850)</f>
        <v>3</v>
      </c>
    </row>
    <row r="851" customFormat="false" ht="15" hidden="false" customHeight="true" outlineLevel="0" collapsed="false">
      <c r="A851" s="9" t="str">
        <f aca="false">Raw_Volunteers!A851</f>
        <v>V2185</v>
      </c>
      <c r="B851" s="9" t="str">
        <f aca="false">IF(COUNTIFS(Raw_Volunteers!$A$2:$A$926,Raw_Volunteers!A851,Raw_Volunteers!$D$2:$D$926,Raw_Volunteers!D851,Raw_Volunteers!$E$2:$E$926,Raw_Volunteers!E851,Raw_Volunteers!$G$2:$G$926,Raw_Volunteers!G851)&gt;1,"Possible Duplicate","")</f>
        <v/>
      </c>
      <c r="C851" s="9" t="n">
        <f aca="false">Raw_Volunteers!B851</f>
        <v>0</v>
      </c>
      <c r="D851" s="9" t="str">
        <f aca="false">IF(C851="","No","Yes")</f>
        <v>No</v>
      </c>
      <c r="E851" s="9" t="str">
        <f aca="false">Raw_Volunteers!C851</f>
        <v>Michael Wright</v>
      </c>
      <c r="F851" s="9" t="str">
        <f aca="false">Raw_Volunteers!D851</f>
        <v>09/10/2025</v>
      </c>
      <c r="G851" s="9" t="str">
        <f aca="false">PROPER(TRIM(Raw_Volunteers!E851))</f>
        <v>Event Setup</v>
      </c>
      <c r="H851" s="9" t="str">
        <f aca="false">Raw_Volunteers!F851</f>
        <v>Main Warehouse</v>
      </c>
      <c r="I851" s="9" t="n">
        <f aca="false">IF(Raw_Volunteers!G851="",ROUND(AVERAGE(Raw_Volunteers!$G$2:$G$926),1),Raw_Volunteers!G851)</f>
        <v>6</v>
      </c>
    </row>
    <row r="852" customFormat="false" ht="15" hidden="false" customHeight="true" outlineLevel="0" collapsed="false">
      <c r="A852" s="9" t="str">
        <f aca="false">Raw_Volunteers!A852</f>
        <v>V2186</v>
      </c>
      <c r="B852" s="9" t="str">
        <f aca="false">IF(COUNTIFS(Raw_Volunteers!$A$2:$A$926,Raw_Volunteers!A852,Raw_Volunteers!$D$2:$D$926,Raw_Volunteers!D852,Raw_Volunteers!$E$2:$E$926,Raw_Volunteers!E852,Raw_Volunteers!$G$2:$G$926,Raw_Volunteers!G852)&gt;1,"Possible Duplicate","")</f>
        <v/>
      </c>
      <c r="C852" s="9" t="n">
        <f aca="false">Raw_Volunteers!B852</f>
        <v>0</v>
      </c>
      <c r="D852" s="9" t="str">
        <f aca="false">IF(C852="","No","Yes")</f>
        <v>No</v>
      </c>
      <c r="E852" s="9" t="str">
        <f aca="false">Raw_Volunteers!C852</f>
        <v>Melissa Wright</v>
      </c>
      <c r="F852" s="9" t="str">
        <f aca="false">Raw_Volunteers!D852</f>
        <v>07/10/2025</v>
      </c>
      <c r="G852" s="9" t="str">
        <f aca="false">PROPER(TRIM(Raw_Volunteers!E852))</f>
        <v>Holiday Box Packing</v>
      </c>
      <c r="H852" s="9" t="str">
        <f aca="false">Raw_Volunteers!F852</f>
        <v>Downtown Pantry</v>
      </c>
      <c r="I852" s="9" t="n">
        <f aca="false">IF(Raw_Volunteers!G852="",ROUND(AVERAGE(Raw_Volunteers!$G$2:$G$926),1),Raw_Volunteers!G852)</f>
        <v>3</v>
      </c>
    </row>
    <row r="853" customFormat="false" ht="15" hidden="false" customHeight="true" outlineLevel="0" collapsed="false">
      <c r="A853" s="9" t="str">
        <f aca="false">Raw_Volunteers!A853</f>
        <v>V2186</v>
      </c>
      <c r="B853" s="9" t="str">
        <f aca="false">IF(COUNTIFS(Raw_Volunteers!$A$2:$A$926,Raw_Volunteers!A853,Raw_Volunteers!$D$2:$D$926,Raw_Volunteers!D853,Raw_Volunteers!$E$2:$E$926,Raw_Volunteers!E853,Raw_Volunteers!$G$2:$G$926,Raw_Volunteers!G853)&gt;1,"Possible Duplicate","")</f>
        <v/>
      </c>
      <c r="C853" s="9" t="n">
        <f aca="false">Raw_Volunteers!B853</f>
        <v>0</v>
      </c>
      <c r="D853" s="9" t="str">
        <f aca="false">IF(C853="","No","Yes")</f>
        <v>No</v>
      </c>
      <c r="E853" s="9" t="str">
        <f aca="false">Raw_Volunteers!C853</f>
        <v>Melissa Wright</v>
      </c>
      <c r="F853" s="9" t="str">
        <f aca="false">Raw_Volunteers!D853</f>
        <v>06/17/2025</v>
      </c>
      <c r="G853" s="9" t="str">
        <f aca="false">PROPER(TRIM(Raw_Volunteers!E853))</f>
        <v>Food Sorting</v>
      </c>
      <c r="H853" s="9" t="str">
        <f aca="false">Raw_Volunteers!F853</f>
        <v>Community Center Site</v>
      </c>
      <c r="I853" s="9" t="n">
        <f aca="false">IF(Raw_Volunteers!G853="",ROUND(AVERAGE(Raw_Volunteers!$G$2:$G$926),1),Raw_Volunteers!G853)</f>
        <v>2</v>
      </c>
    </row>
    <row r="854" customFormat="false" ht="15" hidden="false" customHeight="true" outlineLevel="0" collapsed="false">
      <c r="A854" s="9" t="str">
        <f aca="false">Raw_Volunteers!A854</f>
        <v>V2187</v>
      </c>
      <c r="B854" s="9" t="str">
        <f aca="false">IF(COUNTIFS(Raw_Volunteers!$A$2:$A$926,Raw_Volunteers!A854,Raw_Volunteers!$D$2:$D$926,Raw_Volunteers!D854,Raw_Volunteers!$E$2:$E$926,Raw_Volunteers!E854,Raw_Volunteers!$G$2:$G$926,Raw_Volunteers!G854)&gt;1,"Possible Duplicate","")</f>
        <v/>
      </c>
      <c r="C854" s="9" t="n">
        <f aca="false">Raw_Volunteers!B854</f>
        <v>0</v>
      </c>
      <c r="D854" s="9" t="str">
        <f aca="false">IF(C854="","No","Yes")</f>
        <v>No</v>
      </c>
      <c r="E854" s="9" t="str">
        <f aca="false">Raw_Volunteers!C854</f>
        <v>Kenneth Johnson</v>
      </c>
      <c r="F854" s="9" t="str">
        <f aca="false">Raw_Volunteers!D854</f>
        <v>04/19/2026</v>
      </c>
      <c r="G854" s="9" t="str">
        <f aca="false">PROPER(TRIM(Raw_Volunteers!E854))</f>
        <v>Food Sorting</v>
      </c>
      <c r="H854" s="9" t="str">
        <f aca="false">Raw_Volunteers!F854</f>
        <v>Downtown Pantry</v>
      </c>
      <c r="I854" s="9" t="n">
        <f aca="false">IF(Raw_Volunteers!G854="",ROUND(AVERAGE(Raw_Volunteers!$G$2:$G$926),1),Raw_Volunteers!G854)</f>
        <v>2</v>
      </c>
    </row>
    <row r="855" customFormat="false" ht="15" hidden="false" customHeight="true" outlineLevel="0" collapsed="false">
      <c r="A855" s="9" t="str">
        <f aca="false">Raw_Volunteers!A855</f>
        <v>V2187</v>
      </c>
      <c r="B855" s="9" t="str">
        <f aca="false">IF(COUNTIFS(Raw_Volunteers!$A$2:$A$926,Raw_Volunteers!A855,Raw_Volunteers!$D$2:$D$926,Raw_Volunteers!D855,Raw_Volunteers!$E$2:$E$926,Raw_Volunteers!E855,Raw_Volunteers!$G$2:$G$926,Raw_Volunteers!G855)&gt;1,"Possible Duplicate","")</f>
        <v/>
      </c>
      <c r="C855" s="9" t="n">
        <f aca="false">Raw_Volunteers!B855</f>
        <v>0</v>
      </c>
      <c r="D855" s="9" t="str">
        <f aca="false">IF(C855="","No","Yes")</f>
        <v>No</v>
      </c>
      <c r="E855" s="9" t="str">
        <f aca="false">Raw_Volunteers!C855</f>
        <v>Kenneth Johnson</v>
      </c>
      <c r="F855" s="9" t="str">
        <f aca="false">Raw_Volunteers!D855</f>
        <v>08/18/2024</v>
      </c>
      <c r="G855" s="9" t="str">
        <f aca="false">PROPER(TRIM(Raw_Volunteers!E855))</f>
        <v>Front Desk Greeter</v>
      </c>
      <c r="H855" s="9" t="str">
        <f aca="false">Raw_Volunteers!F855</f>
        <v>Main Warehouse</v>
      </c>
      <c r="I855" s="9" t="n">
        <f aca="false">IF(Raw_Volunteers!G855="",ROUND(AVERAGE(Raw_Volunteers!$G$2:$G$926),1),Raw_Volunteers!G855)</f>
        <v>5</v>
      </c>
    </row>
    <row r="856" customFormat="false" ht="15" hidden="false" customHeight="true" outlineLevel="0" collapsed="false">
      <c r="A856" s="9" t="str">
        <f aca="false">Raw_Volunteers!A856</f>
        <v>V2188</v>
      </c>
      <c r="B856" s="9" t="str">
        <f aca="false">IF(COUNTIFS(Raw_Volunteers!$A$2:$A$926,Raw_Volunteers!A856,Raw_Volunteers!$D$2:$D$926,Raw_Volunteers!D856,Raw_Volunteers!$E$2:$E$926,Raw_Volunteers!E856,Raw_Volunteers!$G$2:$G$926,Raw_Volunteers!G856)&gt;1,"Possible Duplicate","")</f>
        <v/>
      </c>
      <c r="C856" s="9" t="n">
        <f aca="false">Raw_Volunteers!B856</f>
        <v>0</v>
      </c>
      <c r="D856" s="9" t="str">
        <f aca="false">IF(C856="","No","Yes")</f>
        <v>No</v>
      </c>
      <c r="E856" s="9" t="str">
        <f aca="false">Raw_Volunteers!C856</f>
        <v>Donna Walker</v>
      </c>
      <c r="F856" s="9" t="str">
        <f aca="false">Raw_Volunteers!D856</f>
        <v>11/19/2024</v>
      </c>
      <c r="G856" s="9" t="str">
        <f aca="false">PROPER(TRIM(Raw_Volunteers!E856))</f>
        <v>Pantry Stocking</v>
      </c>
      <c r="H856" s="9" t="str">
        <f aca="false">Raw_Volunteers!F856</f>
        <v>Mobile Unit - Route A</v>
      </c>
      <c r="I856" s="9" t="n">
        <f aca="false">IF(Raw_Volunteers!G856="",ROUND(AVERAGE(Raw_Volunteers!$G$2:$G$926),1),Raw_Volunteers!G856)</f>
        <v>2</v>
      </c>
    </row>
    <row r="857" customFormat="false" ht="15" hidden="false" customHeight="true" outlineLevel="0" collapsed="false">
      <c r="A857" s="9" t="str">
        <f aca="false">Raw_Volunteers!A857</f>
        <v>V2189</v>
      </c>
      <c r="B857" s="9" t="str">
        <f aca="false">IF(COUNTIFS(Raw_Volunteers!$A$2:$A$926,Raw_Volunteers!A857,Raw_Volunteers!$D$2:$D$926,Raw_Volunteers!D857,Raw_Volunteers!$E$2:$E$926,Raw_Volunteers!E857,Raw_Volunteers!$G$2:$G$926,Raw_Volunteers!G857)&gt;1,"Possible Duplicate","")</f>
        <v/>
      </c>
      <c r="C857" s="9" t="n">
        <f aca="false">Raw_Volunteers!B857</f>
        <v>0</v>
      </c>
      <c r="D857" s="9" t="str">
        <f aca="false">IF(C857="","No","Yes")</f>
        <v>No</v>
      </c>
      <c r="E857" s="9" t="str">
        <f aca="false">Raw_Volunteers!C857</f>
        <v>James Scott</v>
      </c>
      <c r="F857" s="9" t="str">
        <f aca="false">Raw_Volunteers!D857</f>
        <v>05/22/2026</v>
      </c>
      <c r="G857" s="9" t="str">
        <f aca="false">PROPER(TRIM(Raw_Volunteers!E857))</f>
        <v>Event Setup</v>
      </c>
      <c r="H857" s="9" t="str">
        <f aca="false">Raw_Volunteers!F857</f>
        <v>Main Warehouse</v>
      </c>
      <c r="I857" s="9" t="n">
        <f aca="false">IF(Raw_Volunteers!G857="",ROUND(AVERAGE(Raw_Volunteers!$G$2:$G$926),1),Raw_Volunteers!G857)</f>
        <v>3</v>
      </c>
    </row>
    <row r="858" customFormat="false" ht="15" hidden="false" customHeight="true" outlineLevel="0" collapsed="false">
      <c r="A858" s="9" t="str">
        <f aca="false">Raw_Volunteers!A858</f>
        <v>V2189</v>
      </c>
      <c r="B858" s="9" t="str">
        <f aca="false">IF(COUNTIFS(Raw_Volunteers!$A$2:$A$926,Raw_Volunteers!A858,Raw_Volunteers!$D$2:$D$926,Raw_Volunteers!D858,Raw_Volunteers!$E$2:$E$926,Raw_Volunteers!E858,Raw_Volunteers!$G$2:$G$926,Raw_Volunteers!G858)&gt;1,"Possible Duplicate","")</f>
        <v/>
      </c>
      <c r="C858" s="9" t="n">
        <f aca="false">Raw_Volunteers!B858</f>
        <v>0</v>
      </c>
      <c r="D858" s="9" t="str">
        <f aca="false">IF(C858="","No","Yes")</f>
        <v>No</v>
      </c>
      <c r="E858" s="9" t="str">
        <f aca="false">Raw_Volunteers!C858</f>
        <v>James Scott</v>
      </c>
      <c r="F858" s="9" t="str">
        <f aca="false">Raw_Volunteers!D858</f>
        <v>01/13/2024</v>
      </c>
      <c r="G858" s="9" t="str">
        <f aca="false">PROPER(TRIM(Raw_Volunteers!E858))</f>
        <v>Client Intake Assistant</v>
      </c>
      <c r="H858" s="9" t="str">
        <f aca="false">Raw_Volunteers!F858</f>
        <v>Mobile Unit - Route B</v>
      </c>
      <c r="I858" s="9" t="n">
        <f aca="false">IF(Raw_Volunteers!G858="",ROUND(AVERAGE(Raw_Volunteers!$G$2:$G$926),1),Raw_Volunteers!G858)</f>
        <v>2</v>
      </c>
    </row>
    <row r="859" customFormat="false" ht="15" hidden="false" customHeight="true" outlineLevel="0" collapsed="false">
      <c r="A859" s="9" t="str">
        <f aca="false">Raw_Volunteers!A859</f>
        <v>V2190</v>
      </c>
      <c r="B859" s="9" t="str">
        <f aca="false">IF(COUNTIFS(Raw_Volunteers!$A$2:$A$926,Raw_Volunteers!A859,Raw_Volunteers!$D$2:$D$926,Raw_Volunteers!D859,Raw_Volunteers!$E$2:$E$926,Raw_Volunteers!E859,Raw_Volunteers!$G$2:$G$926,Raw_Volunteers!G859)&gt;1,"Possible Duplicate","")</f>
        <v/>
      </c>
      <c r="C859" s="9" t="n">
        <f aca="false">Raw_Volunteers!B859</f>
        <v>0</v>
      </c>
      <c r="D859" s="9" t="str">
        <f aca="false">IF(C859="","No","Yes")</f>
        <v>No</v>
      </c>
      <c r="E859" s="9" t="str">
        <f aca="false">Raw_Volunteers!C859</f>
        <v>Elizabeth Nguyen</v>
      </c>
      <c r="F859" s="9" t="str">
        <f aca="false">Raw_Volunteers!D859</f>
        <v>12/27/2025</v>
      </c>
      <c r="G859" s="9" t="str">
        <f aca="false">PROPER(TRIM(Raw_Volunteers!E859))</f>
        <v>Event Setup</v>
      </c>
      <c r="H859" s="9" t="str">
        <f aca="false">Raw_Volunteers!F859</f>
        <v>Downtown Pantry</v>
      </c>
      <c r="I859" s="9" t="n">
        <f aca="false">IF(Raw_Volunteers!G859="",ROUND(AVERAGE(Raw_Volunteers!$G$2:$G$926),1),Raw_Volunteers!G859)</f>
        <v>2.9</v>
      </c>
    </row>
    <row r="860" customFormat="false" ht="15" hidden="false" customHeight="true" outlineLevel="0" collapsed="false">
      <c r="A860" s="9" t="str">
        <f aca="false">Raw_Volunteers!A860</f>
        <v>V2191</v>
      </c>
      <c r="B860" s="9" t="str">
        <f aca="false">IF(COUNTIFS(Raw_Volunteers!$A$2:$A$926,Raw_Volunteers!A860,Raw_Volunteers!$D$2:$D$926,Raw_Volunteers!D860,Raw_Volunteers!$E$2:$E$926,Raw_Volunteers!E860,Raw_Volunteers!$G$2:$G$926,Raw_Volunteers!G860)&gt;1,"Possible Duplicate","")</f>
        <v/>
      </c>
      <c r="C860" s="9" t="n">
        <f aca="false">Raw_Volunteers!B860</f>
        <v>0</v>
      </c>
      <c r="D860" s="9" t="str">
        <f aca="false">IF(C860="","No","Yes")</f>
        <v>No</v>
      </c>
      <c r="E860" s="9" t="str">
        <f aca="false">Raw_Volunteers!C860</f>
        <v>Steven Wilson</v>
      </c>
      <c r="F860" s="9" t="str">
        <f aca="false">Raw_Volunteers!D860</f>
        <v>06/11/2024</v>
      </c>
      <c r="G860" s="9" t="str">
        <f aca="false">PROPER(TRIM(Raw_Volunteers!E860))</f>
        <v>Food Sorting</v>
      </c>
      <c r="H860" s="9" t="str">
        <f aca="false">Raw_Volunteers!F860</f>
        <v>Mobile Unit - Route B</v>
      </c>
      <c r="I860" s="9" t="n">
        <f aca="false">IF(Raw_Volunteers!G860="",ROUND(AVERAGE(Raw_Volunteers!$G$2:$G$926),1),Raw_Volunteers!G860)</f>
        <v>2</v>
      </c>
    </row>
    <row r="861" customFormat="false" ht="15" hidden="false" customHeight="true" outlineLevel="0" collapsed="false">
      <c r="A861" s="9" t="str">
        <f aca="false">Raw_Volunteers!A861</f>
        <v>V2191</v>
      </c>
      <c r="B861" s="9" t="str">
        <f aca="false">IF(COUNTIFS(Raw_Volunteers!$A$2:$A$926,Raw_Volunteers!A861,Raw_Volunteers!$D$2:$D$926,Raw_Volunteers!D861,Raw_Volunteers!$E$2:$E$926,Raw_Volunteers!E861,Raw_Volunteers!$G$2:$G$926,Raw_Volunteers!G861)&gt;1,"Possible Duplicate","")</f>
        <v/>
      </c>
      <c r="C861" s="9" t="n">
        <f aca="false">Raw_Volunteers!B861</f>
        <v>0</v>
      </c>
      <c r="D861" s="9" t="str">
        <f aca="false">IF(C861="","No","Yes")</f>
        <v>No</v>
      </c>
      <c r="E861" s="9" t="str">
        <f aca="false">Raw_Volunteers!C861</f>
        <v>Steven Wilson</v>
      </c>
      <c r="F861" s="9" t="str">
        <f aca="false">Raw_Volunteers!D861</f>
        <v>01/21/2026</v>
      </c>
      <c r="G861" s="9" t="str">
        <f aca="false">PROPER(TRIM(Raw_Volunteers!E861))</f>
        <v>Holiday Box Packing</v>
      </c>
      <c r="H861" s="9" t="str">
        <f aca="false">Raw_Volunteers!F861</f>
        <v>Mobile Unit - Route B</v>
      </c>
      <c r="I861" s="9" t="n">
        <f aca="false">IF(Raw_Volunteers!G861="",ROUND(AVERAGE(Raw_Volunteers!$G$2:$G$926),1),Raw_Volunteers!G861)</f>
        <v>4</v>
      </c>
    </row>
    <row r="862" customFormat="false" ht="15" hidden="false" customHeight="true" outlineLevel="0" collapsed="false">
      <c r="A862" s="9" t="str">
        <f aca="false">Raw_Volunteers!A862</f>
        <v>V2191</v>
      </c>
      <c r="B862" s="9" t="str">
        <f aca="false">IF(COUNTIFS(Raw_Volunteers!$A$2:$A$926,Raw_Volunteers!A862,Raw_Volunteers!$D$2:$D$926,Raw_Volunteers!D862,Raw_Volunteers!$E$2:$E$926,Raw_Volunteers!E862,Raw_Volunteers!$G$2:$G$926,Raw_Volunteers!G862)&gt;1,"Possible Duplicate","")</f>
        <v/>
      </c>
      <c r="C862" s="9" t="n">
        <f aca="false">Raw_Volunteers!B862</f>
        <v>0</v>
      </c>
      <c r="D862" s="9" t="str">
        <f aca="false">IF(C862="","No","Yes")</f>
        <v>No</v>
      </c>
      <c r="E862" s="9" t="str">
        <f aca="false">Raw_Volunteers!C862</f>
        <v>Steven Wilson</v>
      </c>
      <c r="F862" s="9" t="str">
        <f aca="false">Raw_Volunteers!D862</f>
        <v>08/21/2024</v>
      </c>
      <c r="G862" s="9" t="str">
        <f aca="false">PROPER(TRIM(Raw_Volunteers!E862))</f>
        <v>Holiday Box Packing</v>
      </c>
      <c r="H862" s="9" t="str">
        <f aca="false">Raw_Volunteers!F862</f>
        <v>Main Warehouse</v>
      </c>
      <c r="I862" s="9" t="n">
        <f aca="false">IF(Raw_Volunteers!G862="",ROUND(AVERAGE(Raw_Volunteers!$G$2:$G$926),1),Raw_Volunteers!G862)</f>
        <v>6</v>
      </c>
    </row>
    <row r="863" customFormat="false" ht="15" hidden="false" customHeight="true" outlineLevel="0" collapsed="false">
      <c r="A863" s="9" t="str">
        <f aca="false">Raw_Volunteers!A863</f>
        <v>V2192</v>
      </c>
      <c r="B863" s="9" t="str">
        <f aca="false">IF(COUNTIFS(Raw_Volunteers!$A$2:$A$926,Raw_Volunteers!A863,Raw_Volunteers!$D$2:$D$926,Raw_Volunteers!D863,Raw_Volunteers!$E$2:$E$926,Raw_Volunteers!E863,Raw_Volunteers!$G$2:$G$926,Raw_Volunteers!G863)&gt;1,"Possible Duplicate","")</f>
        <v/>
      </c>
      <c r="C863" s="9" t="n">
        <f aca="false">Raw_Volunteers!B863</f>
        <v>0</v>
      </c>
      <c r="D863" s="9" t="str">
        <f aca="false">IF(C863="","No","Yes")</f>
        <v>No</v>
      </c>
      <c r="E863" s="9" t="str">
        <f aca="false">Raw_Volunteers!C863</f>
        <v>Ashley Jones</v>
      </c>
      <c r="F863" s="9" t="str">
        <f aca="false">Raw_Volunteers!D863</f>
        <v>12/13/2025</v>
      </c>
      <c r="G863" s="9" t="str">
        <f aca="false">PROPER(TRIM(Raw_Volunteers!E863))</f>
        <v>Event Setup</v>
      </c>
      <c r="H863" s="9" t="str">
        <f aca="false">Raw_Volunteers!F863</f>
        <v>Mobile Unit - Route B</v>
      </c>
      <c r="I863" s="9" t="n">
        <f aca="false">IF(Raw_Volunteers!G863="",ROUND(AVERAGE(Raw_Volunteers!$G$2:$G$926),1),Raw_Volunteers!G863)</f>
        <v>2</v>
      </c>
    </row>
    <row r="864" customFormat="false" ht="15" hidden="false" customHeight="true" outlineLevel="0" collapsed="false">
      <c r="A864" s="9" t="str">
        <f aca="false">Raw_Volunteers!A864</f>
        <v>V2192</v>
      </c>
      <c r="B864" s="9" t="str">
        <f aca="false">IF(COUNTIFS(Raw_Volunteers!$A$2:$A$926,Raw_Volunteers!A864,Raw_Volunteers!$D$2:$D$926,Raw_Volunteers!D864,Raw_Volunteers!$E$2:$E$926,Raw_Volunteers!E864,Raw_Volunteers!$G$2:$G$926,Raw_Volunteers!G864)&gt;1,"Possible Duplicate","")</f>
        <v/>
      </c>
      <c r="C864" s="9" t="n">
        <f aca="false">Raw_Volunteers!B864</f>
        <v>0</v>
      </c>
      <c r="D864" s="9" t="str">
        <f aca="false">IF(C864="","No","Yes")</f>
        <v>No</v>
      </c>
      <c r="E864" s="9" t="str">
        <f aca="false">Raw_Volunteers!C864</f>
        <v>Ashley Jones</v>
      </c>
      <c r="F864" s="9" t="str">
        <f aca="false">Raw_Volunteers!D864</f>
        <v>12/23/2024</v>
      </c>
      <c r="G864" s="9" t="str">
        <f aca="false">PROPER(TRIM(Raw_Volunteers!E864))</f>
        <v>Warehouse Loading</v>
      </c>
      <c r="H864" s="9" t="str">
        <f aca="false">Raw_Volunteers!F864</f>
        <v>Main Warehouse</v>
      </c>
      <c r="I864" s="9" t="n">
        <f aca="false">IF(Raw_Volunteers!G864="",ROUND(AVERAGE(Raw_Volunteers!$G$2:$G$926),1),Raw_Volunteers!G864)</f>
        <v>3</v>
      </c>
    </row>
    <row r="865" customFormat="false" ht="15" hidden="false" customHeight="true" outlineLevel="0" collapsed="false">
      <c r="A865" s="9" t="str">
        <f aca="false">Raw_Volunteers!A865</f>
        <v>V2192</v>
      </c>
      <c r="B865" s="9" t="str">
        <f aca="false">IF(COUNTIFS(Raw_Volunteers!$A$2:$A$926,Raw_Volunteers!A865,Raw_Volunteers!$D$2:$D$926,Raw_Volunteers!D865,Raw_Volunteers!$E$2:$E$926,Raw_Volunteers!E865,Raw_Volunteers!$G$2:$G$926,Raw_Volunteers!G865)&gt;1,"Possible Duplicate","")</f>
        <v/>
      </c>
      <c r="C865" s="9" t="n">
        <f aca="false">Raw_Volunteers!B865</f>
        <v>0</v>
      </c>
      <c r="D865" s="9" t="str">
        <f aca="false">IF(C865="","No","Yes")</f>
        <v>No</v>
      </c>
      <c r="E865" s="9" t="str">
        <f aca="false">Raw_Volunteers!C865</f>
        <v>Ashley Jones</v>
      </c>
      <c r="F865" s="9" t="str">
        <f aca="false">Raw_Volunteers!D865</f>
        <v>02/05/2025</v>
      </c>
      <c r="G865" s="9" t="str">
        <f aca="false">PROPER(TRIM(Raw_Volunteers!E865))</f>
        <v>Front Desk Greeter</v>
      </c>
      <c r="H865" s="9" t="str">
        <f aca="false">Raw_Volunteers!F865</f>
        <v>Community Center Site</v>
      </c>
      <c r="I865" s="9" t="n">
        <f aca="false">IF(Raw_Volunteers!G865="",ROUND(AVERAGE(Raw_Volunteers!$G$2:$G$926),1),Raw_Volunteers!G865)</f>
        <v>2</v>
      </c>
    </row>
    <row r="866" customFormat="false" ht="15" hidden="false" customHeight="true" outlineLevel="0" collapsed="false">
      <c r="A866" s="9" t="str">
        <f aca="false">Raw_Volunteers!A866</f>
        <v>V2192</v>
      </c>
      <c r="B866" s="9" t="str">
        <f aca="false">IF(COUNTIFS(Raw_Volunteers!$A$2:$A$926,Raw_Volunteers!A866,Raw_Volunteers!$D$2:$D$926,Raw_Volunteers!D866,Raw_Volunteers!$E$2:$E$926,Raw_Volunteers!E866,Raw_Volunteers!$G$2:$G$926,Raw_Volunteers!G866)&gt;1,"Possible Duplicate","")</f>
        <v/>
      </c>
      <c r="C866" s="9" t="n">
        <f aca="false">Raw_Volunteers!B866</f>
        <v>0</v>
      </c>
      <c r="D866" s="9" t="str">
        <f aca="false">IF(C866="","No","Yes")</f>
        <v>No</v>
      </c>
      <c r="E866" s="9" t="str">
        <f aca="false">Raw_Volunteers!C866</f>
        <v>Ashley Jones</v>
      </c>
      <c r="F866" s="9" t="str">
        <f aca="false">Raw_Volunteers!D866</f>
        <v>02/07/2025</v>
      </c>
      <c r="G866" s="9" t="str">
        <f aca="false">PROPER(TRIM(Raw_Volunteers!E866))</f>
        <v>Front Desk Greeter</v>
      </c>
      <c r="H866" s="9" t="str">
        <f aca="false">Raw_Volunteers!F866</f>
        <v>Downtown Pantry</v>
      </c>
      <c r="I866" s="9" t="n">
        <f aca="false">IF(Raw_Volunteers!G866="",ROUND(AVERAGE(Raw_Volunteers!$G$2:$G$926),1),Raw_Volunteers!G866)</f>
        <v>3</v>
      </c>
    </row>
    <row r="867" customFormat="false" ht="15" hidden="false" customHeight="true" outlineLevel="0" collapsed="false">
      <c r="A867" s="9" t="str">
        <f aca="false">Raw_Volunteers!A867</f>
        <v>V2193</v>
      </c>
      <c r="B867" s="9" t="str">
        <f aca="false">IF(COUNTIFS(Raw_Volunteers!$A$2:$A$926,Raw_Volunteers!A867,Raw_Volunteers!$D$2:$D$926,Raw_Volunteers!D867,Raw_Volunteers!$E$2:$E$926,Raw_Volunteers!E867,Raw_Volunteers!$G$2:$G$926,Raw_Volunteers!G867)&gt;1,"Possible Duplicate","")</f>
        <v/>
      </c>
      <c r="C867" s="9" t="n">
        <f aca="false">Raw_Volunteers!B867</f>
        <v>0</v>
      </c>
      <c r="D867" s="9" t="str">
        <f aca="false">IF(C867="","No","Yes")</f>
        <v>No</v>
      </c>
      <c r="E867" s="9" t="str">
        <f aca="false">Raw_Volunteers!C867</f>
        <v>Lisa Thompson</v>
      </c>
      <c r="F867" s="9" t="str">
        <f aca="false">Raw_Volunteers!D867</f>
        <v>10/06/2025</v>
      </c>
      <c r="G867" s="9" t="str">
        <f aca="false">PROPER(TRIM(Raw_Volunteers!E867))</f>
        <v>Client Intake Assistant</v>
      </c>
      <c r="H867" s="9" t="str">
        <f aca="false">Raw_Volunteers!F867</f>
        <v>Downtown Pantry</v>
      </c>
      <c r="I867" s="9" t="n">
        <f aca="false">IF(Raw_Volunteers!G867="",ROUND(AVERAGE(Raw_Volunteers!$G$2:$G$926),1),Raw_Volunteers!G867)</f>
        <v>4</v>
      </c>
    </row>
    <row r="868" customFormat="false" ht="15" hidden="false" customHeight="true" outlineLevel="0" collapsed="false">
      <c r="A868" s="9" t="str">
        <f aca="false">Raw_Volunteers!A868</f>
        <v>V2194</v>
      </c>
      <c r="B868" s="9" t="str">
        <f aca="false">IF(COUNTIFS(Raw_Volunteers!$A$2:$A$926,Raw_Volunteers!A868,Raw_Volunteers!$D$2:$D$926,Raw_Volunteers!D868,Raw_Volunteers!$E$2:$E$926,Raw_Volunteers!E868,Raw_Volunteers!$G$2:$G$926,Raw_Volunteers!G868)&gt;1,"Possible Duplicate","")</f>
        <v/>
      </c>
      <c r="C868" s="9" t="n">
        <f aca="false">Raw_Volunteers!B868</f>
        <v>0</v>
      </c>
      <c r="D868" s="9" t="str">
        <f aca="false">IF(C868="","No","Yes")</f>
        <v>No</v>
      </c>
      <c r="E868" s="9" t="str">
        <f aca="false">Raw_Volunteers!C868</f>
        <v>Kimberly Jones</v>
      </c>
      <c r="F868" s="9" t="str">
        <f aca="false">Raw_Volunteers!D868</f>
        <v>04/10/2024</v>
      </c>
      <c r="G868" s="9" t="str">
        <f aca="false">PROPER(TRIM(Raw_Volunteers!E868))</f>
        <v>Pantry Stocking</v>
      </c>
      <c r="H868" s="9" t="str">
        <f aca="false">Raw_Volunteers!F868</f>
        <v>Downtown Pantry</v>
      </c>
      <c r="I868" s="9" t="n">
        <f aca="false">IF(Raw_Volunteers!G868="",ROUND(AVERAGE(Raw_Volunteers!$G$2:$G$926),1),Raw_Volunteers!G868)</f>
        <v>3</v>
      </c>
    </row>
    <row r="869" customFormat="false" ht="15" hidden="false" customHeight="true" outlineLevel="0" collapsed="false">
      <c r="A869" s="9" t="str">
        <f aca="false">Raw_Volunteers!A869</f>
        <v>V2194</v>
      </c>
      <c r="B869" s="9" t="str">
        <f aca="false">IF(COUNTIFS(Raw_Volunteers!$A$2:$A$926,Raw_Volunteers!A869,Raw_Volunteers!$D$2:$D$926,Raw_Volunteers!D869,Raw_Volunteers!$E$2:$E$926,Raw_Volunteers!E869,Raw_Volunteers!$G$2:$G$926,Raw_Volunteers!G869)&gt;1,"Possible Duplicate","")</f>
        <v/>
      </c>
      <c r="C869" s="9" t="n">
        <f aca="false">Raw_Volunteers!B869</f>
        <v>0</v>
      </c>
      <c r="D869" s="9" t="str">
        <f aca="false">IF(C869="","No","Yes")</f>
        <v>No</v>
      </c>
      <c r="E869" s="9" t="str">
        <f aca="false">Raw_Volunteers!C869</f>
        <v>Kimberly Jones</v>
      </c>
      <c r="F869" s="9" t="str">
        <f aca="false">Raw_Volunteers!D869</f>
        <v>10/31/2025</v>
      </c>
      <c r="G869" s="9" t="str">
        <f aca="false">PROPER(TRIM(Raw_Volunteers!E869))</f>
        <v>Client Intake Assistant</v>
      </c>
      <c r="H869" s="9" t="str">
        <f aca="false">Raw_Volunteers!F869</f>
        <v>Downtown Pantry</v>
      </c>
      <c r="I869" s="9" t="n">
        <f aca="false">IF(Raw_Volunteers!G869="",ROUND(AVERAGE(Raw_Volunteers!$G$2:$G$926),1),Raw_Volunteers!G869)</f>
        <v>3</v>
      </c>
    </row>
    <row r="870" customFormat="false" ht="15" hidden="false" customHeight="true" outlineLevel="0" collapsed="false">
      <c r="A870" s="9" t="str">
        <f aca="false">Raw_Volunteers!A870</f>
        <v>V2195</v>
      </c>
      <c r="B870" s="9" t="str">
        <f aca="false">IF(COUNTIFS(Raw_Volunteers!$A$2:$A$926,Raw_Volunteers!A870,Raw_Volunteers!$D$2:$D$926,Raw_Volunteers!D870,Raw_Volunteers!$E$2:$E$926,Raw_Volunteers!E870,Raw_Volunteers!$G$2:$G$926,Raw_Volunteers!G870)&gt;1,"Possible Duplicate","")</f>
        <v/>
      </c>
      <c r="C870" s="9" t="n">
        <f aca="false">Raw_Volunteers!B870</f>
        <v>0</v>
      </c>
      <c r="D870" s="9" t="str">
        <f aca="false">IF(C870="","No","Yes")</f>
        <v>No</v>
      </c>
      <c r="E870" s="9" t="str">
        <f aca="false">Raw_Volunteers!C870</f>
        <v>Kimberly Lewis</v>
      </c>
      <c r="F870" s="9" t="str">
        <f aca="false">Raw_Volunteers!D870</f>
        <v>02/18/2024</v>
      </c>
      <c r="G870" s="9" t="str">
        <f aca="false">PROPER(TRIM(Raw_Volunteers!E870))</f>
        <v>Front Desk Greeter</v>
      </c>
      <c r="H870" s="9" t="str">
        <f aca="false">Raw_Volunteers!F870</f>
        <v>Community Center Site</v>
      </c>
      <c r="I870" s="9" t="n">
        <f aca="false">IF(Raw_Volunteers!G870="",ROUND(AVERAGE(Raw_Volunteers!$G$2:$G$926),1),Raw_Volunteers!G870)</f>
        <v>3</v>
      </c>
    </row>
    <row r="871" customFormat="false" ht="15" hidden="false" customHeight="true" outlineLevel="0" collapsed="false">
      <c r="A871" s="9" t="str">
        <f aca="false">Raw_Volunteers!A871</f>
        <v>V2195</v>
      </c>
      <c r="B871" s="9" t="str">
        <f aca="false">IF(COUNTIFS(Raw_Volunteers!$A$2:$A$926,Raw_Volunteers!A871,Raw_Volunteers!$D$2:$D$926,Raw_Volunteers!D871,Raw_Volunteers!$E$2:$E$926,Raw_Volunteers!E871,Raw_Volunteers!$G$2:$G$926,Raw_Volunteers!G871)&gt;1,"Possible Duplicate","")</f>
        <v/>
      </c>
      <c r="C871" s="9" t="n">
        <f aca="false">Raw_Volunteers!B871</f>
        <v>0</v>
      </c>
      <c r="D871" s="9" t="str">
        <f aca="false">IF(C871="","No","Yes")</f>
        <v>No</v>
      </c>
      <c r="E871" s="9" t="str">
        <f aca="false">Raw_Volunteers!C871</f>
        <v>Kimberly Lewis</v>
      </c>
      <c r="F871" s="9" t="str">
        <f aca="false">Raw_Volunteers!D871</f>
        <v>05/18/2026</v>
      </c>
      <c r="G871" s="9" t="str">
        <f aca="false">PROPER(TRIM(Raw_Volunteers!E871))</f>
        <v>Pantry Stocking</v>
      </c>
      <c r="H871" s="9" t="str">
        <f aca="false">Raw_Volunteers!F871</f>
        <v>Mobile Unit - Route B</v>
      </c>
      <c r="I871" s="9" t="n">
        <f aca="false">IF(Raw_Volunteers!G871="",ROUND(AVERAGE(Raw_Volunteers!$G$2:$G$926),1),Raw_Volunteers!G871)</f>
        <v>2</v>
      </c>
    </row>
    <row r="872" customFormat="false" ht="15" hidden="false" customHeight="true" outlineLevel="0" collapsed="false">
      <c r="A872" s="9" t="str">
        <f aca="false">Raw_Volunteers!A872</f>
        <v>V2195</v>
      </c>
      <c r="B872" s="9" t="str">
        <f aca="false">IF(COUNTIFS(Raw_Volunteers!$A$2:$A$926,Raw_Volunteers!A872,Raw_Volunteers!$D$2:$D$926,Raw_Volunteers!D872,Raw_Volunteers!$E$2:$E$926,Raw_Volunteers!E872,Raw_Volunteers!$G$2:$G$926,Raw_Volunteers!G872)&gt;1,"Possible Duplicate","")</f>
        <v/>
      </c>
      <c r="C872" s="9" t="n">
        <f aca="false">Raw_Volunteers!B872</f>
        <v>0</v>
      </c>
      <c r="D872" s="9" t="str">
        <f aca="false">IF(C872="","No","Yes")</f>
        <v>No</v>
      </c>
      <c r="E872" s="9" t="str">
        <f aca="false">Raw_Volunteers!C872</f>
        <v>Kimberly Lewis</v>
      </c>
      <c r="F872" s="9" t="str">
        <f aca="false">Raw_Volunteers!D872</f>
        <v>02/20/2024</v>
      </c>
      <c r="G872" s="9" t="str">
        <f aca="false">PROPER(TRIM(Raw_Volunteers!E872))</f>
        <v>Food Sorting</v>
      </c>
      <c r="H872" s="9" t="str">
        <f aca="false">Raw_Volunteers!F872</f>
        <v>Main Warehouse</v>
      </c>
      <c r="I872" s="9" t="n">
        <f aca="false">IF(Raw_Volunteers!G872="",ROUND(AVERAGE(Raw_Volunteers!$G$2:$G$926),1),Raw_Volunteers!G872)</f>
        <v>2</v>
      </c>
    </row>
    <row r="873" customFormat="false" ht="15" hidden="false" customHeight="true" outlineLevel="0" collapsed="false">
      <c r="A873" s="9" t="str">
        <f aca="false">Raw_Volunteers!A873</f>
        <v>V2196</v>
      </c>
      <c r="B873" s="9" t="str">
        <f aca="false">IF(COUNTIFS(Raw_Volunteers!$A$2:$A$926,Raw_Volunteers!A873,Raw_Volunteers!$D$2:$D$926,Raw_Volunteers!D873,Raw_Volunteers!$E$2:$E$926,Raw_Volunteers!E873,Raw_Volunteers!$G$2:$G$926,Raw_Volunteers!G873)&gt;1,"Possible Duplicate","")</f>
        <v/>
      </c>
      <c r="C873" s="9" t="n">
        <f aca="false">Raw_Volunteers!B873</f>
        <v>0</v>
      </c>
      <c r="D873" s="9" t="str">
        <f aca="false">IF(C873="","No","Yes")</f>
        <v>No</v>
      </c>
      <c r="E873" s="9" t="str">
        <f aca="false">Raw_Volunteers!C873</f>
        <v>Deborah Walker</v>
      </c>
      <c r="F873" s="9" t="str">
        <f aca="false">Raw_Volunteers!D873</f>
        <v>04/18/2026</v>
      </c>
      <c r="G873" s="9" t="str">
        <f aca="false">PROPER(TRIM(Raw_Volunteers!E873))</f>
        <v>Holiday Box Packing</v>
      </c>
      <c r="H873" s="9" t="str">
        <f aca="false">Raw_Volunteers!F873</f>
        <v>Main Warehouse</v>
      </c>
      <c r="I873" s="9" t="n">
        <f aca="false">IF(Raw_Volunteers!G873="",ROUND(AVERAGE(Raw_Volunteers!$G$2:$G$926),1),Raw_Volunteers!G873)</f>
        <v>3</v>
      </c>
    </row>
    <row r="874" customFormat="false" ht="15" hidden="false" customHeight="true" outlineLevel="0" collapsed="false">
      <c r="A874" s="9" t="str">
        <f aca="false">Raw_Volunteers!A874</f>
        <v>V2196</v>
      </c>
      <c r="B874" s="9" t="str">
        <f aca="false">IF(COUNTIFS(Raw_Volunteers!$A$2:$A$926,Raw_Volunteers!A874,Raw_Volunteers!$D$2:$D$926,Raw_Volunteers!D874,Raw_Volunteers!$E$2:$E$926,Raw_Volunteers!E874,Raw_Volunteers!$G$2:$G$926,Raw_Volunteers!G874)&gt;1,"Possible Duplicate","")</f>
        <v/>
      </c>
      <c r="C874" s="9" t="n">
        <f aca="false">Raw_Volunteers!B874</f>
        <v>0</v>
      </c>
      <c r="D874" s="9" t="str">
        <f aca="false">IF(C874="","No","Yes")</f>
        <v>No</v>
      </c>
      <c r="E874" s="9" t="str">
        <f aca="false">Raw_Volunteers!C874</f>
        <v>Deborah Walker</v>
      </c>
      <c r="F874" s="9" t="str">
        <f aca="false">Raw_Volunteers!D874</f>
        <v>03/04/2025</v>
      </c>
      <c r="G874" s="9" t="str">
        <f aca="false">PROPER(TRIM(Raw_Volunteers!E874))</f>
        <v>Food Sorting</v>
      </c>
      <c r="H874" s="9" t="str">
        <f aca="false">Raw_Volunteers!F874</f>
        <v>Community Center Site</v>
      </c>
      <c r="I874" s="9" t="n">
        <f aca="false">IF(Raw_Volunteers!G874="",ROUND(AVERAGE(Raw_Volunteers!$G$2:$G$926),1),Raw_Volunteers!G874)</f>
        <v>2</v>
      </c>
    </row>
    <row r="875" customFormat="false" ht="15" hidden="false" customHeight="true" outlineLevel="0" collapsed="false">
      <c r="A875" s="9" t="str">
        <f aca="false">Raw_Volunteers!A875</f>
        <v>V2197</v>
      </c>
      <c r="B875" s="9" t="str">
        <f aca="false">IF(COUNTIFS(Raw_Volunteers!$A$2:$A$926,Raw_Volunteers!A875,Raw_Volunteers!$D$2:$D$926,Raw_Volunteers!D875,Raw_Volunteers!$E$2:$E$926,Raw_Volunteers!E875,Raw_Volunteers!$G$2:$G$926,Raw_Volunteers!G875)&gt;1,"Possible Duplicate","")</f>
        <v/>
      </c>
      <c r="C875" s="9" t="n">
        <f aca="false">Raw_Volunteers!B875</f>
        <v>0</v>
      </c>
      <c r="D875" s="9" t="str">
        <f aca="false">IF(C875="","No","Yes")</f>
        <v>No</v>
      </c>
      <c r="E875" s="9" t="str">
        <f aca="false">Raw_Volunteers!C875</f>
        <v>Edward Ramirez</v>
      </c>
      <c r="F875" s="9" t="str">
        <f aca="false">Raw_Volunteers!D875</f>
        <v>06/28/2024</v>
      </c>
      <c r="G875" s="9" t="str">
        <f aca="false">PROPER(TRIM(Raw_Volunteers!E875))</f>
        <v>Client Intake Assistant</v>
      </c>
      <c r="H875" s="9" t="str">
        <f aca="false">Raw_Volunteers!F875</f>
        <v>Downtown Pantry</v>
      </c>
      <c r="I875" s="9" t="n">
        <f aca="false">IF(Raw_Volunteers!G875="",ROUND(AVERAGE(Raw_Volunteers!$G$2:$G$926),1),Raw_Volunteers!G875)</f>
        <v>2</v>
      </c>
    </row>
    <row r="876" customFormat="false" ht="15" hidden="false" customHeight="true" outlineLevel="0" collapsed="false">
      <c r="A876" s="9" t="str">
        <f aca="false">Raw_Volunteers!A876</f>
        <v>V2198</v>
      </c>
      <c r="B876" s="9" t="str">
        <f aca="false">IF(COUNTIFS(Raw_Volunteers!$A$2:$A$926,Raw_Volunteers!A876,Raw_Volunteers!$D$2:$D$926,Raw_Volunteers!D876,Raw_Volunteers!$E$2:$E$926,Raw_Volunteers!E876,Raw_Volunteers!$G$2:$G$926,Raw_Volunteers!G876)&gt;1,"Possible Duplicate","")</f>
        <v/>
      </c>
      <c r="C876" s="9" t="n">
        <f aca="false">Raw_Volunteers!B876</f>
        <v>0</v>
      </c>
      <c r="D876" s="9" t="str">
        <f aca="false">IF(C876="","No","Yes")</f>
        <v>No</v>
      </c>
      <c r="E876" s="9" t="str">
        <f aca="false">Raw_Volunteers!C876</f>
        <v>David Wilson</v>
      </c>
      <c r="F876" s="9" t="str">
        <f aca="false">Raw_Volunteers!D876</f>
        <v>03/07/2026</v>
      </c>
      <c r="G876" s="9" t="str">
        <f aca="false">PROPER(TRIM(Raw_Volunteers!E876))</f>
        <v>Food Sorting</v>
      </c>
      <c r="H876" s="9" t="str">
        <f aca="false">Raw_Volunteers!F876</f>
        <v>Community Center Site</v>
      </c>
      <c r="I876" s="9" t="n">
        <f aca="false">IF(Raw_Volunteers!G876="",ROUND(AVERAGE(Raw_Volunteers!$G$2:$G$926),1),Raw_Volunteers!G876)</f>
        <v>2</v>
      </c>
    </row>
    <row r="877" customFormat="false" ht="15" hidden="false" customHeight="true" outlineLevel="0" collapsed="false">
      <c r="A877" s="9" t="str">
        <f aca="false">Raw_Volunteers!A877</f>
        <v>V2199</v>
      </c>
      <c r="B877" s="9" t="str">
        <f aca="false">IF(COUNTIFS(Raw_Volunteers!$A$2:$A$926,Raw_Volunteers!A877,Raw_Volunteers!$D$2:$D$926,Raw_Volunteers!D877,Raw_Volunteers!$E$2:$E$926,Raw_Volunteers!E877,Raw_Volunteers!$G$2:$G$926,Raw_Volunteers!G877)&gt;1,"Possible Duplicate","")</f>
        <v/>
      </c>
      <c r="C877" s="9" t="n">
        <f aca="false">Raw_Volunteers!B877</f>
        <v>0</v>
      </c>
      <c r="D877" s="9" t="str">
        <f aca="false">IF(C877="","No","Yes")</f>
        <v>No</v>
      </c>
      <c r="E877" s="9" t="str">
        <f aca="false">Raw_Volunteers!C877</f>
        <v>Sandra Smith</v>
      </c>
      <c r="F877" s="9" t="str">
        <f aca="false">Raw_Volunteers!D877</f>
        <v>04/26/2024</v>
      </c>
      <c r="G877" s="9" t="str">
        <f aca="false">PROPER(TRIM(Raw_Volunteers!E877))</f>
        <v>Client Intake Assistant</v>
      </c>
      <c r="H877" s="9" t="str">
        <f aca="false">Raw_Volunteers!F877</f>
        <v>Mobile Unit - Route A</v>
      </c>
      <c r="I877" s="9" t="n">
        <f aca="false">IF(Raw_Volunteers!G877="",ROUND(AVERAGE(Raw_Volunteers!$G$2:$G$926),1),Raw_Volunteers!G877)</f>
        <v>5</v>
      </c>
    </row>
    <row r="878" customFormat="false" ht="15" hidden="false" customHeight="true" outlineLevel="0" collapsed="false">
      <c r="A878" s="9" t="str">
        <f aca="false">Raw_Volunteers!A878</f>
        <v>V2200</v>
      </c>
      <c r="B878" s="9" t="str">
        <f aca="false">IF(COUNTIFS(Raw_Volunteers!$A$2:$A$926,Raw_Volunteers!A878,Raw_Volunteers!$D$2:$D$926,Raw_Volunteers!D878,Raw_Volunteers!$E$2:$E$926,Raw_Volunteers!E878,Raw_Volunteers!$G$2:$G$926,Raw_Volunteers!G878)&gt;1,"Possible Duplicate","")</f>
        <v/>
      </c>
      <c r="C878" s="9" t="n">
        <f aca="false">Raw_Volunteers!B878</f>
        <v>0</v>
      </c>
      <c r="D878" s="9" t="str">
        <f aca="false">IF(C878="","No","Yes")</f>
        <v>No</v>
      </c>
      <c r="E878" s="9" t="str">
        <f aca="false">Raw_Volunteers!C878</f>
        <v>Nancy Miller</v>
      </c>
      <c r="F878" s="9" t="str">
        <f aca="false">Raw_Volunteers!D878</f>
        <v>11/11/2024</v>
      </c>
      <c r="G878" s="9" t="str">
        <f aca="false">PROPER(TRIM(Raw_Volunteers!E878))</f>
        <v>Mobile Distribution Driver</v>
      </c>
      <c r="H878" s="9" t="str">
        <f aca="false">Raw_Volunteers!F878</f>
        <v>Main Warehouse</v>
      </c>
      <c r="I878" s="9" t="n">
        <f aca="false">IF(Raw_Volunteers!G878="",ROUND(AVERAGE(Raw_Volunteers!$G$2:$G$926),1),Raw_Volunteers!G878)</f>
        <v>2.9</v>
      </c>
    </row>
    <row r="879" customFormat="false" ht="15" hidden="false" customHeight="true" outlineLevel="0" collapsed="false">
      <c r="A879" s="9" t="str">
        <f aca="false">Raw_Volunteers!A879</f>
        <v>V2201</v>
      </c>
      <c r="B879" s="9" t="str">
        <f aca="false">IF(COUNTIFS(Raw_Volunteers!$A$2:$A$926,Raw_Volunteers!A879,Raw_Volunteers!$D$2:$D$926,Raw_Volunteers!D879,Raw_Volunteers!$E$2:$E$926,Raw_Volunteers!E879,Raw_Volunteers!$G$2:$G$926,Raw_Volunteers!G879)&gt;1,"Possible Duplicate","")</f>
        <v/>
      </c>
      <c r="C879" s="9" t="n">
        <f aca="false">Raw_Volunteers!B879</f>
        <v>0</v>
      </c>
      <c r="D879" s="9" t="str">
        <f aca="false">IF(C879="","No","Yes")</f>
        <v>No</v>
      </c>
      <c r="E879" s="9" t="str">
        <f aca="false">Raw_Volunteers!C879</f>
        <v>Michelle Smith</v>
      </c>
      <c r="F879" s="9" t="str">
        <f aca="false">Raw_Volunteers!D879</f>
        <v>08/15/2025</v>
      </c>
      <c r="G879" s="9" t="str">
        <f aca="false">PROPER(TRIM(Raw_Volunteers!E879))</f>
        <v>Holiday Box Packing</v>
      </c>
      <c r="H879" s="9" t="str">
        <f aca="false">Raw_Volunteers!F879</f>
        <v>Mobile Unit - Route B</v>
      </c>
      <c r="I879" s="9" t="n">
        <f aca="false">IF(Raw_Volunteers!G879="",ROUND(AVERAGE(Raw_Volunteers!$G$2:$G$926),1),Raw_Volunteers!G879)</f>
        <v>3</v>
      </c>
    </row>
    <row r="880" customFormat="false" ht="15" hidden="false" customHeight="true" outlineLevel="0" collapsed="false">
      <c r="A880" s="9" t="str">
        <f aca="false">Raw_Volunteers!A880</f>
        <v>V2201</v>
      </c>
      <c r="B880" s="9" t="str">
        <f aca="false">IF(COUNTIFS(Raw_Volunteers!$A$2:$A$926,Raw_Volunteers!A880,Raw_Volunteers!$D$2:$D$926,Raw_Volunteers!D880,Raw_Volunteers!$E$2:$E$926,Raw_Volunteers!E880,Raw_Volunteers!$G$2:$G$926,Raw_Volunteers!G880)&gt;1,"Possible Duplicate","")</f>
        <v/>
      </c>
      <c r="C880" s="9" t="n">
        <f aca="false">Raw_Volunteers!B880</f>
        <v>0</v>
      </c>
      <c r="D880" s="9" t="str">
        <f aca="false">IF(C880="","No","Yes")</f>
        <v>No</v>
      </c>
      <c r="E880" s="9" t="str">
        <f aca="false">Raw_Volunteers!C880</f>
        <v>Michelle Smith</v>
      </c>
      <c r="F880" s="9" t="str">
        <f aca="false">Raw_Volunteers!D880</f>
        <v>05/18/2025</v>
      </c>
      <c r="G880" s="9" t="str">
        <f aca="false">PROPER(TRIM(Raw_Volunteers!E880))</f>
        <v>Client Intake Assistant</v>
      </c>
      <c r="H880" s="9" t="str">
        <f aca="false">Raw_Volunteers!F880</f>
        <v>Mobile Unit - Route A</v>
      </c>
      <c r="I880" s="9" t="n">
        <f aca="false">IF(Raw_Volunteers!G880="",ROUND(AVERAGE(Raw_Volunteers!$G$2:$G$926),1),Raw_Volunteers!G880)</f>
        <v>4</v>
      </c>
    </row>
    <row r="881" customFormat="false" ht="15" hidden="false" customHeight="true" outlineLevel="0" collapsed="false">
      <c r="A881" s="9" t="str">
        <f aca="false">Raw_Volunteers!A881</f>
        <v>V2202</v>
      </c>
      <c r="B881" s="9" t="str">
        <f aca="false">IF(COUNTIFS(Raw_Volunteers!$A$2:$A$926,Raw_Volunteers!A881,Raw_Volunteers!$D$2:$D$926,Raw_Volunteers!D881,Raw_Volunteers!$E$2:$E$926,Raw_Volunteers!E881,Raw_Volunteers!$G$2:$G$926,Raw_Volunteers!G881)&gt;1,"Possible Duplicate","")</f>
        <v/>
      </c>
      <c r="C881" s="9" t="n">
        <f aca="false">Raw_Volunteers!B881</f>
        <v>0</v>
      </c>
      <c r="D881" s="9" t="str">
        <f aca="false">IF(C881="","No","Yes")</f>
        <v>No</v>
      </c>
      <c r="E881" s="9" t="str">
        <f aca="false">Raw_Volunteers!C881</f>
        <v>Andrew Rodriguez</v>
      </c>
      <c r="F881" s="9" t="str">
        <f aca="false">Raw_Volunteers!D881</f>
        <v>04/03/2026</v>
      </c>
      <c r="G881" s="9" t="str">
        <f aca="false">PROPER(TRIM(Raw_Volunteers!E881))</f>
        <v>Event Setup</v>
      </c>
      <c r="H881" s="9" t="str">
        <f aca="false">Raw_Volunteers!F881</f>
        <v>Main Warehouse</v>
      </c>
      <c r="I881" s="9" t="n">
        <f aca="false">IF(Raw_Volunteers!G881="",ROUND(AVERAGE(Raw_Volunteers!$G$2:$G$926),1),Raw_Volunteers!G881)</f>
        <v>3</v>
      </c>
    </row>
    <row r="882" customFormat="false" ht="15" hidden="false" customHeight="true" outlineLevel="0" collapsed="false">
      <c r="A882" s="9" t="str">
        <f aca="false">Raw_Volunteers!A882</f>
        <v>V2202</v>
      </c>
      <c r="B882" s="9" t="str">
        <f aca="false">IF(COUNTIFS(Raw_Volunteers!$A$2:$A$926,Raw_Volunteers!A882,Raw_Volunteers!$D$2:$D$926,Raw_Volunteers!D882,Raw_Volunteers!$E$2:$E$926,Raw_Volunteers!E882,Raw_Volunteers!$G$2:$G$926,Raw_Volunteers!G882)&gt;1,"Possible Duplicate","")</f>
        <v/>
      </c>
      <c r="C882" s="9" t="n">
        <f aca="false">Raw_Volunteers!B882</f>
        <v>0</v>
      </c>
      <c r="D882" s="9" t="str">
        <f aca="false">IF(C882="","No","Yes")</f>
        <v>No</v>
      </c>
      <c r="E882" s="9" t="str">
        <f aca="false">Raw_Volunteers!C882</f>
        <v>Andrew Rodriguez</v>
      </c>
      <c r="F882" s="9" t="str">
        <f aca="false">Raw_Volunteers!D882</f>
        <v>03/18/2024</v>
      </c>
      <c r="G882" s="9" t="str">
        <f aca="false">PROPER(TRIM(Raw_Volunteers!E882))</f>
        <v>Holiday Box Packing</v>
      </c>
      <c r="H882" s="9" t="str">
        <f aca="false">Raw_Volunteers!F882</f>
        <v>Downtown Pantry</v>
      </c>
      <c r="I882" s="9" t="n">
        <f aca="false">IF(Raw_Volunteers!G882="",ROUND(AVERAGE(Raw_Volunteers!$G$2:$G$926),1),Raw_Volunteers!G882)</f>
        <v>4</v>
      </c>
    </row>
    <row r="883" customFormat="false" ht="15" hidden="false" customHeight="true" outlineLevel="0" collapsed="false">
      <c r="A883" s="9" t="str">
        <f aca="false">Raw_Volunteers!A883</f>
        <v>V2202</v>
      </c>
      <c r="B883" s="9" t="str">
        <f aca="false">IF(COUNTIFS(Raw_Volunteers!$A$2:$A$926,Raw_Volunteers!A883,Raw_Volunteers!$D$2:$D$926,Raw_Volunteers!D883,Raw_Volunteers!$E$2:$E$926,Raw_Volunteers!E883,Raw_Volunteers!$G$2:$G$926,Raw_Volunteers!G883)&gt;1,"Possible Duplicate","")</f>
        <v/>
      </c>
      <c r="C883" s="9" t="n">
        <f aca="false">Raw_Volunteers!B883</f>
        <v>0</v>
      </c>
      <c r="D883" s="9" t="str">
        <f aca="false">IF(C883="","No","Yes")</f>
        <v>No</v>
      </c>
      <c r="E883" s="9" t="str">
        <f aca="false">Raw_Volunteers!C883</f>
        <v>Andrew Rodriguez</v>
      </c>
      <c r="F883" s="9" t="str">
        <f aca="false">Raw_Volunteers!D883</f>
        <v>12/16/2024</v>
      </c>
      <c r="G883" s="9" t="str">
        <f aca="false">PROPER(TRIM(Raw_Volunteers!E883))</f>
        <v>Event Setup</v>
      </c>
      <c r="H883" s="9" t="str">
        <f aca="false">Raw_Volunteers!F883</f>
        <v>Community Center Site</v>
      </c>
      <c r="I883" s="9" t="n">
        <f aca="false">IF(Raw_Volunteers!G883="",ROUND(AVERAGE(Raw_Volunteers!$G$2:$G$926),1),Raw_Volunteers!G883)</f>
        <v>3</v>
      </c>
    </row>
    <row r="884" customFormat="false" ht="15" hidden="false" customHeight="true" outlineLevel="0" collapsed="false">
      <c r="A884" s="9" t="str">
        <f aca="false">Raw_Volunteers!A884</f>
        <v>V2202</v>
      </c>
      <c r="B884" s="9" t="str">
        <f aca="false">IF(COUNTIFS(Raw_Volunteers!$A$2:$A$926,Raw_Volunteers!A884,Raw_Volunteers!$D$2:$D$926,Raw_Volunteers!D884,Raw_Volunteers!$E$2:$E$926,Raw_Volunteers!E884,Raw_Volunteers!$G$2:$G$926,Raw_Volunteers!G884)&gt;1,"Possible Duplicate","")</f>
        <v/>
      </c>
      <c r="C884" s="9" t="n">
        <f aca="false">Raw_Volunteers!B884</f>
        <v>0</v>
      </c>
      <c r="D884" s="9" t="str">
        <f aca="false">IF(C884="","No","Yes")</f>
        <v>No</v>
      </c>
      <c r="E884" s="9" t="str">
        <f aca="false">Raw_Volunteers!C884</f>
        <v>Andrew Rodriguez</v>
      </c>
      <c r="F884" s="9" t="str">
        <f aca="false">Raw_Volunteers!D884</f>
        <v>12/05/2025</v>
      </c>
      <c r="G884" s="9" t="str">
        <f aca="false">PROPER(TRIM(Raw_Volunteers!E884))</f>
        <v>Client Intake Assistant</v>
      </c>
      <c r="H884" s="9" t="str">
        <f aca="false">Raw_Volunteers!F884</f>
        <v>Mobile Unit - Route B</v>
      </c>
      <c r="I884" s="9" t="n">
        <f aca="false">IF(Raw_Volunteers!G884="",ROUND(AVERAGE(Raw_Volunteers!$G$2:$G$926),1),Raw_Volunteers!G884)</f>
        <v>3</v>
      </c>
    </row>
    <row r="885" customFormat="false" ht="15" hidden="false" customHeight="true" outlineLevel="0" collapsed="false">
      <c r="A885" s="9" t="str">
        <f aca="false">Raw_Volunteers!A885</f>
        <v>V2202</v>
      </c>
      <c r="B885" s="9" t="str">
        <f aca="false">IF(COUNTIFS(Raw_Volunteers!$A$2:$A$926,Raw_Volunteers!A885,Raw_Volunteers!$D$2:$D$926,Raw_Volunteers!D885,Raw_Volunteers!$E$2:$E$926,Raw_Volunteers!E885,Raw_Volunteers!$G$2:$G$926,Raw_Volunteers!G885)&gt;1,"Possible Duplicate","")</f>
        <v/>
      </c>
      <c r="C885" s="9" t="n">
        <f aca="false">Raw_Volunteers!B885</f>
        <v>0</v>
      </c>
      <c r="D885" s="9" t="str">
        <f aca="false">IF(C885="","No","Yes")</f>
        <v>No</v>
      </c>
      <c r="E885" s="9" t="str">
        <f aca="false">Raw_Volunteers!C885</f>
        <v>Andrew Rodriguez</v>
      </c>
      <c r="F885" s="9" t="str">
        <f aca="false">Raw_Volunteers!D885</f>
        <v>10/28/2025</v>
      </c>
      <c r="G885" s="9" t="str">
        <f aca="false">PROPER(TRIM(Raw_Volunteers!E885))</f>
        <v>Holiday Box Packing</v>
      </c>
      <c r="H885" s="9" t="str">
        <f aca="false">Raw_Volunteers!F885</f>
        <v>Mobile Unit - Route A</v>
      </c>
      <c r="I885" s="9" t="n">
        <f aca="false">IF(Raw_Volunteers!G885="",ROUND(AVERAGE(Raw_Volunteers!$G$2:$G$926),1),Raw_Volunteers!G885)</f>
        <v>2</v>
      </c>
    </row>
    <row r="886" customFormat="false" ht="15" hidden="false" customHeight="true" outlineLevel="0" collapsed="false">
      <c r="A886" s="9" t="str">
        <f aca="false">Raw_Volunteers!A886</f>
        <v>V2202</v>
      </c>
      <c r="B886" s="9" t="str">
        <f aca="false">IF(COUNTIFS(Raw_Volunteers!$A$2:$A$926,Raw_Volunteers!A886,Raw_Volunteers!$D$2:$D$926,Raw_Volunteers!D886,Raw_Volunteers!$E$2:$E$926,Raw_Volunteers!E886,Raw_Volunteers!$G$2:$G$926,Raw_Volunteers!G886)&gt;1,"Possible Duplicate","")</f>
        <v/>
      </c>
      <c r="C886" s="9" t="n">
        <f aca="false">Raw_Volunteers!B886</f>
        <v>0</v>
      </c>
      <c r="D886" s="9" t="str">
        <f aca="false">IF(C886="","No","Yes")</f>
        <v>No</v>
      </c>
      <c r="E886" s="9" t="str">
        <f aca="false">Raw_Volunteers!C886</f>
        <v>Andrew Rodriguez</v>
      </c>
      <c r="F886" s="9" t="str">
        <f aca="false">Raw_Volunteers!D886</f>
        <v>10/05/2024</v>
      </c>
      <c r="G886" s="9" t="str">
        <f aca="false">PROPER(TRIM(Raw_Volunteers!E886))</f>
        <v>Pantry Stocking</v>
      </c>
      <c r="H886" s="9" t="str">
        <f aca="false">Raw_Volunteers!F886</f>
        <v>Community Center Site</v>
      </c>
      <c r="I886" s="9" t="n">
        <f aca="false">IF(Raw_Volunteers!G886="",ROUND(AVERAGE(Raw_Volunteers!$G$2:$G$926),1),Raw_Volunteers!G886)</f>
        <v>4</v>
      </c>
    </row>
    <row r="887" customFormat="false" ht="15" hidden="false" customHeight="true" outlineLevel="0" collapsed="false">
      <c r="A887" s="9" t="str">
        <f aca="false">Raw_Volunteers!A887</f>
        <v>V2202</v>
      </c>
      <c r="B887" s="9" t="str">
        <f aca="false">IF(COUNTIFS(Raw_Volunteers!$A$2:$A$926,Raw_Volunteers!A887,Raw_Volunteers!$D$2:$D$926,Raw_Volunteers!D887,Raw_Volunteers!$E$2:$E$926,Raw_Volunteers!E887,Raw_Volunteers!$G$2:$G$926,Raw_Volunteers!G887)&gt;1,"Possible Duplicate","")</f>
        <v/>
      </c>
      <c r="C887" s="9" t="n">
        <f aca="false">Raw_Volunteers!B887</f>
        <v>0</v>
      </c>
      <c r="D887" s="9" t="str">
        <f aca="false">IF(C887="","No","Yes")</f>
        <v>No</v>
      </c>
      <c r="E887" s="9" t="str">
        <f aca="false">Raw_Volunteers!C887</f>
        <v>Andrew Rodriguez</v>
      </c>
      <c r="F887" s="9" t="str">
        <f aca="false">Raw_Volunteers!D887</f>
        <v>02/14/2024</v>
      </c>
      <c r="G887" s="9" t="str">
        <f aca="false">PROPER(TRIM(Raw_Volunteers!E887))</f>
        <v>Front Desk Greeter</v>
      </c>
      <c r="H887" s="9" t="str">
        <f aca="false">Raw_Volunteers!F887</f>
        <v>Mobile Unit - Route A</v>
      </c>
      <c r="I887" s="9" t="n">
        <f aca="false">IF(Raw_Volunteers!G887="",ROUND(AVERAGE(Raw_Volunteers!$G$2:$G$926),1),Raw_Volunteers!G887)</f>
        <v>2</v>
      </c>
    </row>
    <row r="888" customFormat="false" ht="15" hidden="false" customHeight="true" outlineLevel="0" collapsed="false">
      <c r="A888" s="9" t="str">
        <f aca="false">Raw_Volunteers!A888</f>
        <v>V2202</v>
      </c>
      <c r="B888" s="9" t="str">
        <f aca="false">IF(COUNTIFS(Raw_Volunteers!$A$2:$A$926,Raw_Volunteers!A888,Raw_Volunteers!$D$2:$D$926,Raw_Volunteers!D888,Raw_Volunteers!$E$2:$E$926,Raw_Volunteers!E888,Raw_Volunteers!$G$2:$G$926,Raw_Volunteers!G888)&gt;1,"Possible Duplicate","")</f>
        <v/>
      </c>
      <c r="C888" s="9" t="n">
        <f aca="false">Raw_Volunteers!B888</f>
        <v>0</v>
      </c>
      <c r="D888" s="9" t="str">
        <f aca="false">IF(C888="","No","Yes")</f>
        <v>No</v>
      </c>
      <c r="E888" s="9" t="str">
        <f aca="false">Raw_Volunteers!C888</f>
        <v>Andrew Rodriguez</v>
      </c>
      <c r="F888" s="9" t="str">
        <f aca="false">Raw_Volunteers!D888</f>
        <v>11/03/2024</v>
      </c>
      <c r="G888" s="9" t="str">
        <f aca="false">PROPER(TRIM(Raw_Volunteers!E888))</f>
        <v>Front Desk Greeter</v>
      </c>
      <c r="H888" s="9" t="str">
        <f aca="false">Raw_Volunteers!F888</f>
        <v>Mobile Unit - Route B</v>
      </c>
      <c r="I888" s="9" t="n">
        <f aca="false">IF(Raw_Volunteers!G888="",ROUND(AVERAGE(Raw_Volunteers!$G$2:$G$926),1),Raw_Volunteers!G888)</f>
        <v>3</v>
      </c>
    </row>
    <row r="889" customFormat="false" ht="15" hidden="false" customHeight="true" outlineLevel="0" collapsed="false">
      <c r="A889" s="9" t="str">
        <f aca="false">Raw_Volunteers!A889</f>
        <v>V2203</v>
      </c>
      <c r="B889" s="9" t="str">
        <f aca="false">IF(COUNTIFS(Raw_Volunteers!$A$2:$A$926,Raw_Volunteers!A889,Raw_Volunteers!$D$2:$D$926,Raw_Volunteers!D889,Raw_Volunteers!$E$2:$E$926,Raw_Volunteers!E889,Raw_Volunteers!$G$2:$G$926,Raw_Volunteers!G889)&gt;1,"Possible Duplicate","")</f>
        <v/>
      </c>
      <c r="C889" s="9" t="n">
        <f aca="false">Raw_Volunteers!B889</f>
        <v>0</v>
      </c>
      <c r="D889" s="9" t="str">
        <f aca="false">IF(C889="","No","Yes")</f>
        <v>No</v>
      </c>
      <c r="E889" s="9" t="str">
        <f aca="false">Raw_Volunteers!C889</f>
        <v>Christopher Lee</v>
      </c>
      <c r="F889" s="9" t="str">
        <f aca="false">Raw_Volunteers!D889</f>
        <v>10/26/2024</v>
      </c>
      <c r="G889" s="9" t="str">
        <f aca="false">PROPER(TRIM(Raw_Volunteers!E889))</f>
        <v>Mobile Distribution Driver</v>
      </c>
      <c r="H889" s="9" t="str">
        <f aca="false">Raw_Volunteers!F889</f>
        <v>Mobile Unit - Route A</v>
      </c>
      <c r="I889" s="9" t="n">
        <f aca="false">IF(Raw_Volunteers!G889="",ROUND(AVERAGE(Raw_Volunteers!$G$2:$G$926),1),Raw_Volunteers!G889)</f>
        <v>2</v>
      </c>
    </row>
    <row r="890" customFormat="false" ht="15" hidden="false" customHeight="true" outlineLevel="0" collapsed="false">
      <c r="A890" s="9" t="str">
        <f aca="false">Raw_Volunteers!A890</f>
        <v>V2203</v>
      </c>
      <c r="B890" s="9" t="str">
        <f aca="false">IF(COUNTIFS(Raw_Volunteers!$A$2:$A$926,Raw_Volunteers!A890,Raw_Volunteers!$D$2:$D$926,Raw_Volunteers!D890,Raw_Volunteers!$E$2:$E$926,Raw_Volunteers!E890,Raw_Volunteers!$G$2:$G$926,Raw_Volunteers!G890)&gt;1,"Possible Duplicate","")</f>
        <v/>
      </c>
      <c r="C890" s="9" t="n">
        <f aca="false">Raw_Volunteers!B890</f>
        <v>0</v>
      </c>
      <c r="D890" s="9" t="str">
        <f aca="false">IF(C890="","No","Yes")</f>
        <v>No</v>
      </c>
      <c r="E890" s="9" t="str">
        <f aca="false">Raw_Volunteers!C890</f>
        <v>Christopher Lee</v>
      </c>
      <c r="F890" s="9" t="str">
        <f aca="false">Raw_Volunteers!D890</f>
        <v>12/30/2025</v>
      </c>
      <c r="G890" s="9" t="str">
        <f aca="false">PROPER(TRIM(Raw_Volunteers!E890))</f>
        <v>Event Setup</v>
      </c>
      <c r="H890" s="9" t="str">
        <f aca="false">Raw_Volunteers!F890</f>
        <v>Downtown Pantry</v>
      </c>
      <c r="I890" s="9" t="n">
        <f aca="false">IF(Raw_Volunteers!G890="",ROUND(AVERAGE(Raw_Volunteers!$G$2:$G$926),1),Raw_Volunteers!G890)</f>
        <v>2</v>
      </c>
    </row>
    <row r="891" customFormat="false" ht="15" hidden="false" customHeight="true" outlineLevel="0" collapsed="false">
      <c r="A891" s="9" t="str">
        <f aca="false">Raw_Volunteers!A891</f>
        <v>V2204</v>
      </c>
      <c r="B891" s="9" t="str">
        <f aca="false">IF(COUNTIFS(Raw_Volunteers!$A$2:$A$926,Raw_Volunteers!A891,Raw_Volunteers!$D$2:$D$926,Raw_Volunteers!D891,Raw_Volunteers!$E$2:$E$926,Raw_Volunteers!E891,Raw_Volunteers!$G$2:$G$926,Raw_Volunteers!G891)&gt;1,"Possible Duplicate","")</f>
        <v/>
      </c>
      <c r="C891" s="9" t="n">
        <f aca="false">Raw_Volunteers!B891</f>
        <v>0</v>
      </c>
      <c r="D891" s="9" t="str">
        <f aca="false">IF(C891="","No","Yes")</f>
        <v>No</v>
      </c>
      <c r="E891" s="9" t="str">
        <f aca="false">Raw_Volunteers!C891</f>
        <v>James Young</v>
      </c>
      <c r="F891" s="9" t="str">
        <f aca="false">Raw_Volunteers!D891</f>
        <v>01/04/2026</v>
      </c>
      <c r="G891" s="9" t="str">
        <f aca="false">PROPER(TRIM(Raw_Volunteers!E891))</f>
        <v>Client Intake Assistant</v>
      </c>
      <c r="H891" s="9" t="str">
        <f aca="false">Raw_Volunteers!F891</f>
        <v>Community Center Site</v>
      </c>
      <c r="I891" s="9" t="n">
        <f aca="false">IF(Raw_Volunteers!G891="",ROUND(AVERAGE(Raw_Volunteers!$G$2:$G$926),1),Raw_Volunteers!G891)</f>
        <v>2</v>
      </c>
    </row>
    <row r="892" customFormat="false" ht="15" hidden="false" customHeight="true" outlineLevel="0" collapsed="false">
      <c r="A892" s="9" t="str">
        <f aca="false">Raw_Volunteers!A892</f>
        <v>V2204</v>
      </c>
      <c r="B892" s="9" t="str">
        <f aca="false">IF(COUNTIFS(Raw_Volunteers!$A$2:$A$926,Raw_Volunteers!A892,Raw_Volunteers!$D$2:$D$926,Raw_Volunteers!D892,Raw_Volunteers!$E$2:$E$926,Raw_Volunteers!E892,Raw_Volunteers!$G$2:$G$926,Raw_Volunteers!G892)&gt;1,"Possible Duplicate","")</f>
        <v/>
      </c>
      <c r="C892" s="9" t="n">
        <f aca="false">Raw_Volunteers!B892</f>
        <v>0</v>
      </c>
      <c r="D892" s="9" t="str">
        <f aca="false">IF(C892="","No","Yes")</f>
        <v>No</v>
      </c>
      <c r="E892" s="9" t="str">
        <f aca="false">Raw_Volunteers!C892</f>
        <v>James Young</v>
      </c>
      <c r="F892" s="9" t="str">
        <f aca="false">Raw_Volunteers!D892</f>
        <v>04/09/2025</v>
      </c>
      <c r="G892" s="9" t="str">
        <f aca="false">PROPER(TRIM(Raw_Volunteers!E892))</f>
        <v>Warehouse Loading</v>
      </c>
      <c r="H892" s="9" t="str">
        <f aca="false">Raw_Volunteers!F892</f>
        <v>Downtown Pantry</v>
      </c>
      <c r="I892" s="9" t="n">
        <f aca="false">IF(Raw_Volunteers!G892="",ROUND(AVERAGE(Raw_Volunteers!$G$2:$G$926),1),Raw_Volunteers!G892)</f>
        <v>3</v>
      </c>
    </row>
    <row r="893" customFormat="false" ht="15" hidden="false" customHeight="true" outlineLevel="0" collapsed="false">
      <c r="A893" s="9" t="str">
        <f aca="false">Raw_Volunteers!A893</f>
        <v>V2204</v>
      </c>
      <c r="B893" s="9" t="str">
        <f aca="false">IF(COUNTIFS(Raw_Volunteers!$A$2:$A$926,Raw_Volunteers!A893,Raw_Volunteers!$D$2:$D$926,Raw_Volunteers!D893,Raw_Volunteers!$E$2:$E$926,Raw_Volunteers!E893,Raw_Volunteers!$G$2:$G$926,Raw_Volunteers!G893)&gt;1,"Possible Duplicate","")</f>
        <v/>
      </c>
      <c r="C893" s="9" t="n">
        <f aca="false">Raw_Volunteers!B893</f>
        <v>0</v>
      </c>
      <c r="D893" s="9" t="str">
        <f aca="false">IF(C893="","No","Yes")</f>
        <v>No</v>
      </c>
      <c r="E893" s="9" t="str">
        <f aca="false">Raw_Volunteers!C893</f>
        <v>James Young</v>
      </c>
      <c r="F893" s="9" t="str">
        <f aca="false">Raw_Volunteers!D893</f>
        <v>06/12/2024</v>
      </c>
      <c r="G893" s="9" t="str">
        <f aca="false">PROPER(TRIM(Raw_Volunteers!E893))</f>
        <v>Food Sorting</v>
      </c>
      <c r="H893" s="9" t="str">
        <f aca="false">Raw_Volunteers!F893</f>
        <v>Main Warehouse</v>
      </c>
      <c r="I893" s="9" t="n">
        <f aca="false">IF(Raw_Volunteers!G893="",ROUND(AVERAGE(Raw_Volunteers!$G$2:$G$926),1),Raw_Volunteers!G893)</f>
        <v>2</v>
      </c>
    </row>
    <row r="894" customFormat="false" ht="15" hidden="false" customHeight="true" outlineLevel="0" collapsed="false">
      <c r="A894" s="9" t="str">
        <f aca="false">Raw_Volunteers!A894</f>
        <v>V2205</v>
      </c>
      <c r="B894" s="9" t="str">
        <f aca="false">IF(COUNTIFS(Raw_Volunteers!$A$2:$A$926,Raw_Volunteers!A894,Raw_Volunteers!$D$2:$D$926,Raw_Volunteers!D894,Raw_Volunteers!$E$2:$E$926,Raw_Volunteers!E894,Raw_Volunteers!$G$2:$G$926,Raw_Volunteers!G894)&gt;1,"Possible Duplicate","")</f>
        <v/>
      </c>
      <c r="C894" s="9" t="n">
        <f aca="false">Raw_Volunteers!B894</f>
        <v>0</v>
      </c>
      <c r="D894" s="9" t="str">
        <f aca="false">IF(C894="","No","Yes")</f>
        <v>No</v>
      </c>
      <c r="E894" s="9" t="str">
        <f aca="false">Raw_Volunteers!C894</f>
        <v>Karen Taylor</v>
      </c>
      <c r="F894" s="9" t="str">
        <f aca="false">Raw_Volunteers!D894</f>
        <v>12/20/2025</v>
      </c>
      <c r="G894" s="9" t="str">
        <f aca="false">PROPER(TRIM(Raw_Volunteers!E894))</f>
        <v>Warehouse Loading</v>
      </c>
      <c r="H894" s="9" t="str">
        <f aca="false">Raw_Volunteers!F894</f>
        <v>Community Center Site</v>
      </c>
      <c r="I894" s="9" t="n">
        <f aca="false">IF(Raw_Volunteers!G894="",ROUND(AVERAGE(Raw_Volunteers!$G$2:$G$926),1),Raw_Volunteers!G894)</f>
        <v>3</v>
      </c>
    </row>
    <row r="895" customFormat="false" ht="15" hidden="false" customHeight="true" outlineLevel="0" collapsed="false">
      <c r="A895" s="9" t="str">
        <f aca="false">Raw_Volunteers!A895</f>
        <v>V2205</v>
      </c>
      <c r="B895" s="9" t="str">
        <f aca="false">IF(COUNTIFS(Raw_Volunteers!$A$2:$A$926,Raw_Volunteers!A895,Raw_Volunteers!$D$2:$D$926,Raw_Volunteers!D895,Raw_Volunteers!$E$2:$E$926,Raw_Volunteers!E895,Raw_Volunteers!$G$2:$G$926,Raw_Volunteers!G895)&gt;1,"Possible Duplicate","")</f>
        <v/>
      </c>
      <c r="C895" s="9" t="n">
        <f aca="false">Raw_Volunteers!B895</f>
        <v>0</v>
      </c>
      <c r="D895" s="9" t="str">
        <f aca="false">IF(C895="","No","Yes")</f>
        <v>No</v>
      </c>
      <c r="E895" s="9" t="str">
        <f aca="false">Raw_Volunteers!C895</f>
        <v>Karen Taylor</v>
      </c>
      <c r="F895" s="9" t="str">
        <f aca="false">Raw_Volunteers!D895</f>
        <v>10/16/2024</v>
      </c>
      <c r="G895" s="9" t="str">
        <f aca="false">PROPER(TRIM(Raw_Volunteers!E895))</f>
        <v>Front Desk Greeter</v>
      </c>
      <c r="H895" s="9" t="str">
        <f aca="false">Raw_Volunteers!F895</f>
        <v>Downtown Pantry</v>
      </c>
      <c r="I895" s="9" t="n">
        <f aca="false">IF(Raw_Volunteers!G895="",ROUND(AVERAGE(Raw_Volunteers!$G$2:$G$926),1),Raw_Volunteers!G895)</f>
        <v>3</v>
      </c>
    </row>
    <row r="896" customFormat="false" ht="15" hidden="false" customHeight="true" outlineLevel="0" collapsed="false">
      <c r="A896" s="9" t="str">
        <f aca="false">Raw_Volunteers!A896</f>
        <v>V2205</v>
      </c>
      <c r="B896" s="9" t="str">
        <f aca="false">IF(COUNTIFS(Raw_Volunteers!$A$2:$A$926,Raw_Volunteers!A896,Raw_Volunteers!$D$2:$D$926,Raw_Volunteers!D896,Raw_Volunteers!$E$2:$E$926,Raw_Volunteers!E896,Raw_Volunteers!$G$2:$G$926,Raw_Volunteers!G896)&gt;1,"Possible Duplicate","")</f>
        <v/>
      </c>
      <c r="C896" s="9" t="n">
        <f aca="false">Raw_Volunteers!B896</f>
        <v>0</v>
      </c>
      <c r="D896" s="9" t="str">
        <f aca="false">IF(C896="","No","Yes")</f>
        <v>No</v>
      </c>
      <c r="E896" s="9" t="str">
        <f aca="false">Raw_Volunteers!C896</f>
        <v>Karen Taylor</v>
      </c>
      <c r="F896" s="9" t="str">
        <f aca="false">Raw_Volunteers!D896</f>
        <v>04/23/2024</v>
      </c>
      <c r="G896" s="9" t="str">
        <f aca="false">PROPER(TRIM(Raw_Volunteers!E896))</f>
        <v>Event Setup</v>
      </c>
      <c r="H896" s="9" t="str">
        <f aca="false">Raw_Volunteers!F896</f>
        <v>Mobile Unit - Route B</v>
      </c>
      <c r="I896" s="9" t="n">
        <f aca="false">IF(Raw_Volunteers!G896="",ROUND(AVERAGE(Raw_Volunteers!$G$2:$G$926),1),Raw_Volunteers!G896)</f>
        <v>2</v>
      </c>
    </row>
    <row r="897" customFormat="false" ht="15" hidden="false" customHeight="true" outlineLevel="0" collapsed="false">
      <c r="A897" s="9" t="str">
        <f aca="false">Raw_Volunteers!A897</f>
        <v>V2205</v>
      </c>
      <c r="B897" s="9" t="str">
        <f aca="false">IF(COUNTIFS(Raw_Volunteers!$A$2:$A$926,Raw_Volunteers!A897,Raw_Volunteers!$D$2:$D$926,Raw_Volunteers!D897,Raw_Volunteers!$E$2:$E$926,Raw_Volunteers!E897,Raw_Volunteers!$G$2:$G$926,Raw_Volunteers!G897)&gt;1,"Possible Duplicate","")</f>
        <v/>
      </c>
      <c r="C897" s="9" t="n">
        <f aca="false">Raw_Volunteers!B897</f>
        <v>0</v>
      </c>
      <c r="D897" s="9" t="str">
        <f aca="false">IF(C897="","No","Yes")</f>
        <v>No</v>
      </c>
      <c r="E897" s="9" t="str">
        <f aca="false">Raw_Volunteers!C897</f>
        <v>Karen Taylor</v>
      </c>
      <c r="F897" s="9" t="str">
        <f aca="false">Raw_Volunteers!D897</f>
        <v>01/27/2025</v>
      </c>
      <c r="G897" s="9" t="str">
        <f aca="false">PROPER(TRIM(Raw_Volunteers!E897))</f>
        <v>Food Sorting</v>
      </c>
      <c r="H897" s="9" t="str">
        <f aca="false">Raw_Volunteers!F897</f>
        <v>Main Warehouse</v>
      </c>
      <c r="I897" s="9" t="n">
        <f aca="false">IF(Raw_Volunteers!G897="",ROUND(AVERAGE(Raw_Volunteers!$G$2:$G$926),1),Raw_Volunteers!G897)</f>
        <v>3</v>
      </c>
    </row>
    <row r="898" customFormat="false" ht="15" hidden="false" customHeight="true" outlineLevel="0" collapsed="false">
      <c r="A898" s="9" t="str">
        <f aca="false">Raw_Volunteers!A898</f>
        <v>V2206</v>
      </c>
      <c r="B898" s="9" t="str">
        <f aca="false">IF(COUNTIFS(Raw_Volunteers!$A$2:$A$926,Raw_Volunteers!A898,Raw_Volunteers!$D$2:$D$926,Raw_Volunteers!D898,Raw_Volunteers!$E$2:$E$926,Raw_Volunteers!E898,Raw_Volunteers!$G$2:$G$926,Raw_Volunteers!G898)&gt;1,"Possible Duplicate","")</f>
        <v/>
      </c>
      <c r="C898" s="9" t="n">
        <f aca="false">Raw_Volunteers!B898</f>
        <v>0</v>
      </c>
      <c r="D898" s="9" t="str">
        <f aca="false">IF(C898="","No","Yes")</f>
        <v>No</v>
      </c>
      <c r="E898" s="9" t="str">
        <f aca="false">Raw_Volunteers!C898</f>
        <v>Nancy Rodriguez</v>
      </c>
      <c r="F898" s="9" t="str">
        <f aca="false">Raw_Volunteers!D898</f>
        <v>08/25/2024</v>
      </c>
      <c r="G898" s="9" t="str">
        <f aca="false">PROPER(TRIM(Raw_Volunteers!E898))</f>
        <v>Pantry Stocking</v>
      </c>
      <c r="H898" s="9" t="str">
        <f aca="false">Raw_Volunteers!F898</f>
        <v>Downtown Pantry</v>
      </c>
      <c r="I898" s="9" t="n">
        <f aca="false">IF(Raw_Volunteers!G898="",ROUND(AVERAGE(Raw_Volunteers!$G$2:$G$926),1),Raw_Volunteers!G898)</f>
        <v>3</v>
      </c>
    </row>
    <row r="899" customFormat="false" ht="15" hidden="false" customHeight="true" outlineLevel="0" collapsed="false">
      <c r="A899" s="9" t="str">
        <f aca="false">Raw_Volunteers!A899</f>
        <v>V2206</v>
      </c>
      <c r="B899" s="9" t="str">
        <f aca="false">IF(COUNTIFS(Raw_Volunteers!$A$2:$A$926,Raw_Volunteers!A899,Raw_Volunteers!$D$2:$D$926,Raw_Volunteers!D899,Raw_Volunteers!$E$2:$E$926,Raw_Volunteers!E899,Raw_Volunteers!$G$2:$G$926,Raw_Volunteers!G899)&gt;1,"Possible Duplicate","")</f>
        <v/>
      </c>
      <c r="C899" s="9" t="n">
        <f aca="false">Raw_Volunteers!B899</f>
        <v>0</v>
      </c>
      <c r="D899" s="9" t="str">
        <f aca="false">IF(C899="","No","Yes")</f>
        <v>No</v>
      </c>
      <c r="E899" s="9" t="str">
        <f aca="false">Raw_Volunteers!C899</f>
        <v>Nancy Rodriguez</v>
      </c>
      <c r="F899" s="9" t="str">
        <f aca="false">Raw_Volunteers!D899</f>
        <v>09/30/2025</v>
      </c>
      <c r="G899" s="9" t="str">
        <f aca="false">PROPER(TRIM(Raw_Volunteers!E899))</f>
        <v>Holiday Box Packing</v>
      </c>
      <c r="H899" s="9" t="str">
        <f aca="false">Raw_Volunteers!F899</f>
        <v>Main Warehouse</v>
      </c>
      <c r="I899" s="9" t="n">
        <f aca="false">IF(Raw_Volunteers!G899="",ROUND(AVERAGE(Raw_Volunteers!$G$2:$G$926),1),Raw_Volunteers!G899)</f>
        <v>3</v>
      </c>
    </row>
    <row r="900" customFormat="false" ht="15" hidden="false" customHeight="true" outlineLevel="0" collapsed="false">
      <c r="A900" s="9" t="str">
        <f aca="false">Raw_Volunteers!A900</f>
        <v>V2206</v>
      </c>
      <c r="B900" s="9" t="str">
        <f aca="false">IF(COUNTIFS(Raw_Volunteers!$A$2:$A$926,Raw_Volunteers!A900,Raw_Volunteers!$D$2:$D$926,Raw_Volunteers!D900,Raw_Volunteers!$E$2:$E$926,Raw_Volunteers!E900,Raw_Volunteers!$G$2:$G$926,Raw_Volunteers!G900)&gt;1,"Possible Duplicate","")</f>
        <v/>
      </c>
      <c r="C900" s="9" t="n">
        <f aca="false">Raw_Volunteers!B900</f>
        <v>0</v>
      </c>
      <c r="D900" s="9" t="str">
        <f aca="false">IF(C900="","No","Yes")</f>
        <v>No</v>
      </c>
      <c r="E900" s="9" t="str">
        <f aca="false">Raw_Volunteers!C900</f>
        <v>Nancy Rodriguez</v>
      </c>
      <c r="F900" s="9" t="str">
        <f aca="false">Raw_Volunteers!D900</f>
        <v>12/07/2024</v>
      </c>
      <c r="G900" s="9" t="str">
        <f aca="false">PROPER(TRIM(Raw_Volunteers!E900))</f>
        <v>Warehouse Loading</v>
      </c>
      <c r="H900" s="9" t="str">
        <f aca="false">Raw_Volunteers!F900</f>
        <v>Main Warehouse</v>
      </c>
      <c r="I900" s="9" t="n">
        <f aca="false">IF(Raw_Volunteers!G900="",ROUND(AVERAGE(Raw_Volunteers!$G$2:$G$926),1),Raw_Volunteers!G900)</f>
        <v>3</v>
      </c>
    </row>
    <row r="901" customFormat="false" ht="15" hidden="false" customHeight="true" outlineLevel="0" collapsed="false">
      <c r="A901" s="9" t="str">
        <f aca="false">Raw_Volunteers!A901</f>
        <v>V2206</v>
      </c>
      <c r="B901" s="9" t="str">
        <f aca="false">IF(COUNTIFS(Raw_Volunteers!$A$2:$A$926,Raw_Volunteers!A901,Raw_Volunteers!$D$2:$D$926,Raw_Volunteers!D901,Raw_Volunteers!$E$2:$E$926,Raw_Volunteers!E901,Raw_Volunteers!$G$2:$G$926,Raw_Volunteers!G901)&gt;1,"Possible Duplicate","")</f>
        <v/>
      </c>
      <c r="C901" s="9" t="n">
        <f aca="false">Raw_Volunteers!B901</f>
        <v>0</v>
      </c>
      <c r="D901" s="9" t="str">
        <f aca="false">IF(C901="","No","Yes")</f>
        <v>No</v>
      </c>
      <c r="E901" s="9" t="str">
        <f aca="false">Raw_Volunteers!C901</f>
        <v>Nancy Rodriguez</v>
      </c>
      <c r="F901" s="9" t="str">
        <f aca="false">Raw_Volunteers!D901</f>
        <v>03/21/2025</v>
      </c>
      <c r="G901" s="9" t="str">
        <f aca="false">PROPER(TRIM(Raw_Volunteers!E901))</f>
        <v>Event Setup</v>
      </c>
      <c r="H901" s="9" t="str">
        <f aca="false">Raw_Volunteers!F901</f>
        <v>Downtown Pantry</v>
      </c>
      <c r="I901" s="9" t="n">
        <f aca="false">IF(Raw_Volunteers!G901="",ROUND(AVERAGE(Raw_Volunteers!$G$2:$G$926),1),Raw_Volunteers!G901)</f>
        <v>3</v>
      </c>
    </row>
    <row r="902" customFormat="false" ht="15" hidden="false" customHeight="true" outlineLevel="0" collapsed="false">
      <c r="A902" s="9" t="str">
        <f aca="false">Raw_Volunteers!A902</f>
        <v>V2207</v>
      </c>
      <c r="B902" s="9" t="str">
        <f aca="false">IF(COUNTIFS(Raw_Volunteers!$A$2:$A$926,Raw_Volunteers!A902,Raw_Volunteers!$D$2:$D$926,Raw_Volunteers!D902,Raw_Volunteers!$E$2:$E$926,Raw_Volunteers!E902,Raw_Volunteers!$G$2:$G$926,Raw_Volunteers!G902)&gt;1,"Possible Duplicate","")</f>
        <v/>
      </c>
      <c r="C902" s="9" t="n">
        <f aca="false">Raw_Volunteers!B902</f>
        <v>0</v>
      </c>
      <c r="D902" s="9" t="str">
        <f aca="false">IF(C902="","No","Yes")</f>
        <v>No</v>
      </c>
      <c r="E902" s="9" t="str">
        <f aca="false">Raw_Volunteers!C902</f>
        <v>Kenneth Robinson</v>
      </c>
      <c r="F902" s="9" t="str">
        <f aca="false">Raw_Volunteers!D902</f>
        <v>12/22/2024</v>
      </c>
      <c r="G902" s="9" t="str">
        <f aca="false">PROPER(TRIM(Raw_Volunteers!E902))</f>
        <v>Pantry Stocking</v>
      </c>
      <c r="H902" s="9" t="str">
        <f aca="false">Raw_Volunteers!F902</f>
        <v>Downtown Pantry</v>
      </c>
      <c r="I902" s="9" t="n">
        <f aca="false">IF(Raw_Volunteers!G902="",ROUND(AVERAGE(Raw_Volunteers!$G$2:$G$926),1),Raw_Volunteers!G902)</f>
        <v>4</v>
      </c>
    </row>
    <row r="903" customFormat="false" ht="15" hidden="false" customHeight="true" outlineLevel="0" collapsed="false">
      <c r="A903" s="9" t="str">
        <f aca="false">Raw_Volunteers!A903</f>
        <v>V2208</v>
      </c>
      <c r="B903" s="9" t="str">
        <f aca="false">IF(COUNTIFS(Raw_Volunteers!$A$2:$A$926,Raw_Volunteers!A903,Raw_Volunteers!$D$2:$D$926,Raw_Volunteers!D903,Raw_Volunteers!$E$2:$E$926,Raw_Volunteers!E903,Raw_Volunteers!$G$2:$G$926,Raw_Volunteers!G903)&gt;1,"Possible Duplicate","")</f>
        <v/>
      </c>
      <c r="C903" s="9" t="n">
        <f aca="false">Raw_Volunteers!B903</f>
        <v>0</v>
      </c>
      <c r="D903" s="9" t="str">
        <f aca="false">IF(C903="","No","Yes")</f>
        <v>No</v>
      </c>
      <c r="E903" s="9" t="str">
        <f aca="false">Raw_Volunteers!C903</f>
        <v>Elizabeth Jones</v>
      </c>
      <c r="F903" s="9" t="str">
        <f aca="false">Raw_Volunteers!D903</f>
        <v>04/23/2025</v>
      </c>
      <c r="G903" s="9" t="str">
        <f aca="false">PROPER(TRIM(Raw_Volunteers!E903))</f>
        <v>Mobile Distribution Driver</v>
      </c>
      <c r="H903" s="9" t="str">
        <f aca="false">Raw_Volunteers!F903</f>
        <v>Downtown Pantry</v>
      </c>
      <c r="I903" s="9" t="n">
        <f aca="false">IF(Raw_Volunteers!G903="",ROUND(AVERAGE(Raw_Volunteers!$G$2:$G$926),1),Raw_Volunteers!G903)</f>
        <v>2</v>
      </c>
    </row>
    <row r="904" customFormat="false" ht="15" hidden="false" customHeight="true" outlineLevel="0" collapsed="false">
      <c r="A904" s="9" t="str">
        <f aca="false">Raw_Volunteers!A904</f>
        <v>V2208</v>
      </c>
      <c r="B904" s="9" t="str">
        <f aca="false">IF(COUNTIFS(Raw_Volunteers!$A$2:$A$926,Raw_Volunteers!A904,Raw_Volunteers!$D$2:$D$926,Raw_Volunteers!D904,Raw_Volunteers!$E$2:$E$926,Raw_Volunteers!E904,Raw_Volunteers!$G$2:$G$926,Raw_Volunteers!G904)&gt;1,"Possible Duplicate","")</f>
        <v/>
      </c>
      <c r="C904" s="9" t="n">
        <f aca="false">Raw_Volunteers!B904</f>
        <v>0</v>
      </c>
      <c r="D904" s="9" t="str">
        <f aca="false">IF(C904="","No","Yes")</f>
        <v>No</v>
      </c>
      <c r="E904" s="9" t="str">
        <f aca="false">Raw_Volunteers!C904</f>
        <v>Elizabeth Jones</v>
      </c>
      <c r="F904" s="9" t="str">
        <f aca="false">Raw_Volunteers!D904</f>
        <v>02/03/2026</v>
      </c>
      <c r="G904" s="9" t="str">
        <f aca="false">PROPER(TRIM(Raw_Volunteers!E904))</f>
        <v>Food Sorting</v>
      </c>
      <c r="H904" s="9" t="str">
        <f aca="false">Raw_Volunteers!F904</f>
        <v>Downtown Pantry</v>
      </c>
      <c r="I904" s="9" t="n">
        <f aca="false">IF(Raw_Volunteers!G904="",ROUND(AVERAGE(Raw_Volunteers!$G$2:$G$926),1),Raw_Volunteers!G904)</f>
        <v>4</v>
      </c>
    </row>
    <row r="905" customFormat="false" ht="15" hidden="false" customHeight="true" outlineLevel="0" collapsed="false">
      <c r="A905" s="9" t="str">
        <f aca="false">Raw_Volunteers!A905</f>
        <v>V2209</v>
      </c>
      <c r="B905" s="9" t="str">
        <f aca="false">IF(COUNTIFS(Raw_Volunteers!$A$2:$A$926,Raw_Volunteers!A905,Raw_Volunteers!$D$2:$D$926,Raw_Volunteers!D905,Raw_Volunteers!$E$2:$E$926,Raw_Volunteers!E905,Raw_Volunteers!$G$2:$G$926,Raw_Volunteers!G905)&gt;1,"Possible Duplicate","")</f>
        <v/>
      </c>
      <c r="C905" s="9" t="n">
        <f aca="false">Raw_Volunteers!B905</f>
        <v>0</v>
      </c>
      <c r="D905" s="9" t="str">
        <f aca="false">IF(C905="","No","Yes")</f>
        <v>No</v>
      </c>
      <c r="E905" s="9" t="str">
        <f aca="false">Raw_Volunteers!C905</f>
        <v>William Thompson</v>
      </c>
      <c r="F905" s="9" t="str">
        <f aca="false">Raw_Volunteers!D905</f>
        <v>09/22/2024</v>
      </c>
      <c r="G905" s="9" t="str">
        <f aca="false">PROPER(TRIM(Raw_Volunteers!E905))</f>
        <v>Holiday Box Packing</v>
      </c>
      <c r="H905" s="9" t="str">
        <f aca="false">Raw_Volunteers!F905</f>
        <v>Mobile Unit - Route A</v>
      </c>
      <c r="I905" s="9" t="n">
        <f aca="false">IF(Raw_Volunteers!G905="",ROUND(AVERAGE(Raw_Volunteers!$G$2:$G$926),1),Raw_Volunteers!G905)</f>
        <v>2</v>
      </c>
    </row>
    <row r="906" customFormat="false" ht="15" hidden="false" customHeight="true" outlineLevel="0" collapsed="false">
      <c r="A906" s="9" t="str">
        <f aca="false">Raw_Volunteers!A906</f>
        <v>V2209</v>
      </c>
      <c r="B906" s="9" t="str">
        <f aca="false">IF(COUNTIFS(Raw_Volunteers!$A$2:$A$926,Raw_Volunteers!A906,Raw_Volunteers!$D$2:$D$926,Raw_Volunteers!D906,Raw_Volunteers!$E$2:$E$926,Raw_Volunteers!E906,Raw_Volunteers!$G$2:$G$926,Raw_Volunteers!G906)&gt;1,"Possible Duplicate","")</f>
        <v/>
      </c>
      <c r="C906" s="9" t="n">
        <f aca="false">Raw_Volunteers!B906</f>
        <v>0</v>
      </c>
      <c r="D906" s="9" t="str">
        <f aca="false">IF(C906="","No","Yes")</f>
        <v>No</v>
      </c>
      <c r="E906" s="9" t="str">
        <f aca="false">Raw_Volunteers!C906</f>
        <v>William Thompson</v>
      </c>
      <c r="F906" s="9" t="str">
        <f aca="false">Raw_Volunteers!D906</f>
        <v>03/30/2025</v>
      </c>
      <c r="G906" s="9" t="str">
        <f aca="false">PROPER(TRIM(Raw_Volunteers!E906))</f>
        <v>Holiday Box Packing</v>
      </c>
      <c r="H906" s="9" t="str">
        <f aca="false">Raw_Volunteers!F906</f>
        <v>Community Center Site</v>
      </c>
      <c r="I906" s="9" t="n">
        <f aca="false">IF(Raw_Volunteers!G906="",ROUND(AVERAGE(Raw_Volunteers!$G$2:$G$926),1),Raw_Volunteers!G906)</f>
        <v>2</v>
      </c>
    </row>
    <row r="907" customFormat="false" ht="15" hidden="false" customHeight="true" outlineLevel="0" collapsed="false">
      <c r="A907" s="9" t="str">
        <f aca="false">Raw_Volunteers!A907</f>
        <v>V2209</v>
      </c>
      <c r="B907" s="9" t="str">
        <f aca="false">IF(COUNTIFS(Raw_Volunteers!$A$2:$A$926,Raw_Volunteers!A907,Raw_Volunteers!$D$2:$D$926,Raw_Volunteers!D907,Raw_Volunteers!$E$2:$E$926,Raw_Volunteers!E907,Raw_Volunteers!$G$2:$G$926,Raw_Volunteers!G907)&gt;1,"Possible Duplicate","")</f>
        <v/>
      </c>
      <c r="C907" s="9" t="n">
        <f aca="false">Raw_Volunteers!B907</f>
        <v>0</v>
      </c>
      <c r="D907" s="9" t="str">
        <f aca="false">IF(C907="","No","Yes")</f>
        <v>No</v>
      </c>
      <c r="E907" s="9" t="str">
        <f aca="false">Raw_Volunteers!C907</f>
        <v>William Thompson</v>
      </c>
      <c r="F907" s="9" t="str">
        <f aca="false">Raw_Volunteers!D907</f>
        <v>02/15/2024</v>
      </c>
      <c r="G907" s="9" t="str">
        <f aca="false">PROPER(TRIM(Raw_Volunteers!E907))</f>
        <v>Client Intake Assistant</v>
      </c>
      <c r="H907" s="9" t="str">
        <f aca="false">Raw_Volunteers!F907</f>
        <v>Downtown Pantry</v>
      </c>
      <c r="I907" s="9" t="n">
        <f aca="false">IF(Raw_Volunteers!G907="",ROUND(AVERAGE(Raw_Volunteers!$G$2:$G$926),1),Raw_Volunteers!G907)</f>
        <v>3</v>
      </c>
    </row>
    <row r="908" customFormat="false" ht="15" hidden="false" customHeight="true" outlineLevel="0" collapsed="false">
      <c r="A908" s="9" t="str">
        <f aca="false">Raw_Volunteers!A908</f>
        <v>V2210</v>
      </c>
      <c r="B908" s="9" t="str">
        <f aca="false">IF(COUNTIFS(Raw_Volunteers!$A$2:$A$926,Raw_Volunteers!A908,Raw_Volunteers!$D$2:$D$926,Raw_Volunteers!D908,Raw_Volunteers!$E$2:$E$926,Raw_Volunteers!E908,Raw_Volunteers!$G$2:$G$926,Raw_Volunteers!G908)&gt;1,"Possible Duplicate","")</f>
        <v/>
      </c>
      <c r="C908" s="9" t="n">
        <f aca="false">Raw_Volunteers!B908</f>
        <v>0</v>
      </c>
      <c r="D908" s="9" t="str">
        <f aca="false">IF(C908="","No","Yes")</f>
        <v>No</v>
      </c>
      <c r="E908" s="9" t="str">
        <f aca="false">Raw_Volunteers!C908</f>
        <v>Sandra Hernandez</v>
      </c>
      <c r="F908" s="9" t="str">
        <f aca="false">Raw_Volunteers!D908</f>
        <v>11/15/2025</v>
      </c>
      <c r="G908" s="9" t="str">
        <f aca="false">PROPER(TRIM(Raw_Volunteers!E908))</f>
        <v>Event Setup</v>
      </c>
      <c r="H908" s="9" t="str">
        <f aca="false">Raw_Volunteers!F908</f>
        <v>Mobile Unit - Route B</v>
      </c>
      <c r="I908" s="9" t="n">
        <f aca="false">IF(Raw_Volunteers!G908="",ROUND(AVERAGE(Raw_Volunteers!$G$2:$G$926),1),Raw_Volunteers!G908)</f>
        <v>3</v>
      </c>
    </row>
    <row r="909" customFormat="false" ht="15" hidden="false" customHeight="true" outlineLevel="0" collapsed="false">
      <c r="A909" s="9" t="str">
        <f aca="false">Raw_Volunteers!A909</f>
        <v>V2210</v>
      </c>
      <c r="B909" s="9" t="str">
        <f aca="false">IF(COUNTIFS(Raw_Volunteers!$A$2:$A$926,Raw_Volunteers!A909,Raw_Volunteers!$D$2:$D$926,Raw_Volunteers!D909,Raw_Volunteers!$E$2:$E$926,Raw_Volunteers!E909,Raw_Volunteers!$G$2:$G$926,Raw_Volunteers!G909)&gt;1,"Possible Duplicate","")</f>
        <v/>
      </c>
      <c r="C909" s="9" t="n">
        <f aca="false">Raw_Volunteers!B909</f>
        <v>0</v>
      </c>
      <c r="D909" s="9" t="str">
        <f aca="false">IF(C909="","No","Yes")</f>
        <v>No</v>
      </c>
      <c r="E909" s="9" t="str">
        <f aca="false">Raw_Volunteers!C909</f>
        <v>Sandra Hernandez</v>
      </c>
      <c r="F909" s="9" t="str">
        <f aca="false">Raw_Volunteers!D909</f>
        <v>04/07/2026</v>
      </c>
      <c r="G909" s="9" t="str">
        <f aca="false">PROPER(TRIM(Raw_Volunteers!E909))</f>
        <v>Event Setup</v>
      </c>
      <c r="H909" s="9" t="str">
        <f aca="false">Raw_Volunteers!F909</f>
        <v>Community Center Site</v>
      </c>
      <c r="I909" s="9" t="n">
        <f aca="false">IF(Raw_Volunteers!G909="",ROUND(AVERAGE(Raw_Volunteers!$G$2:$G$926),1),Raw_Volunteers!G909)</f>
        <v>2</v>
      </c>
    </row>
    <row r="910" customFormat="false" ht="15" hidden="false" customHeight="true" outlineLevel="0" collapsed="false">
      <c r="A910" s="9" t="str">
        <f aca="false">Raw_Volunteers!A910</f>
        <v>V2211</v>
      </c>
      <c r="B910" s="9" t="str">
        <f aca="false">IF(COUNTIFS(Raw_Volunteers!$A$2:$A$926,Raw_Volunteers!A910,Raw_Volunteers!$D$2:$D$926,Raw_Volunteers!D910,Raw_Volunteers!$E$2:$E$926,Raw_Volunteers!E910,Raw_Volunteers!$G$2:$G$926,Raw_Volunteers!G910)&gt;1,"Possible Duplicate","")</f>
        <v/>
      </c>
      <c r="C910" s="9" t="n">
        <f aca="false">Raw_Volunteers!B910</f>
        <v>0</v>
      </c>
      <c r="D910" s="9" t="str">
        <f aca="false">IF(C910="","No","Yes")</f>
        <v>No</v>
      </c>
      <c r="E910" s="9" t="str">
        <f aca="false">Raw_Volunteers!C910</f>
        <v>Sandra Sanchez</v>
      </c>
      <c r="F910" s="9" t="str">
        <f aca="false">Raw_Volunteers!D910</f>
        <v>02/08/2024</v>
      </c>
      <c r="G910" s="9" t="str">
        <f aca="false">PROPER(TRIM(Raw_Volunteers!E910))</f>
        <v>Event Setup</v>
      </c>
      <c r="H910" s="9" t="str">
        <f aca="false">Raw_Volunteers!F910</f>
        <v>Mobile Unit - Route A</v>
      </c>
      <c r="I910" s="9" t="n">
        <f aca="false">IF(Raw_Volunteers!G910="",ROUND(AVERAGE(Raw_Volunteers!$G$2:$G$926),1),Raw_Volunteers!G910)</f>
        <v>2</v>
      </c>
    </row>
    <row r="911" customFormat="false" ht="15" hidden="false" customHeight="true" outlineLevel="0" collapsed="false">
      <c r="A911" s="9" t="str">
        <f aca="false">Raw_Volunteers!A911</f>
        <v>V2211</v>
      </c>
      <c r="B911" s="9" t="str">
        <f aca="false">IF(COUNTIFS(Raw_Volunteers!$A$2:$A$926,Raw_Volunteers!A911,Raw_Volunteers!$D$2:$D$926,Raw_Volunteers!D911,Raw_Volunteers!$E$2:$E$926,Raw_Volunteers!E911,Raw_Volunteers!$G$2:$G$926,Raw_Volunteers!G911)&gt;1,"Possible Duplicate","")</f>
        <v/>
      </c>
      <c r="C911" s="9" t="n">
        <f aca="false">Raw_Volunteers!B911</f>
        <v>0</v>
      </c>
      <c r="D911" s="9" t="str">
        <f aca="false">IF(C911="","No","Yes")</f>
        <v>No</v>
      </c>
      <c r="E911" s="9" t="str">
        <f aca="false">Raw_Volunteers!C911</f>
        <v>Sandra Sanchez</v>
      </c>
      <c r="F911" s="9" t="str">
        <f aca="false">Raw_Volunteers!D911</f>
        <v>10/07/2025</v>
      </c>
      <c r="G911" s="9" t="str">
        <f aca="false">PROPER(TRIM(Raw_Volunteers!E911))</f>
        <v>Holiday Box Packing</v>
      </c>
      <c r="H911" s="9" t="str">
        <f aca="false">Raw_Volunteers!F911</f>
        <v>Mobile Unit - Route A</v>
      </c>
      <c r="I911" s="9" t="n">
        <f aca="false">IF(Raw_Volunteers!G911="",ROUND(AVERAGE(Raw_Volunteers!$G$2:$G$926),1),Raw_Volunteers!G911)</f>
        <v>3</v>
      </c>
    </row>
    <row r="912" customFormat="false" ht="15" hidden="false" customHeight="true" outlineLevel="0" collapsed="false">
      <c r="A912" s="9" t="str">
        <f aca="false">Raw_Volunteers!A912</f>
        <v>V2211</v>
      </c>
      <c r="B912" s="9" t="str">
        <f aca="false">IF(COUNTIFS(Raw_Volunteers!$A$2:$A$926,Raw_Volunteers!A912,Raw_Volunteers!$D$2:$D$926,Raw_Volunteers!D912,Raw_Volunteers!$E$2:$E$926,Raw_Volunteers!E912,Raw_Volunteers!$G$2:$G$926,Raw_Volunteers!G912)&gt;1,"Possible Duplicate","")</f>
        <v/>
      </c>
      <c r="C912" s="9" t="n">
        <f aca="false">Raw_Volunteers!B912</f>
        <v>0</v>
      </c>
      <c r="D912" s="9" t="str">
        <f aca="false">IF(C912="","No","Yes")</f>
        <v>No</v>
      </c>
      <c r="E912" s="9" t="str">
        <f aca="false">Raw_Volunteers!C912</f>
        <v>Sandra Sanchez</v>
      </c>
      <c r="F912" s="9" t="str">
        <f aca="false">Raw_Volunteers!D912</f>
        <v>02/17/2024</v>
      </c>
      <c r="G912" s="9" t="str">
        <f aca="false">PROPER(TRIM(Raw_Volunteers!E912))</f>
        <v>Pantry Stocking</v>
      </c>
      <c r="H912" s="9" t="str">
        <f aca="false">Raw_Volunteers!F912</f>
        <v>Mobile Unit - Route B</v>
      </c>
      <c r="I912" s="9" t="n">
        <f aca="false">IF(Raw_Volunteers!G912="",ROUND(AVERAGE(Raw_Volunteers!$G$2:$G$926),1),Raw_Volunteers!G912)</f>
        <v>2</v>
      </c>
    </row>
    <row r="913" customFormat="false" ht="15" hidden="false" customHeight="true" outlineLevel="0" collapsed="false">
      <c r="A913" s="9" t="str">
        <f aca="false">Raw_Volunteers!A913</f>
        <v>V2212</v>
      </c>
      <c r="B913" s="9" t="str">
        <f aca="false">IF(COUNTIFS(Raw_Volunteers!$A$2:$A$926,Raw_Volunteers!A913,Raw_Volunteers!$D$2:$D$926,Raw_Volunteers!D913,Raw_Volunteers!$E$2:$E$926,Raw_Volunteers!E913,Raw_Volunteers!$G$2:$G$926,Raw_Volunteers!G913)&gt;1,"Possible Duplicate","")</f>
        <v/>
      </c>
      <c r="C913" s="9" t="n">
        <f aca="false">Raw_Volunteers!B913</f>
        <v>0</v>
      </c>
      <c r="D913" s="9" t="str">
        <f aca="false">IF(C913="","No","Yes")</f>
        <v>No</v>
      </c>
      <c r="E913" s="9" t="str">
        <f aca="false">Raw_Volunteers!C913</f>
        <v>Ashley Clark</v>
      </c>
      <c r="F913" s="9" t="str">
        <f aca="false">Raw_Volunteers!D913</f>
        <v>03/23/2026</v>
      </c>
      <c r="G913" s="9" t="str">
        <f aca="false">PROPER(TRIM(Raw_Volunteers!E913))</f>
        <v>Food Sorting</v>
      </c>
      <c r="H913" s="9" t="str">
        <f aca="false">Raw_Volunteers!F913</f>
        <v>Mobile Unit - Route B</v>
      </c>
      <c r="I913" s="9" t="n">
        <f aca="false">IF(Raw_Volunteers!G913="",ROUND(AVERAGE(Raw_Volunteers!$G$2:$G$926),1),Raw_Volunteers!G913)</f>
        <v>3</v>
      </c>
    </row>
    <row r="914" customFormat="false" ht="15" hidden="false" customHeight="true" outlineLevel="0" collapsed="false">
      <c r="A914" s="9" t="str">
        <f aca="false">Raw_Volunteers!A914</f>
        <v>V2213</v>
      </c>
      <c r="B914" s="9" t="str">
        <f aca="false">IF(COUNTIFS(Raw_Volunteers!$A$2:$A$926,Raw_Volunteers!A914,Raw_Volunteers!$D$2:$D$926,Raw_Volunteers!D914,Raw_Volunteers!$E$2:$E$926,Raw_Volunteers!E914,Raw_Volunteers!$G$2:$G$926,Raw_Volunteers!G914)&gt;1,"Possible Duplicate","")</f>
        <v/>
      </c>
      <c r="C914" s="9" t="n">
        <f aca="false">Raw_Volunteers!B914</f>
        <v>0</v>
      </c>
      <c r="D914" s="9" t="str">
        <f aca="false">IF(C914="","No","Yes")</f>
        <v>No</v>
      </c>
      <c r="E914" s="9" t="str">
        <f aca="false">Raw_Volunteers!C914</f>
        <v>Nancy Wright</v>
      </c>
      <c r="F914" s="9" t="str">
        <f aca="false">Raw_Volunteers!D914</f>
        <v>05/19/2024</v>
      </c>
      <c r="G914" s="9" t="str">
        <f aca="false">PROPER(TRIM(Raw_Volunteers!E914))</f>
        <v>Front Desk Greeter</v>
      </c>
      <c r="H914" s="9" t="str">
        <f aca="false">Raw_Volunteers!F914</f>
        <v>Main Warehouse</v>
      </c>
      <c r="I914" s="9" t="n">
        <f aca="false">IF(Raw_Volunteers!G914="",ROUND(AVERAGE(Raw_Volunteers!$G$2:$G$926),1),Raw_Volunteers!G914)</f>
        <v>2</v>
      </c>
    </row>
    <row r="915" customFormat="false" ht="15" hidden="false" customHeight="true" outlineLevel="0" collapsed="false">
      <c r="A915" s="9" t="str">
        <f aca="false">Raw_Volunteers!A915</f>
        <v>V2213</v>
      </c>
      <c r="B915" s="9" t="str">
        <f aca="false">IF(COUNTIFS(Raw_Volunteers!$A$2:$A$926,Raw_Volunteers!A915,Raw_Volunteers!$D$2:$D$926,Raw_Volunteers!D915,Raw_Volunteers!$E$2:$E$926,Raw_Volunteers!E915,Raw_Volunteers!$G$2:$G$926,Raw_Volunteers!G915)&gt;1,"Possible Duplicate","")</f>
        <v/>
      </c>
      <c r="C915" s="9" t="n">
        <f aca="false">Raw_Volunteers!B915</f>
        <v>0</v>
      </c>
      <c r="D915" s="9" t="str">
        <f aca="false">IF(C915="","No","Yes")</f>
        <v>No</v>
      </c>
      <c r="E915" s="9" t="str">
        <f aca="false">Raw_Volunteers!C915</f>
        <v>Nancy Wright</v>
      </c>
      <c r="F915" s="9" t="str">
        <f aca="false">Raw_Volunteers!D915</f>
        <v>05/29/2026</v>
      </c>
      <c r="G915" s="9" t="str">
        <f aca="false">PROPER(TRIM(Raw_Volunteers!E915))</f>
        <v>Holiday Box Packing</v>
      </c>
      <c r="H915" s="9" t="str">
        <f aca="false">Raw_Volunteers!F915</f>
        <v>Downtown Pantry</v>
      </c>
      <c r="I915" s="9" t="n">
        <f aca="false">IF(Raw_Volunteers!G915="",ROUND(AVERAGE(Raw_Volunteers!$G$2:$G$926),1),Raw_Volunteers!G915)</f>
        <v>4</v>
      </c>
    </row>
    <row r="916" customFormat="false" ht="15" hidden="false" customHeight="true" outlineLevel="0" collapsed="false">
      <c r="A916" s="9" t="str">
        <f aca="false">Raw_Volunteers!A916</f>
        <v>V2213</v>
      </c>
      <c r="B916" s="9" t="str">
        <f aca="false">IF(COUNTIFS(Raw_Volunteers!$A$2:$A$926,Raw_Volunteers!A916,Raw_Volunteers!$D$2:$D$926,Raw_Volunteers!D916,Raw_Volunteers!$E$2:$E$926,Raw_Volunteers!E916,Raw_Volunteers!$G$2:$G$926,Raw_Volunteers!G916)&gt;1,"Possible Duplicate","")</f>
        <v/>
      </c>
      <c r="C916" s="9" t="n">
        <f aca="false">Raw_Volunteers!B916</f>
        <v>0</v>
      </c>
      <c r="D916" s="9" t="str">
        <f aca="false">IF(C916="","No","Yes")</f>
        <v>No</v>
      </c>
      <c r="E916" s="9" t="str">
        <f aca="false">Raw_Volunteers!C916</f>
        <v>Nancy Wright</v>
      </c>
      <c r="F916" s="9" t="str">
        <f aca="false">Raw_Volunteers!D916</f>
        <v>07/04/2025</v>
      </c>
      <c r="G916" s="9" t="str">
        <f aca="false">PROPER(TRIM(Raw_Volunteers!E916))</f>
        <v>Food Sorting</v>
      </c>
      <c r="H916" s="9" t="str">
        <f aca="false">Raw_Volunteers!F916</f>
        <v>Community Center Site</v>
      </c>
      <c r="I916" s="9" t="n">
        <f aca="false">IF(Raw_Volunteers!G916="",ROUND(AVERAGE(Raw_Volunteers!$G$2:$G$926),1),Raw_Volunteers!G916)</f>
        <v>2</v>
      </c>
    </row>
    <row r="917" customFormat="false" ht="15" hidden="false" customHeight="true" outlineLevel="0" collapsed="false">
      <c r="A917" s="9" t="str">
        <f aca="false">Raw_Volunteers!A917</f>
        <v>V2213</v>
      </c>
      <c r="B917" s="9" t="str">
        <f aca="false">IF(COUNTIFS(Raw_Volunteers!$A$2:$A$926,Raw_Volunteers!A917,Raw_Volunteers!$D$2:$D$926,Raw_Volunteers!D917,Raw_Volunteers!$E$2:$E$926,Raw_Volunteers!E917,Raw_Volunteers!$G$2:$G$926,Raw_Volunteers!G917)&gt;1,"Possible Duplicate","")</f>
        <v/>
      </c>
      <c r="C917" s="9" t="n">
        <f aca="false">Raw_Volunteers!B917</f>
        <v>0</v>
      </c>
      <c r="D917" s="9" t="str">
        <f aca="false">IF(C917="","No","Yes")</f>
        <v>No</v>
      </c>
      <c r="E917" s="9" t="str">
        <f aca="false">Raw_Volunteers!C917</f>
        <v>Nancy Wright</v>
      </c>
      <c r="F917" s="9" t="str">
        <f aca="false">Raw_Volunteers!D917</f>
        <v>01/08/2025</v>
      </c>
      <c r="G917" s="9" t="str">
        <f aca="false">PROPER(TRIM(Raw_Volunteers!E917))</f>
        <v>Mobile Distribution Driver</v>
      </c>
      <c r="H917" s="9" t="str">
        <f aca="false">Raw_Volunteers!F917</f>
        <v>Community Center Site</v>
      </c>
      <c r="I917" s="9" t="n">
        <f aca="false">IF(Raw_Volunteers!G917="",ROUND(AVERAGE(Raw_Volunteers!$G$2:$G$926),1),Raw_Volunteers!G917)</f>
        <v>4</v>
      </c>
    </row>
    <row r="918" customFormat="false" ht="15" hidden="false" customHeight="true" outlineLevel="0" collapsed="false">
      <c r="A918" s="9" t="str">
        <f aca="false">Raw_Volunteers!A918</f>
        <v>V2213</v>
      </c>
      <c r="B918" s="9" t="str">
        <f aca="false">IF(COUNTIFS(Raw_Volunteers!$A$2:$A$926,Raw_Volunteers!A918,Raw_Volunteers!$D$2:$D$926,Raw_Volunteers!D918,Raw_Volunteers!$E$2:$E$926,Raw_Volunteers!E918,Raw_Volunteers!$G$2:$G$926,Raw_Volunteers!G918)&gt;1,"Possible Duplicate","")</f>
        <v/>
      </c>
      <c r="C918" s="9" t="n">
        <f aca="false">Raw_Volunteers!B918</f>
        <v>0</v>
      </c>
      <c r="D918" s="9" t="str">
        <f aca="false">IF(C918="","No","Yes")</f>
        <v>No</v>
      </c>
      <c r="E918" s="9" t="str">
        <f aca="false">Raw_Volunteers!C918</f>
        <v>Nancy Wright</v>
      </c>
      <c r="F918" s="9" t="str">
        <f aca="false">Raw_Volunteers!D918</f>
        <v>03/20/2025</v>
      </c>
      <c r="G918" s="9" t="str">
        <f aca="false">PROPER(TRIM(Raw_Volunteers!E918))</f>
        <v>Warehouse Loading</v>
      </c>
      <c r="H918" s="9" t="str">
        <f aca="false">Raw_Volunteers!F918</f>
        <v>Community Center Site</v>
      </c>
      <c r="I918" s="9" t="n">
        <f aca="false">IF(Raw_Volunteers!G918="",ROUND(AVERAGE(Raw_Volunteers!$G$2:$G$926),1),Raw_Volunteers!G918)</f>
        <v>2</v>
      </c>
    </row>
    <row r="919" customFormat="false" ht="15" hidden="false" customHeight="true" outlineLevel="0" collapsed="false">
      <c r="A919" s="9" t="str">
        <f aca="false">Raw_Volunteers!A919</f>
        <v>V2213</v>
      </c>
      <c r="B919" s="9" t="str">
        <f aca="false">IF(COUNTIFS(Raw_Volunteers!$A$2:$A$926,Raw_Volunteers!A919,Raw_Volunteers!$D$2:$D$926,Raw_Volunteers!D919,Raw_Volunteers!$E$2:$E$926,Raw_Volunteers!E919,Raw_Volunteers!$G$2:$G$926,Raw_Volunteers!G919)&gt;1,"Possible Duplicate","")</f>
        <v/>
      </c>
      <c r="C919" s="9" t="n">
        <f aca="false">Raw_Volunteers!B919</f>
        <v>0</v>
      </c>
      <c r="D919" s="9" t="str">
        <f aca="false">IF(C919="","No","Yes")</f>
        <v>No</v>
      </c>
      <c r="E919" s="9" t="str">
        <f aca="false">Raw_Volunteers!C919</f>
        <v>Nancy Wright</v>
      </c>
      <c r="F919" s="9" t="str">
        <f aca="false">Raw_Volunteers!D919</f>
        <v>03/02/2025</v>
      </c>
      <c r="G919" s="9" t="str">
        <f aca="false">PROPER(TRIM(Raw_Volunteers!E919))</f>
        <v>Client Intake Assistant</v>
      </c>
      <c r="H919" s="9" t="str">
        <f aca="false">Raw_Volunteers!F919</f>
        <v>Main Warehouse</v>
      </c>
      <c r="I919" s="9" t="n">
        <f aca="false">IF(Raw_Volunteers!G919="",ROUND(AVERAGE(Raw_Volunteers!$G$2:$G$926),1),Raw_Volunteers!G919)</f>
        <v>2</v>
      </c>
    </row>
    <row r="920" customFormat="false" ht="15" hidden="false" customHeight="true" outlineLevel="0" collapsed="false">
      <c r="A920" s="9" t="str">
        <f aca="false">Raw_Volunteers!A920</f>
        <v>V2214</v>
      </c>
      <c r="B920" s="9" t="str">
        <f aca="false">IF(COUNTIFS(Raw_Volunteers!$A$2:$A$926,Raw_Volunteers!A920,Raw_Volunteers!$D$2:$D$926,Raw_Volunteers!D920,Raw_Volunteers!$E$2:$E$926,Raw_Volunteers!E920,Raw_Volunteers!$G$2:$G$926,Raw_Volunteers!G920)&gt;1,"Possible Duplicate","")</f>
        <v/>
      </c>
      <c r="C920" s="9" t="n">
        <f aca="false">Raw_Volunteers!B920</f>
        <v>0</v>
      </c>
      <c r="D920" s="9" t="str">
        <f aca="false">IF(C920="","No","Yes")</f>
        <v>No</v>
      </c>
      <c r="E920" s="9" t="str">
        <f aca="false">Raw_Volunteers!C920</f>
        <v>Sarah Hill</v>
      </c>
      <c r="F920" s="9" t="str">
        <f aca="false">Raw_Volunteers!D920</f>
        <v>03/23/2026</v>
      </c>
      <c r="G920" s="9" t="str">
        <f aca="false">PROPER(TRIM(Raw_Volunteers!E920))</f>
        <v>Warehouse Loading</v>
      </c>
      <c r="H920" s="9" t="str">
        <f aca="false">Raw_Volunteers!F920</f>
        <v>Main Warehouse</v>
      </c>
      <c r="I920" s="9" t="n">
        <f aca="false">IF(Raw_Volunteers!G920="",ROUND(AVERAGE(Raw_Volunteers!$G$2:$G$926),1),Raw_Volunteers!G920)</f>
        <v>5</v>
      </c>
    </row>
    <row r="921" customFormat="false" ht="15" hidden="false" customHeight="true" outlineLevel="0" collapsed="false">
      <c r="A921" s="9" t="str">
        <f aca="false">Raw_Volunteers!A921</f>
        <v>V2215</v>
      </c>
      <c r="B921" s="9" t="str">
        <f aca="false">IF(COUNTIFS(Raw_Volunteers!$A$2:$A$926,Raw_Volunteers!A921,Raw_Volunteers!$D$2:$D$926,Raw_Volunteers!D921,Raw_Volunteers!$E$2:$E$926,Raw_Volunteers!E921,Raw_Volunteers!$G$2:$G$926,Raw_Volunteers!G921)&gt;1,"Possible Duplicate","")</f>
        <v/>
      </c>
      <c r="C921" s="9" t="n">
        <f aca="false">Raw_Volunteers!B921</f>
        <v>0</v>
      </c>
      <c r="D921" s="9" t="str">
        <f aca="false">IF(C921="","No","Yes")</f>
        <v>No</v>
      </c>
      <c r="E921" s="9" t="str">
        <f aca="false">Raw_Volunteers!C921</f>
        <v>Lisa Scott</v>
      </c>
      <c r="F921" s="9" t="str">
        <f aca="false">Raw_Volunteers!D921</f>
        <v>09/24/2024</v>
      </c>
      <c r="G921" s="9" t="str">
        <f aca="false">PROPER(TRIM(Raw_Volunteers!E921))</f>
        <v>Front Desk Greeter</v>
      </c>
      <c r="H921" s="9" t="str">
        <f aca="false">Raw_Volunteers!F921</f>
        <v>Community Center Site</v>
      </c>
      <c r="I921" s="9" t="n">
        <f aca="false">IF(Raw_Volunteers!G921="",ROUND(AVERAGE(Raw_Volunteers!$G$2:$G$926),1),Raw_Volunteers!G921)</f>
        <v>6</v>
      </c>
    </row>
    <row r="922" customFormat="false" ht="15" hidden="false" customHeight="true" outlineLevel="0" collapsed="false">
      <c r="A922" s="9" t="str">
        <f aca="false">Raw_Volunteers!A922</f>
        <v>V2098</v>
      </c>
      <c r="B922" s="9" t="str">
        <f aca="false">IF(COUNTIFS(Raw_Volunteers!$A$2:$A$926,Raw_Volunteers!A922,Raw_Volunteers!$D$2:$D$926,Raw_Volunteers!D922,Raw_Volunteers!$E$2:$E$926,Raw_Volunteers!E922,Raw_Volunteers!$G$2:$G$926,Raw_Volunteers!G922)&gt;1,"Possible Duplicate","")</f>
        <v>Possible Duplicate</v>
      </c>
      <c r="C922" s="9" t="str">
        <f aca="false">Raw_Volunteers!B922</f>
        <v>D1038</v>
      </c>
      <c r="D922" s="9" t="str">
        <f aca="false">IF(C922="","No","Yes")</f>
        <v>Yes</v>
      </c>
      <c r="E922" s="9" t="str">
        <f aca="false">Raw_Volunteers!C922</f>
        <v>Amanda Lee</v>
      </c>
      <c r="F922" s="9" t="str">
        <f aca="false">Raw_Volunteers!D922</f>
        <v>07/29/2024</v>
      </c>
      <c r="G922" s="9" t="str">
        <f aca="false">PROPER(TRIM(Raw_Volunteers!E922))</f>
        <v>Pantry Stocking</v>
      </c>
      <c r="H922" s="9" t="str">
        <f aca="false">Raw_Volunteers!F922</f>
        <v>Mobile Unit - Route A</v>
      </c>
      <c r="I922" s="9" t="n">
        <f aca="false">IF(Raw_Volunteers!G922="",ROUND(AVERAGE(Raw_Volunteers!$G$2:$G$926),1),Raw_Volunteers!G922)</f>
        <v>5</v>
      </c>
    </row>
    <row r="923" customFormat="false" ht="15" hidden="false" customHeight="true" outlineLevel="0" collapsed="false">
      <c r="A923" s="9" t="str">
        <f aca="false">Raw_Volunteers!A923</f>
        <v>V2040</v>
      </c>
      <c r="B923" s="9" t="str">
        <f aca="false">IF(COUNTIFS(Raw_Volunteers!$A$2:$A$926,Raw_Volunteers!A923,Raw_Volunteers!$D$2:$D$926,Raw_Volunteers!D923,Raw_Volunteers!$E$2:$E$926,Raw_Volunteers!E923,Raw_Volunteers!$G$2:$G$926,Raw_Volunteers!G923)&gt;1,"Possible Duplicate","")</f>
        <v>Possible Duplicate</v>
      </c>
      <c r="C923" s="9" t="str">
        <f aca="false">Raw_Volunteers!B923</f>
        <v>D1197</v>
      </c>
      <c r="D923" s="9" t="str">
        <f aca="false">IF(C923="","No","Yes")</f>
        <v>Yes</v>
      </c>
      <c r="E923" s="9" t="str">
        <f aca="false">Raw_Volunteers!C923</f>
        <v>Steven Jones</v>
      </c>
      <c r="F923" s="9" t="str">
        <f aca="false">Raw_Volunteers!D923</f>
        <v>06/08/2024</v>
      </c>
      <c r="G923" s="9" t="str">
        <f aca="false">PROPER(TRIM(Raw_Volunteers!E923))</f>
        <v>Food Sorting</v>
      </c>
      <c r="H923" s="9" t="str">
        <f aca="false">Raw_Volunteers!F923</f>
        <v>Community Center Site</v>
      </c>
      <c r="I923" s="9" t="n">
        <f aca="false">IF(Raw_Volunteers!G923="",ROUND(AVERAGE(Raw_Volunteers!$G$2:$G$926),1),Raw_Volunteers!G923)</f>
        <v>3</v>
      </c>
    </row>
    <row r="924" customFormat="false" ht="15" hidden="false" customHeight="true" outlineLevel="0" collapsed="false">
      <c r="A924" s="9" t="str">
        <f aca="false">Raw_Volunteers!A924</f>
        <v>V2098</v>
      </c>
      <c r="B924" s="9" t="str">
        <f aca="false">IF(COUNTIFS(Raw_Volunteers!$A$2:$A$926,Raw_Volunteers!A924,Raw_Volunteers!$D$2:$D$926,Raw_Volunteers!D924,Raw_Volunteers!$E$2:$E$926,Raw_Volunteers!E924,Raw_Volunteers!$G$2:$G$926,Raw_Volunteers!G924)&gt;1,"Possible Duplicate","")</f>
        <v>Possible Duplicate</v>
      </c>
      <c r="C924" s="9" t="str">
        <f aca="false">Raw_Volunteers!B924</f>
        <v>D1038</v>
      </c>
      <c r="D924" s="9" t="str">
        <f aca="false">IF(C924="","No","Yes")</f>
        <v>Yes</v>
      </c>
      <c r="E924" s="9" t="str">
        <f aca="false">Raw_Volunteers!C924</f>
        <v>Amanda Lee</v>
      </c>
      <c r="F924" s="9" t="str">
        <f aca="false">Raw_Volunteers!D924</f>
        <v>02/19/2026</v>
      </c>
      <c r="G924" s="9" t="str">
        <f aca="false">PROPER(TRIM(Raw_Volunteers!E924))</f>
        <v>Front Desk Greeter</v>
      </c>
      <c r="H924" s="9" t="str">
        <f aca="false">Raw_Volunteers!F924</f>
        <v>Community Center Site</v>
      </c>
      <c r="I924" s="9" t="n">
        <f aca="false">IF(Raw_Volunteers!G924="",ROUND(AVERAGE(Raw_Volunteers!$G$2:$G$926),1),Raw_Volunteers!G924)</f>
        <v>3</v>
      </c>
    </row>
    <row r="925" customFormat="false" ht="15" hidden="false" customHeight="true" outlineLevel="0" collapsed="false">
      <c r="A925" s="9" t="str">
        <f aca="false">Raw_Volunteers!A925</f>
        <v>V2057</v>
      </c>
      <c r="B925" s="9" t="str">
        <f aca="false">IF(COUNTIFS(Raw_Volunteers!$A$2:$A$926,Raw_Volunteers!A925,Raw_Volunteers!$D$2:$D$926,Raw_Volunteers!D925,Raw_Volunteers!$E$2:$E$926,Raw_Volunteers!E925,Raw_Volunteers!$G$2:$G$926,Raw_Volunteers!G925)&gt;1,"Possible Duplicate","")</f>
        <v>Possible Duplicate</v>
      </c>
      <c r="C925" s="9" t="str">
        <f aca="false">Raw_Volunteers!B925</f>
        <v>D1349</v>
      </c>
      <c r="D925" s="9" t="str">
        <f aca="false">IF(C925="","No","Yes")</f>
        <v>Yes</v>
      </c>
      <c r="E925" s="9" t="str">
        <f aca="false">Raw_Volunteers!C925</f>
        <v>Sarah Lee</v>
      </c>
      <c r="F925" s="9" t="str">
        <f aca="false">Raw_Volunteers!D925</f>
        <v>05/08/2025</v>
      </c>
      <c r="G925" s="9" t="str">
        <f aca="false">PROPER(TRIM(Raw_Volunteers!E925))</f>
        <v>Front Desk Greeter</v>
      </c>
      <c r="H925" s="9" t="str">
        <f aca="false">Raw_Volunteers!F925</f>
        <v>Community Center Site</v>
      </c>
      <c r="I925" s="9" t="n">
        <f aca="false">IF(Raw_Volunteers!G925="",ROUND(AVERAGE(Raw_Volunteers!$G$2:$G$926),1),Raw_Volunteers!G925)</f>
        <v>2</v>
      </c>
    </row>
    <row r="926" customFormat="false" ht="15" hidden="false" customHeight="true" outlineLevel="0" collapsed="false">
      <c r="A926" s="9" t="str">
        <f aca="false">Raw_Volunteers!A926</f>
        <v>V2172</v>
      </c>
      <c r="B926" s="9" t="str">
        <f aca="false">IF(COUNTIFS(Raw_Volunteers!$A$2:$A$926,Raw_Volunteers!A926,Raw_Volunteers!$D$2:$D$926,Raw_Volunteers!D926,Raw_Volunteers!$E$2:$E$926,Raw_Volunteers!E926,Raw_Volunteers!$G$2:$G$926,Raw_Volunteers!G926)&gt;1,"Possible Duplicate","")</f>
        <v>Possible Duplicate</v>
      </c>
      <c r="C926" s="9" t="n">
        <f aca="false">Raw_Volunteers!B926</f>
        <v>0</v>
      </c>
      <c r="D926" s="9" t="str">
        <f aca="false">IF(C926="","No","Yes")</f>
        <v>No</v>
      </c>
      <c r="E926" s="9" t="str">
        <f aca="false">Raw_Volunteers!C926</f>
        <v>James Walker</v>
      </c>
      <c r="F926" s="9" t="str">
        <f aca="false">Raw_Volunteers!D926</f>
        <v>04/07/2026</v>
      </c>
      <c r="G926" s="9" t="str">
        <f aca="false">PROPER(TRIM(Raw_Volunteers!E926))</f>
        <v>Event Setup</v>
      </c>
      <c r="H926" s="9" t="str">
        <f aca="false">Raw_Volunteers!F926</f>
        <v>Downtown Pantry</v>
      </c>
      <c r="I926" s="9" t="n">
        <f aca="false">IF(Raw_Volunteers!G926="",ROUND(AVERAGE(Raw_Volunteers!$G$2:$G$926),1),Raw_Volunteers!G926)</f>
        <v>5</v>
      </c>
    </row>
  </sheetData>
  <conditionalFormatting sqref="B2:B926">
    <cfRule type="expression" priority="2" aboveAverage="0" equalAverage="0" bottom="0" percent="0" rank="0" text="" dxfId="4">
      <formula>$B2&lt;&gt;""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4"/>
    <col collapsed="false" customWidth="true" hidden="false" outlineLevel="0" max="3" min="3" style="1" width="14"/>
    <col collapsed="false" customWidth="true" hidden="false" outlineLevel="0" max="4" min="4" style="1" width="13"/>
    <col collapsed="false" customWidth="true" hidden="false" outlineLevel="0" max="5" min="5" style="1" width="20"/>
    <col collapsed="false" customWidth="true" hidden="false" outlineLevel="0" max="6" min="6" style="1" width="18"/>
  </cols>
  <sheetData>
    <row r="2" customFormat="false" ht="17.25" hidden="false" customHeight="true" outlineLevel="0" collapsed="false">
      <c r="B2" s="11" t="s">
        <v>2463</v>
      </c>
    </row>
    <row r="4" customFormat="false" ht="15" hidden="false" customHeight="true" outlineLevel="0" collapsed="false">
      <c r="B4" s="5" t="s">
        <v>2464</v>
      </c>
    </row>
    <row r="5" customFormat="false" ht="15" hidden="false" customHeight="true" outlineLevel="0" collapsed="false">
      <c r="B5" s="12" t="s">
        <v>23</v>
      </c>
      <c r="C5" s="12" t="s">
        <v>2465</v>
      </c>
      <c r="D5" s="12" t="s">
        <v>2466</v>
      </c>
      <c r="E5" s="12" t="s">
        <v>34</v>
      </c>
      <c r="F5" s="12" t="s">
        <v>2467</v>
      </c>
    </row>
    <row r="6" customFormat="false" ht="15" hidden="false" customHeight="true" outlineLevel="0" collapsed="false">
      <c r="B6" s="9" t="s">
        <v>39</v>
      </c>
      <c r="C6" s="9" t="n">
        <f aca="false">COUNTIF(Clean_Donors!G2:G759,B6)</f>
        <v>509</v>
      </c>
      <c r="D6" s="13" t="n">
        <f aca="false">IFERROR(C6/SUM($C$6:$C$8),0)</f>
        <v>0.671503957783641</v>
      </c>
      <c r="E6" s="10" t="n">
        <f aca="false">SUMIF(Clean_Donors!G2:G759,B6,Clean_Donors!R2:R759)</f>
        <v>1216864</v>
      </c>
      <c r="F6" s="10" t="n">
        <f aca="false">IFERROR(E6/C6,0)</f>
        <v>2390.69548133595</v>
      </c>
    </row>
    <row r="7" customFormat="false" ht="15" hidden="false" customHeight="true" outlineLevel="0" collapsed="false">
      <c r="B7" s="9" t="s">
        <v>45</v>
      </c>
      <c r="C7" s="9" t="n">
        <f aca="false">COUNTIF(Clean_Donors!G2:G759,B7)</f>
        <v>58</v>
      </c>
      <c r="D7" s="13" t="n">
        <f aca="false">IFERROR(C7/SUM($C$6:$C$8),0)</f>
        <v>0.0765171503957784</v>
      </c>
      <c r="E7" s="10" t="n">
        <f aca="false">SUMIF(Clean_Donors!G2:G759,B7,Clean_Donors!R2:R759)</f>
        <v>22624</v>
      </c>
      <c r="F7" s="10" t="n">
        <f aca="false">IFERROR(E7/C7,0)</f>
        <v>390.068965517241</v>
      </c>
    </row>
    <row r="8" customFormat="false" ht="15" hidden="false" customHeight="true" outlineLevel="0" collapsed="false">
      <c r="B8" s="9" t="s">
        <v>54</v>
      </c>
      <c r="C8" s="9" t="n">
        <f aca="false">COUNTIF(Clean_Donors!G2:G759,B8)</f>
        <v>191</v>
      </c>
      <c r="D8" s="13" t="n">
        <f aca="false">IFERROR(C8/SUM($C$6:$C$8),0)</f>
        <v>0.251978891820581</v>
      </c>
      <c r="E8" s="10" t="n">
        <f aca="false">SUMIF(Clean_Donors!G2:G759,B8,Clean_Donors!R2:R759)</f>
        <v>116760</v>
      </c>
      <c r="F8" s="10" t="n">
        <f aca="false">IFERROR(E8/C8,0)</f>
        <v>611.30890052356</v>
      </c>
    </row>
    <row r="9" customFormat="false" ht="15" hidden="false" customHeight="true" outlineLevel="0" collapsed="false">
      <c r="B9" s="14" t="s">
        <v>2468</v>
      </c>
      <c r="C9" s="14" t="n">
        <f aca="false">SUM(C6:C8)</f>
        <v>758</v>
      </c>
      <c r="D9" s="15" t="n">
        <f aca="false">SUM(D6:D8)</f>
        <v>1</v>
      </c>
      <c r="E9" s="16" t="n">
        <f aca="false">SUM(E6:E8)</f>
        <v>1356248</v>
      </c>
      <c r="F9" s="16" t="n">
        <f aca="false">IFERROR(E9/C9,0)</f>
        <v>1789.24538258575</v>
      </c>
    </row>
    <row r="12" customFormat="false" ht="15" hidden="false" customHeight="true" outlineLevel="0" collapsed="false">
      <c r="B12" s="5" t="s">
        <v>2469</v>
      </c>
    </row>
    <row r="13" customFormat="false" ht="15" hidden="false" customHeight="true" outlineLevel="0" collapsed="false">
      <c r="B13" s="12" t="s">
        <v>25</v>
      </c>
      <c r="C13" s="12" t="s">
        <v>2470</v>
      </c>
      <c r="D13" s="12" t="s">
        <v>34</v>
      </c>
    </row>
    <row r="14" customFormat="false" ht="15" hidden="false" customHeight="true" outlineLevel="0" collapsed="false">
      <c r="B14" s="9" t="s">
        <v>2471</v>
      </c>
      <c r="C14" s="9" t="n">
        <f aca="false">COUNTIF(Clean_Donors!I2:I759,B14)</f>
        <v>706</v>
      </c>
      <c r="D14" s="10" t="n">
        <f aca="false">SUMIF(Clean_Donors!I2:I759,B14,Clean_Donors!R2:R759)</f>
        <v>1188705</v>
      </c>
    </row>
    <row r="15" customFormat="false" ht="15" hidden="false" customHeight="true" outlineLevel="0" collapsed="false">
      <c r="B15" s="9" t="s">
        <v>81</v>
      </c>
      <c r="C15" s="9" t="n">
        <f aca="false">COUNTIF(Clean_Donors!I2:I759,B15)</f>
        <v>7</v>
      </c>
      <c r="D15" s="10" t="n">
        <f aca="false">SUMIF(Clean_Donors!I2:I759,B15,Clean_Donors!R2:R759)</f>
        <v>504</v>
      </c>
    </row>
    <row r="16" customFormat="false" ht="15" hidden="false" customHeight="true" outlineLevel="0" collapsed="false">
      <c r="B16" s="9" t="s">
        <v>159</v>
      </c>
      <c r="C16" s="9" t="n">
        <f aca="false">COUNTIF(Clean_Donors!I2:I759,B16)</f>
        <v>11</v>
      </c>
      <c r="D16" s="10" t="n">
        <f aca="false">SUMIF(Clean_Donors!I2:I759,B16,Clean_Donors!R2:R759)</f>
        <v>1066</v>
      </c>
    </row>
    <row r="17" customFormat="false" ht="15" hidden="false" customHeight="true" outlineLevel="0" collapsed="false">
      <c r="B17" s="9" t="s">
        <v>177</v>
      </c>
      <c r="C17" s="9" t="n">
        <f aca="false">COUNTIF(Clean_Donors!I2:I759,B17)</f>
        <v>11</v>
      </c>
      <c r="D17" s="10" t="n">
        <f aca="false">SUMIF(Clean_Donors!I2:I759,B17,Clean_Donors!R2:R759)</f>
        <v>1844</v>
      </c>
    </row>
    <row r="18" customFormat="false" ht="15" hidden="false" customHeight="true" outlineLevel="0" collapsed="false">
      <c r="B18" s="9" t="s">
        <v>110</v>
      </c>
      <c r="C18" s="9" t="n">
        <f aca="false">COUNTIF(Clean_Donors!I2:I759,B18)</f>
        <v>12</v>
      </c>
      <c r="D18" s="10" t="n">
        <f aca="false">SUMIF(Clean_Donors!I2:I759,B18,Clean_Donors!R2:R759)</f>
        <v>920</v>
      </c>
    </row>
    <row r="19" customFormat="false" ht="15" hidden="false" customHeight="true" outlineLevel="0" collapsed="false">
      <c r="B19" s="9" t="s">
        <v>226</v>
      </c>
      <c r="C19" s="9" t="n">
        <f aca="false">COUNTIF(Clean_Donors!I2:I759,B19)</f>
        <v>8</v>
      </c>
      <c r="D19" s="10" t="n">
        <f aca="false">SUMIF(Clean_Donors!I2:I759,B19,Clean_Donors!R2:R759)</f>
        <v>26522</v>
      </c>
    </row>
    <row r="20" customFormat="false" ht="15" hidden="false" customHeight="true" outlineLevel="0" collapsed="false">
      <c r="B20" s="9" t="s">
        <v>494</v>
      </c>
      <c r="C20" s="9" t="n">
        <f aca="false">COUNTIF(Clean_Donors!I2:I759,B20)</f>
        <v>3</v>
      </c>
      <c r="D20" s="10" t="n">
        <f aca="false">SUMIF(Clean_Donors!I2:I759,B20,Clean_Donors!R2:R759)</f>
        <v>136687</v>
      </c>
    </row>
    <row r="23" customFormat="false" ht="15" hidden="false" customHeight="true" outlineLevel="0" collapsed="false">
      <c r="B23" s="5" t="s">
        <v>2472</v>
      </c>
    </row>
    <row r="24" customFormat="false" ht="15" hidden="false" customHeight="true" outlineLevel="0" collapsed="false">
      <c r="B24" s="12" t="s">
        <v>2473</v>
      </c>
      <c r="C24" s="12" t="s">
        <v>2474</v>
      </c>
      <c r="D24" s="12" t="s">
        <v>2475</v>
      </c>
    </row>
    <row r="25" customFormat="false" ht="15" hidden="false" customHeight="true" outlineLevel="0" collapsed="false">
      <c r="B25" s="9" t="s">
        <v>2476</v>
      </c>
      <c r="C25" s="10" t="n">
        <f aca="false">SUM(Clean_Donors!M2:M759)</f>
        <v>12001</v>
      </c>
      <c r="D25" s="9" t="n">
        <f aca="false">COUNTIF(Clean_Donors!M2:M759,"&gt;0")</f>
        <v>54</v>
      </c>
    </row>
    <row r="26" customFormat="false" ht="15" hidden="false" customHeight="true" outlineLevel="0" collapsed="false">
      <c r="B26" s="9" t="s">
        <v>2477</v>
      </c>
      <c r="C26" s="10" t="n">
        <f aca="false">SUM(Clean_Donors!N2:N759)</f>
        <v>188140</v>
      </c>
      <c r="D26" s="9" t="n">
        <f aca="false">COUNTIF(Clean_Donors!N2:N759,"&gt;0")</f>
        <v>52</v>
      </c>
    </row>
    <row r="27" customFormat="false" ht="15" hidden="false" customHeight="true" outlineLevel="0" collapsed="false">
      <c r="B27" s="9" t="s">
        <v>2478</v>
      </c>
      <c r="C27" s="10" t="n">
        <f aca="false">SUM(Clean_Donors!O2:O759)</f>
        <v>114344</v>
      </c>
      <c r="D27" s="9" t="n">
        <f aca="false">COUNTIF(Clean_Donors!O2:O759,"&gt;0")</f>
        <v>58</v>
      </c>
    </row>
    <row r="28" customFormat="false" ht="15" hidden="false" customHeight="true" outlineLevel="0" collapsed="false">
      <c r="B28" s="9" t="s">
        <v>2479</v>
      </c>
      <c r="C28" s="10" t="n">
        <f aca="false">SUM(Clean_Donors!P2:P759)</f>
        <v>82754</v>
      </c>
      <c r="D28" s="9" t="n">
        <f aca="false">COUNTIF(Clean_Donors!P2:P759,"&gt;0")</f>
        <v>68</v>
      </c>
    </row>
    <row r="29" customFormat="false" ht="15" hidden="false" customHeight="true" outlineLevel="0" collapsed="false">
      <c r="B29" s="9" t="s">
        <v>2480</v>
      </c>
      <c r="C29" s="10" t="n">
        <f aca="false">SUM(Clean_Donors!Q2:Q759)</f>
        <v>123424</v>
      </c>
      <c r="D29" s="9" t="n">
        <f aca="false">COUNTIF(Clean_Donors!Q2:Q759,"&gt;0")</f>
        <v>48</v>
      </c>
    </row>
    <row r="32" customFormat="false" ht="15" hidden="false" customHeight="true" outlineLevel="0" collapsed="false">
      <c r="B32" s="5" t="s">
        <v>2481</v>
      </c>
    </row>
    <row r="33" customFormat="false" ht="15" hidden="false" customHeight="true" outlineLevel="0" collapsed="false">
      <c r="B33" s="12" t="s">
        <v>2482</v>
      </c>
      <c r="C33" s="12" t="s">
        <v>2483</v>
      </c>
    </row>
    <row r="34" customFormat="false" ht="15" hidden="false" customHeight="true" outlineLevel="0" collapsed="false">
      <c r="B34" s="9" t="s">
        <v>2484</v>
      </c>
      <c r="C34" s="9" t="n">
        <f aca="false">COUNTIF(Clean_Donors!B2:B759,"Duplicate ID")</f>
        <v>8</v>
      </c>
    </row>
    <row r="35" customFormat="false" ht="15" hidden="false" customHeight="true" outlineLevel="0" collapsed="false">
      <c r="B35" s="9" t="s">
        <v>2485</v>
      </c>
      <c r="C35" s="9" t="n">
        <f aca="false">COUNTIF(Clean_Donors!I2:I759,"Not Rated")</f>
        <v>706</v>
      </c>
    </row>
    <row r="36" customFormat="false" ht="15" hidden="false" customHeight="true" outlineLevel="0" collapsed="false">
      <c r="B36" s="9" t="s">
        <v>2486</v>
      </c>
      <c r="C36" s="9" t="n">
        <f aca="false">COUNTBLANK(Clean_Donors!T2:T759)</f>
        <v>477</v>
      </c>
    </row>
    <row r="37" customFormat="false" ht="15" hidden="false" customHeight="true" outlineLevel="0" collapsed="false">
      <c r="B37" s="9" t="s">
        <v>2487</v>
      </c>
      <c r="C37" s="9" t="n">
        <f aca="false">COUNTIF(Clean_Donors!U2:U759,"Lapsed - Follow Up")</f>
        <v>100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M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4"/>
    <col collapsed="false" customWidth="true" hidden="false" outlineLevel="0" max="3" min="3" style="1" width="18"/>
    <col collapsed="false" customWidth="true" hidden="false" outlineLevel="0" max="4" min="4" style="1" width="20"/>
    <col collapsed="false" customWidth="true" hidden="false" outlineLevel="0" max="5" min="5" style="1" width="18"/>
    <col collapsed="false" customWidth="true" hidden="false" outlineLevel="0" max="6" min="6" style="1" width="16"/>
    <col collapsed="false" customWidth="true" hidden="false" outlineLevel="0" max="7" min="7" style="1" width="30"/>
    <col collapsed="false" customWidth="true" hidden="false" outlineLevel="0" max="13" min="8" style="1" width="11"/>
  </cols>
  <sheetData>
    <row r="2" customFormat="false" ht="17.25" hidden="false" customHeight="true" outlineLevel="0" collapsed="false">
      <c r="B2" s="11" t="s">
        <v>2488</v>
      </c>
    </row>
    <row r="4" customFormat="false" ht="15" hidden="false" customHeight="true" outlineLevel="0" collapsed="false">
      <c r="B4" s="17" t="n">
        <f aca="false">COUNTA(Clean_Donors!A2:A759)-COUNTIF(Clean_Donors!B2:B759,"Duplicate ID")</f>
        <v>750</v>
      </c>
      <c r="C4" s="17"/>
      <c r="D4" s="17" t="n">
        <f aca="false">COUNTIF(Clean_Donors!Q2:Q759,"&gt;0")</f>
        <v>48</v>
      </c>
      <c r="E4" s="17"/>
      <c r="F4" s="17" t="n">
        <f aca="false">SUMPRODUCT((COUNTIF(Clean_Volunteers!A2:A926,Clean_Volunteers!A2:A926)&gt;0)/COUNTIF(Clean_Volunteers!A2:A926,Clean_Volunteers!A2:A926))</f>
        <v>215</v>
      </c>
      <c r="G4" s="17"/>
      <c r="H4" s="17" t="n">
        <f aca="false">SUMPRODUCT((Clean_Volunteers!D2:D926="Yes")/COUNTIF(Clean_Volunteers!A2:A926,Clean_Volunteers!A2:A926))</f>
        <v>120</v>
      </c>
      <c r="I4" s="17"/>
      <c r="J4" s="17" t="n">
        <f aca="false">COUNTIF(Clean_Donors!U2:U759,"Lapsed - Follow Up")</f>
        <v>100</v>
      </c>
      <c r="K4" s="17"/>
      <c r="L4" s="18" t="n">
        <f aca="false">SUM(Clean_Volunteers!I2:I926)</f>
        <v>2666.2</v>
      </c>
      <c r="M4" s="18"/>
    </row>
    <row r="5" customFormat="false" ht="15" hidden="false" customHeight="true" outlineLevel="0" collapsed="false">
      <c r="B5" s="17"/>
      <c r="C5" s="17"/>
      <c r="D5" s="17"/>
      <c r="E5" s="17"/>
      <c r="F5" s="17"/>
      <c r="G5" s="17"/>
      <c r="H5" s="17"/>
      <c r="I5" s="17"/>
      <c r="J5" s="17"/>
      <c r="K5" s="17"/>
      <c r="L5" s="18"/>
      <c r="M5" s="18"/>
    </row>
    <row r="6" customFormat="false" ht="30" hidden="false" customHeight="true" outlineLevel="0" collapsed="false">
      <c r="B6" s="19" t="s">
        <v>2489</v>
      </c>
      <c r="C6" s="19"/>
      <c r="D6" s="19" t="s">
        <v>2490</v>
      </c>
      <c r="E6" s="19"/>
      <c r="F6" s="19" t="s">
        <v>2491</v>
      </c>
      <c r="G6" s="19"/>
      <c r="H6" s="19" t="s">
        <v>2492</v>
      </c>
      <c r="I6" s="19"/>
      <c r="J6" s="19" t="s">
        <v>2493</v>
      </c>
      <c r="K6" s="19"/>
      <c r="L6" s="19" t="s">
        <v>2494</v>
      </c>
      <c r="M6" s="19"/>
    </row>
    <row r="9" customFormat="false" ht="15" hidden="false" customHeight="true" outlineLevel="0" collapsed="false">
      <c r="B9" s="5" t="s">
        <v>2495</v>
      </c>
    </row>
    <row r="10" customFormat="false" ht="15" hidden="false" customHeight="true" outlineLevel="0" collapsed="false">
      <c r="B10" s="12" t="s">
        <v>2496</v>
      </c>
      <c r="C10" s="12" t="s">
        <v>18</v>
      </c>
      <c r="D10" s="12" t="s">
        <v>23</v>
      </c>
      <c r="E10" s="12" t="s">
        <v>34</v>
      </c>
      <c r="F10" s="12" t="s">
        <v>2497</v>
      </c>
    </row>
    <row r="11" customFormat="false" ht="15" hidden="false" customHeight="true" outlineLevel="0" collapsed="false">
      <c r="B11" s="9" t="n">
        <v>1</v>
      </c>
      <c r="C11" s="9" t="str">
        <f aca="false">IFERROR(INDEX(Clean_Donors!$A$2:$A$759,MATCH(1,Clean_Donors!$V$2:$V$759,0)),"")</f>
        <v>D1087</v>
      </c>
      <c r="D11" s="9" t="str">
        <f aca="false">IFERROR(INDEX(Clean_Donors!$G$2:$G$759,MATCH(C11,Clean_Donors!$A$2:$A$759,0)),"")</f>
        <v>Individual Donor</v>
      </c>
      <c r="E11" s="10" t="n">
        <f aca="false">IFERROR(INDEX(Clean_Donors!$R$2:$R$759,MATCH(C11,Clean_Donors!$A$2:$A$759,0)),0)</f>
        <v>585400</v>
      </c>
      <c r="F11" s="9" t="str">
        <f aca="false">IF(COUNTIF(Clean_Volunteers!$C$2:$C$926,C11)&gt;0,"Yes","No")</f>
        <v>No</v>
      </c>
    </row>
    <row r="12" customFormat="false" ht="15" hidden="false" customHeight="true" outlineLevel="0" collapsed="false">
      <c r="B12" s="9" t="n">
        <v>2</v>
      </c>
      <c r="C12" s="9" t="str">
        <f aca="false">IFERROR(INDEX(Clean_Donors!$A$2:$A$759,MATCH(2,Clean_Donors!$V$2:$V$759,0)),"")</f>
        <v>D1437</v>
      </c>
      <c r="D12" s="9" t="str">
        <f aca="false">IFERROR(INDEX(Clean_Donors!$G$2:$G$759,MATCH(C12,Clean_Donors!$A$2:$A$759,0)),"")</f>
        <v>Individual Donor</v>
      </c>
      <c r="E12" s="10" t="n">
        <f aca="false">IFERROR(INDEX(Clean_Donors!$R$2:$R$759,MATCH(C12,Clean_Donors!$A$2:$A$759,0)),0)</f>
        <v>213200</v>
      </c>
      <c r="F12" s="9" t="str">
        <f aca="false">IF(COUNTIF(Clean_Volunteers!$C$2:$C$926,C12)&gt;0,"Yes","No")</f>
        <v>No</v>
      </c>
    </row>
    <row r="13" customFormat="false" ht="15" hidden="false" customHeight="true" outlineLevel="0" collapsed="false">
      <c r="B13" s="9" t="n">
        <v>3</v>
      </c>
      <c r="C13" s="9" t="str">
        <f aca="false">IFERROR(INDEX(Clean_Donors!$A$2:$A$759,MATCH(3,Clean_Donors!$V$2:$V$759,0)),"")</f>
        <v>D1593</v>
      </c>
      <c r="D13" s="9" t="str">
        <f aca="false">IFERROR(INDEX(Clean_Donors!$G$2:$G$759,MATCH(C13,Clean_Donors!$A$2:$A$759,0)),"")</f>
        <v>Individual Donor</v>
      </c>
      <c r="E13" s="10" t="n">
        <f aca="false">IFERROR(INDEX(Clean_Donors!$R$2:$R$759,MATCH(C13,Clean_Donors!$A$2:$A$759,0)),0)</f>
        <v>126500</v>
      </c>
      <c r="F13" s="9" t="str">
        <f aca="false">IF(COUNTIF(Clean_Volunteers!$C$2:$C$926,C13)&gt;0,"Yes","No")</f>
        <v>No</v>
      </c>
    </row>
    <row r="14" customFormat="false" ht="15" hidden="false" customHeight="true" outlineLevel="0" collapsed="false">
      <c r="B14" s="9" t="n">
        <v>4</v>
      </c>
      <c r="C14" s="9" t="str">
        <f aca="false">IFERROR(INDEX(Clean_Donors!$A$2:$A$759,MATCH(4,Clean_Donors!$V$2:$V$759,0)),"")</f>
        <v>D1589</v>
      </c>
      <c r="D14" s="9" t="str">
        <f aca="false">IFERROR(INDEX(Clean_Donors!$G$2:$G$759,MATCH(C14,Clean_Donors!$A$2:$A$759,0)),"")</f>
        <v>Individual Donor</v>
      </c>
      <c r="E14" s="10" t="n">
        <f aca="false">IFERROR(INDEX(Clean_Donors!$R$2:$R$759,MATCH(C14,Clean_Donors!$A$2:$A$759,0)),0)</f>
        <v>100000</v>
      </c>
      <c r="F14" s="9" t="str">
        <f aca="false">IF(COUNTIF(Clean_Volunteers!$C$2:$C$926,C14)&gt;0,"Yes","No")</f>
        <v>No</v>
      </c>
    </row>
    <row r="15" customFormat="false" ht="15" hidden="false" customHeight="true" outlineLevel="0" collapsed="false">
      <c r="B15" s="9" t="n">
        <v>5</v>
      </c>
      <c r="C15" s="9" t="str">
        <f aca="false">IFERROR(INDEX(Clean_Donors!$A$2:$A$759,MATCH(5,Clean_Donors!$V$2:$V$759,0)),"")</f>
        <v>D1585</v>
      </c>
      <c r="D15" s="9" t="str">
        <f aca="false">IFERROR(INDEX(Clean_Donors!$G$2:$G$759,MATCH(C15,Clean_Donors!$A$2:$A$759,0)),"")</f>
        <v>Community Partner</v>
      </c>
      <c r="E15" s="10" t="n">
        <f aca="false">IFERROR(INDEX(Clean_Donors!$R$2:$R$759,MATCH(C15,Clean_Donors!$A$2:$A$759,0)),0)</f>
        <v>76500</v>
      </c>
      <c r="F15" s="9" t="str">
        <f aca="false">IF(COUNTIF(Clean_Volunteers!$C$2:$C$926,C15)&gt;0,"Yes","No")</f>
        <v>Yes</v>
      </c>
    </row>
    <row r="16" customFormat="false" ht="15" hidden="false" customHeight="true" outlineLevel="0" collapsed="false">
      <c r="B16" s="9" t="n">
        <v>6</v>
      </c>
      <c r="C16" s="9" t="str">
        <f aca="false">IFERROR(INDEX(Clean_Donors!$A$2:$A$759,MATCH(6,Clean_Donors!$V$2:$V$759,0)),"")</f>
        <v>D1107</v>
      </c>
      <c r="D16" s="9" t="str">
        <f aca="false">IFERROR(INDEX(Clean_Donors!$G$2:$G$759,MATCH(C16,Clean_Donors!$A$2:$A$759,0)),"")</f>
        <v>Individual Donor</v>
      </c>
      <c r="E16" s="10" t="n">
        <f aca="false">IFERROR(INDEX(Clean_Donors!$R$2:$R$759,MATCH(C16,Clean_Donors!$A$2:$A$759,0)),0)</f>
        <v>25500</v>
      </c>
      <c r="F16" s="9" t="str">
        <f aca="false">IF(COUNTIF(Clean_Volunteers!$C$2:$C$926,C16)&gt;0,"Yes","No")</f>
        <v>No</v>
      </c>
    </row>
    <row r="17" customFormat="false" ht="15" hidden="false" customHeight="true" outlineLevel="0" collapsed="false">
      <c r="B17" s="9" t="n">
        <v>7</v>
      </c>
      <c r="C17" s="9" t="str">
        <f aca="false">IFERROR(INDEX(Clean_Donors!$A$2:$A$759,MATCH(7,Clean_Donors!$V$2:$V$759,0)),"")</f>
        <v>D1091</v>
      </c>
      <c r="D17" s="9" t="str">
        <f aca="false">IFERROR(INDEX(Clean_Donors!$G$2:$G$759,MATCH(C17,Clean_Donors!$A$2:$A$759,0)),"")</f>
        <v>Individual Donor</v>
      </c>
      <c r="E17" s="10" t="n">
        <f aca="false">IFERROR(INDEX(Clean_Donors!$R$2:$R$759,MATCH(C17,Clean_Donors!$A$2:$A$759,0)),0)</f>
        <v>11704</v>
      </c>
      <c r="F17" s="9" t="str">
        <f aca="false">IF(COUNTIF(Clean_Volunteers!$C$2:$C$926,C17)&gt;0,"Yes","No")</f>
        <v>No</v>
      </c>
    </row>
    <row r="18" customFormat="false" ht="15" hidden="false" customHeight="true" outlineLevel="0" collapsed="false">
      <c r="B18" s="9" t="n">
        <v>8</v>
      </c>
      <c r="C18" s="9" t="str">
        <f aca="false">IFERROR(INDEX(Clean_Donors!$A$2:$A$759,MATCH(8,Clean_Donors!$V$2:$V$759,0)),"")</f>
        <v>D1689</v>
      </c>
      <c r="D18" s="9" t="str">
        <f aca="false">IFERROR(INDEX(Clean_Donors!$G$2:$G$759,MATCH(C18,Clean_Donors!$A$2:$A$759,0)),"")</f>
        <v>Individual Donor</v>
      </c>
      <c r="E18" s="10" t="n">
        <f aca="false">IFERROR(INDEX(Clean_Donors!$R$2:$R$759,MATCH(C18,Clean_Donors!$A$2:$A$759,0)),0)</f>
        <v>11077</v>
      </c>
      <c r="F18" s="9" t="str">
        <f aca="false">IF(COUNTIF(Clean_Volunteers!$C$2:$C$926,C18)&gt;0,"Yes","No")</f>
        <v>No</v>
      </c>
    </row>
    <row r="19" customFormat="false" ht="15" hidden="false" customHeight="true" outlineLevel="0" collapsed="false">
      <c r="B19" s="9" t="n">
        <v>9</v>
      </c>
      <c r="C19" s="9" t="str">
        <f aca="false">IFERROR(INDEX(Clean_Donors!$A$2:$A$759,MATCH(9,Clean_Donors!$V$2:$V$759,0)),"")</f>
        <v>D1046</v>
      </c>
      <c r="D19" s="9" t="str">
        <f aca="false">IFERROR(INDEX(Clean_Donors!$G$2:$G$759,MATCH(C19,Clean_Donors!$A$2:$A$759,0)),"")</f>
        <v>Family Donor</v>
      </c>
      <c r="E19" s="10" t="n">
        <f aca="false">IFERROR(INDEX(Clean_Donors!$R$2:$R$759,MATCH(C19,Clean_Donors!$A$2:$A$759,0)),0)</f>
        <v>10000</v>
      </c>
      <c r="F19" s="9" t="str">
        <f aca="false">IF(COUNTIF(Clean_Volunteers!$C$2:$C$926,C19)&gt;0,"Yes","No")</f>
        <v>No</v>
      </c>
    </row>
    <row r="20" customFormat="false" ht="15" hidden="false" customHeight="true" outlineLevel="0" collapsed="false">
      <c r="B20" s="9" t="n">
        <v>10</v>
      </c>
      <c r="C20" s="9" t="str">
        <f aca="false">IFERROR(INDEX(Clean_Donors!$A$2:$A$759,MATCH(10,Clean_Donors!$V$2:$V$759,0)),"")</f>
        <v>D1552</v>
      </c>
      <c r="D20" s="9" t="str">
        <f aca="false">IFERROR(INDEX(Clean_Donors!$G$2:$G$759,MATCH(C20,Clean_Donors!$A$2:$A$759,0)),"")</f>
        <v>Individual Donor</v>
      </c>
      <c r="E20" s="10" t="n">
        <f aca="false">IFERROR(INDEX(Clean_Donors!$R$2:$R$759,MATCH(C20,Clean_Donors!$A$2:$A$759,0)),0)</f>
        <v>9155</v>
      </c>
      <c r="F20" s="9" t="str">
        <f aca="false">IF(COUNTIF(Clean_Volunteers!$C$2:$C$926,C20)&gt;0,"Yes","No")</f>
        <v>Yes</v>
      </c>
    </row>
    <row r="21" customFormat="false" ht="15" hidden="false" customHeight="true" outlineLevel="0" collapsed="false">
      <c r="B21" s="9" t="n">
        <v>11</v>
      </c>
      <c r="C21" s="9" t="str">
        <f aca="false">IFERROR(INDEX(Clean_Donors!$A$2:$A$759,MATCH(11,Clean_Donors!$V$2:$V$759,0)),"")</f>
        <v>D1284</v>
      </c>
      <c r="D21" s="9" t="str">
        <f aca="false">IFERROR(INDEX(Clean_Donors!$G$2:$G$759,MATCH(C21,Clean_Donors!$A$2:$A$759,0)),"")</f>
        <v>Individual Donor</v>
      </c>
      <c r="E21" s="10" t="n">
        <f aca="false">IFERROR(INDEX(Clean_Donors!$R$2:$R$759,MATCH(C21,Clean_Donors!$A$2:$A$759,0)),0)</f>
        <v>8772</v>
      </c>
      <c r="F21" s="9" t="str">
        <f aca="false">IF(COUNTIF(Clean_Volunteers!$C$2:$C$926,C21)&gt;0,"Yes","No")</f>
        <v>No</v>
      </c>
    </row>
    <row r="22" customFormat="false" ht="15" hidden="false" customHeight="true" outlineLevel="0" collapsed="false">
      <c r="B22" s="9" t="n">
        <v>12</v>
      </c>
      <c r="C22" s="9" t="str">
        <f aca="false">IFERROR(INDEX(Clean_Donors!$A$2:$A$759,MATCH(12,Clean_Donors!$V$2:$V$759,0)),"")</f>
        <v>D1723</v>
      </c>
      <c r="D22" s="9" t="str">
        <f aca="false">IFERROR(INDEX(Clean_Donors!$G$2:$G$759,MATCH(C22,Clean_Donors!$A$2:$A$759,0)),"")</f>
        <v>Individual Donor</v>
      </c>
      <c r="E22" s="10" t="n">
        <f aca="false">IFERROR(INDEX(Clean_Donors!$R$2:$R$759,MATCH(C22,Clean_Donors!$A$2:$A$759,0)),0)</f>
        <v>5255</v>
      </c>
      <c r="F22" s="9" t="str">
        <f aca="false">IF(COUNTIF(Clean_Volunteers!$C$2:$C$926,C22)&gt;0,"Yes","No")</f>
        <v>Yes</v>
      </c>
    </row>
    <row r="23" customFormat="false" ht="15" hidden="false" customHeight="true" outlineLevel="0" collapsed="false">
      <c r="B23" s="9" t="n">
        <v>13</v>
      </c>
      <c r="C23" s="9" t="str">
        <f aca="false">IFERROR(INDEX(Clean_Donors!$A$2:$A$759,MATCH(13,Clean_Donors!$V$2:$V$759,0)),"")</f>
        <v>D1208</v>
      </c>
      <c r="D23" s="9" t="str">
        <f aca="false">IFERROR(INDEX(Clean_Donors!$G$2:$G$759,MATCH(C23,Clean_Donors!$A$2:$A$759,0)),"")</f>
        <v>Individual Donor</v>
      </c>
      <c r="E23" s="10" t="n">
        <f aca="false">IFERROR(INDEX(Clean_Donors!$R$2:$R$759,MATCH(C23,Clean_Donors!$A$2:$A$759,0)),0)</f>
        <v>5000</v>
      </c>
      <c r="F23" s="9" t="str">
        <f aca="false">IF(COUNTIF(Clean_Volunteers!$C$2:$C$926,C23)&gt;0,"Yes","No")</f>
        <v>Yes</v>
      </c>
    </row>
    <row r="24" customFormat="false" ht="15" hidden="false" customHeight="true" outlineLevel="0" collapsed="false">
      <c r="B24" s="9" t="n">
        <v>14</v>
      </c>
      <c r="C24" s="9" t="str">
        <f aca="false">IFERROR(INDEX(Clean_Donors!$A$2:$A$759,MATCH(14,Clean_Donors!$V$2:$V$759,0)),"")</f>
        <v>D1225</v>
      </c>
      <c r="D24" s="9" t="str">
        <f aca="false">IFERROR(INDEX(Clean_Donors!$G$2:$G$759,MATCH(C24,Clean_Donors!$A$2:$A$759,0)),"")</f>
        <v>Individual Donor</v>
      </c>
      <c r="E24" s="10" t="n">
        <f aca="false">IFERROR(INDEX(Clean_Donors!$R$2:$R$759,MATCH(C24,Clean_Donors!$A$2:$A$759,0)),0)</f>
        <v>5000</v>
      </c>
      <c r="F24" s="9" t="str">
        <f aca="false">IF(COUNTIF(Clean_Volunteers!$C$2:$C$926,C24)&gt;0,"Yes","No")</f>
        <v>No</v>
      </c>
    </row>
    <row r="25" customFormat="false" ht="15" hidden="false" customHeight="true" outlineLevel="0" collapsed="false">
      <c r="B25" s="9" t="n">
        <v>15</v>
      </c>
      <c r="C25" s="9" t="str">
        <f aca="false">IFERROR(INDEX(Clean_Donors!$A$2:$A$759,MATCH(15,Clean_Donors!$V$2:$V$759,0)),"")</f>
        <v>D1236</v>
      </c>
      <c r="D25" s="9" t="str">
        <f aca="false">IFERROR(INDEX(Clean_Donors!$G$2:$G$759,MATCH(C25,Clean_Donors!$A$2:$A$759,0)),"")</f>
        <v>Community Partner</v>
      </c>
      <c r="E25" s="10" t="n">
        <f aca="false">IFERROR(INDEX(Clean_Donors!$R$2:$R$759,MATCH(C25,Clean_Donors!$A$2:$A$759,0)),0)</f>
        <v>4270</v>
      </c>
      <c r="F25" s="9" t="str">
        <f aca="false">IF(COUNTIF(Clean_Volunteers!$C$2:$C$926,C25)&gt;0,"Yes","No")</f>
        <v>Yes</v>
      </c>
    </row>
    <row r="28" customFormat="false" ht="15" hidden="false" customHeight="true" outlineLevel="0" collapsed="false">
      <c r="B28" s="5" t="s">
        <v>2498</v>
      </c>
    </row>
    <row r="29" customFormat="false" ht="15" hidden="false" customHeight="true" outlineLevel="0" collapsed="false">
      <c r="B29" s="12" t="s">
        <v>18</v>
      </c>
      <c r="C29" s="12" t="s">
        <v>23</v>
      </c>
      <c r="D29" s="12" t="s">
        <v>2499</v>
      </c>
      <c r="E29" s="12" t="s">
        <v>2500</v>
      </c>
      <c r="F29" s="12" t="s">
        <v>2501</v>
      </c>
      <c r="G29" s="12" t="s">
        <v>2502</v>
      </c>
    </row>
    <row r="30" customFormat="false" ht="15" hidden="false" customHeight="true" outlineLevel="0" collapsed="false">
      <c r="B30" s="9" t="str">
        <f aca="false">IFERROR(INDEX(Clean_Donors!$A$2:$A$759,MATCH(1,Clean_Donors!$W$2:$W$759,0)),"")</f>
        <v>D1014</v>
      </c>
      <c r="C30" s="9" t="str">
        <f aca="false">IFERROR(INDEX(Clean_Donors!$G$2:$G$759,MATCH(B30,Clean_Donors!$A$2:$A$759,0)),"")</f>
        <v>Community Partner</v>
      </c>
      <c r="D30" s="10" t="n">
        <f aca="false">IFERROR(INDEX(Clean_Donors!$O$2:$O$759,MATCH(B30,Clean_Donors!$A$2:$A$759,0)),0)</f>
        <v>0</v>
      </c>
      <c r="E30" s="10" t="n">
        <f aca="false">IFERROR(INDEX(Clean_Donors!$P$2:$P$759,MATCH(B30,Clean_Donors!$A$2:$A$759,0)),0)</f>
        <v>25</v>
      </c>
      <c r="F30" s="10" t="n">
        <f aca="false">IFERROR(INDEX(Clean_Donors!$Q$2:$Q$759,MATCH(B30,Clean_Donors!$A$2:$A$759,0)),0)</f>
        <v>0</v>
      </c>
      <c r="G30" s="10" t="n">
        <f aca="false">IFERROR(INDEX(Clean_Donors!$L$2:$L$759,MATCH(B30,Clean_Donors!$A$2:$A$759,0)),0)</f>
        <v>1</v>
      </c>
    </row>
    <row r="31" customFormat="false" ht="15" hidden="false" customHeight="true" outlineLevel="0" collapsed="false">
      <c r="B31" s="9" t="str">
        <f aca="false">IFERROR(INDEX(Clean_Donors!$A$2:$A$759,MATCH(2,Clean_Donors!$W$2:$W$759,0)),"")</f>
        <v>D1021</v>
      </c>
      <c r="C31" s="9" t="str">
        <f aca="false">IFERROR(INDEX(Clean_Donors!$G$2:$G$759,MATCH(B31,Clean_Donors!$A$2:$A$759,0)),"")</f>
        <v>Individual Donor</v>
      </c>
      <c r="D31" s="10" t="n">
        <f aca="false">IFERROR(INDEX(Clean_Donors!$O$2:$O$759,MATCH(B31,Clean_Donors!$A$2:$A$759,0)),0)</f>
        <v>136</v>
      </c>
      <c r="E31" s="10" t="n">
        <f aca="false">IFERROR(INDEX(Clean_Donors!$P$2:$P$759,MATCH(B31,Clean_Donors!$A$2:$A$759,0)),0)</f>
        <v>200</v>
      </c>
      <c r="F31" s="10" t="n">
        <f aca="false">IFERROR(INDEX(Clean_Donors!$Q$2:$Q$759,MATCH(B31,Clean_Donors!$A$2:$A$759,0)),0)</f>
        <v>0</v>
      </c>
      <c r="G31" s="10" t="n">
        <f aca="false">IFERROR(INDEX(Clean_Donors!$L$2:$L$759,MATCH(B31,Clean_Donors!$A$2:$A$759,0)),0)</f>
        <v>1</v>
      </c>
    </row>
    <row r="32" customFormat="false" ht="15" hidden="false" customHeight="true" outlineLevel="0" collapsed="false">
      <c r="B32" s="9" t="str">
        <f aca="false">IFERROR(INDEX(Clean_Donors!$A$2:$A$759,MATCH(3,Clean_Donors!$W$2:$W$759,0)),"")</f>
        <v>D1022</v>
      </c>
      <c r="C32" s="9" t="str">
        <f aca="false">IFERROR(INDEX(Clean_Donors!$G$2:$G$759,MATCH(B32,Clean_Donors!$A$2:$A$759,0)),"")</f>
        <v>Individual Donor</v>
      </c>
      <c r="D32" s="10" t="n">
        <f aca="false">IFERROR(INDEX(Clean_Donors!$O$2:$O$759,MATCH(B32,Clean_Donors!$A$2:$A$759,0)),0)</f>
        <v>1</v>
      </c>
      <c r="E32" s="10" t="n">
        <f aca="false">IFERROR(INDEX(Clean_Donors!$P$2:$P$759,MATCH(B32,Clean_Donors!$A$2:$A$759,0)),0)</f>
        <v>251</v>
      </c>
      <c r="F32" s="10" t="n">
        <f aca="false">IFERROR(INDEX(Clean_Donors!$Q$2:$Q$759,MATCH(B32,Clean_Donors!$A$2:$A$759,0)),0)</f>
        <v>0</v>
      </c>
      <c r="G32" s="10" t="n">
        <f aca="false">IFERROR(INDEX(Clean_Donors!$L$2:$L$759,MATCH(B32,Clean_Donors!$A$2:$A$759,0)),0)</f>
        <v>1</v>
      </c>
    </row>
    <row r="33" customFormat="false" ht="15" hidden="false" customHeight="true" outlineLevel="0" collapsed="false">
      <c r="B33" s="9" t="str">
        <f aca="false">IFERROR(INDEX(Clean_Donors!$A$2:$A$759,MATCH(4,Clean_Donors!$W$2:$W$759,0)),"")</f>
        <v>D1023</v>
      </c>
      <c r="C33" s="9" t="str">
        <f aca="false">IFERROR(INDEX(Clean_Donors!$G$2:$G$759,MATCH(B33,Clean_Donors!$A$2:$A$759,0)),"")</f>
        <v>Individual Donor</v>
      </c>
      <c r="D33" s="10" t="n">
        <f aca="false">IFERROR(INDEX(Clean_Donors!$O$2:$O$759,MATCH(B33,Clean_Donors!$A$2:$A$759,0)),0)</f>
        <v>1</v>
      </c>
      <c r="E33" s="10" t="n">
        <f aca="false">IFERROR(INDEX(Clean_Donors!$P$2:$P$759,MATCH(B33,Clean_Donors!$A$2:$A$759,0)),0)</f>
        <v>0</v>
      </c>
      <c r="F33" s="10" t="n">
        <f aca="false">IFERROR(INDEX(Clean_Donors!$Q$2:$Q$759,MATCH(B33,Clean_Donors!$A$2:$A$759,0)),0)</f>
        <v>0</v>
      </c>
      <c r="G33" s="10" t="n">
        <f aca="false">IFERROR(INDEX(Clean_Donors!$L$2:$L$759,MATCH(B33,Clean_Donors!$A$2:$A$759,0)),0)</f>
        <v>1</v>
      </c>
    </row>
    <row r="34" customFormat="false" ht="15" hidden="false" customHeight="true" outlineLevel="0" collapsed="false">
      <c r="B34" s="9" t="str">
        <f aca="false">IFERROR(INDEX(Clean_Donors!$A$2:$A$759,MATCH(5,Clean_Donors!$W$2:$W$759,0)),"")</f>
        <v>D1027</v>
      </c>
      <c r="C34" s="9" t="str">
        <f aca="false">IFERROR(INDEX(Clean_Donors!$G$2:$G$759,MATCH(B34,Clean_Donors!$A$2:$A$759,0)),"")</f>
        <v>Individual Donor</v>
      </c>
      <c r="D34" s="10" t="n">
        <f aca="false">IFERROR(INDEX(Clean_Donors!$O$2:$O$759,MATCH(B34,Clean_Donors!$A$2:$A$759,0)),0)</f>
        <v>300</v>
      </c>
      <c r="E34" s="10" t="n">
        <f aca="false">IFERROR(INDEX(Clean_Donors!$P$2:$P$759,MATCH(B34,Clean_Donors!$A$2:$A$759,0)),0)</f>
        <v>0</v>
      </c>
      <c r="F34" s="10" t="n">
        <f aca="false">IFERROR(INDEX(Clean_Donors!$Q$2:$Q$759,MATCH(B34,Clean_Donors!$A$2:$A$759,0)),0)</f>
        <v>0</v>
      </c>
      <c r="G34" s="10" t="n">
        <f aca="false">IFERROR(INDEX(Clean_Donors!$L$2:$L$759,MATCH(B34,Clean_Donors!$A$2:$A$759,0)),0)</f>
        <v>1</v>
      </c>
    </row>
    <row r="35" customFormat="false" ht="15" hidden="false" customHeight="true" outlineLevel="0" collapsed="false">
      <c r="B35" s="9" t="str">
        <f aca="false">IFERROR(INDEX(Clean_Donors!$A$2:$A$759,MATCH(6,Clean_Donors!$W$2:$W$759,0)),"")</f>
        <v>D1035</v>
      </c>
      <c r="C35" s="9" t="str">
        <f aca="false">IFERROR(INDEX(Clean_Donors!$G$2:$G$759,MATCH(B35,Clean_Donors!$A$2:$A$759,0)),"")</f>
        <v>Individual Donor</v>
      </c>
      <c r="D35" s="10" t="n">
        <f aca="false">IFERROR(INDEX(Clean_Donors!$O$2:$O$759,MATCH(B35,Clean_Donors!$A$2:$A$759,0)),0)</f>
        <v>0</v>
      </c>
      <c r="E35" s="10" t="n">
        <f aca="false">IFERROR(INDEX(Clean_Donors!$P$2:$P$759,MATCH(B35,Clean_Donors!$A$2:$A$759,0)),0)</f>
        <v>1</v>
      </c>
      <c r="F35" s="10" t="n">
        <f aca="false">IFERROR(INDEX(Clean_Donors!$Q$2:$Q$759,MATCH(B35,Clean_Donors!$A$2:$A$759,0)),0)</f>
        <v>0</v>
      </c>
      <c r="G35" s="10" t="n">
        <f aca="false">IFERROR(INDEX(Clean_Donors!$L$2:$L$759,MATCH(B35,Clean_Donors!$A$2:$A$759,0)),0)</f>
        <v>1</v>
      </c>
    </row>
    <row r="36" customFormat="false" ht="15" hidden="false" customHeight="true" outlineLevel="0" collapsed="false">
      <c r="B36" s="9" t="str">
        <f aca="false">IFERROR(INDEX(Clean_Donors!$A$2:$A$759,MATCH(7,Clean_Donors!$W$2:$W$759,0)),"")</f>
        <v>D1039</v>
      </c>
      <c r="C36" s="9" t="str">
        <f aca="false">IFERROR(INDEX(Clean_Donors!$G$2:$G$759,MATCH(B36,Clean_Donors!$A$2:$A$759,0)),"")</f>
        <v>Individual Donor</v>
      </c>
      <c r="D36" s="10" t="n">
        <f aca="false">IFERROR(INDEX(Clean_Donors!$O$2:$O$759,MATCH(B36,Clean_Donors!$A$2:$A$759,0)),0)</f>
        <v>0</v>
      </c>
      <c r="E36" s="10" t="n">
        <f aca="false">IFERROR(INDEX(Clean_Donors!$P$2:$P$759,MATCH(B36,Clean_Donors!$A$2:$A$759,0)),0)</f>
        <v>1</v>
      </c>
      <c r="F36" s="10" t="n">
        <f aca="false">IFERROR(INDEX(Clean_Donors!$Q$2:$Q$759,MATCH(B36,Clean_Donors!$A$2:$A$759,0)),0)</f>
        <v>0</v>
      </c>
      <c r="G36" s="10" t="n">
        <f aca="false">IFERROR(INDEX(Clean_Donors!$L$2:$L$759,MATCH(B36,Clean_Donors!$A$2:$A$759,0)),0)</f>
        <v>0</v>
      </c>
    </row>
    <row r="37" customFormat="false" ht="15" hidden="false" customHeight="true" outlineLevel="0" collapsed="false">
      <c r="B37" s="9" t="str">
        <f aca="false">IFERROR(INDEX(Clean_Donors!$A$2:$A$759,MATCH(8,Clean_Donors!$W$2:$W$759,0)),"")</f>
        <v>D1044</v>
      </c>
      <c r="C37" s="9" t="str">
        <f aca="false">IFERROR(INDEX(Clean_Donors!$G$2:$G$759,MATCH(B37,Clean_Donors!$A$2:$A$759,0)),"")</f>
        <v>Community Partner</v>
      </c>
      <c r="D37" s="10" t="n">
        <f aca="false">IFERROR(INDEX(Clean_Donors!$O$2:$O$759,MATCH(B37,Clean_Donors!$A$2:$A$759,0)),0)</f>
        <v>0</v>
      </c>
      <c r="E37" s="10" t="n">
        <f aca="false">IFERROR(INDEX(Clean_Donors!$P$2:$P$759,MATCH(B37,Clean_Donors!$A$2:$A$759,0)),0)</f>
        <v>80</v>
      </c>
      <c r="F37" s="10" t="n">
        <f aca="false">IFERROR(INDEX(Clean_Donors!$Q$2:$Q$759,MATCH(B37,Clean_Donors!$A$2:$A$759,0)),0)</f>
        <v>0</v>
      </c>
      <c r="G37" s="10" t="n">
        <f aca="false">IFERROR(INDEX(Clean_Donors!$L$2:$L$759,MATCH(B37,Clean_Donors!$A$2:$A$759,0)),0)</f>
        <v>0</v>
      </c>
    </row>
    <row r="38" customFormat="false" ht="15" hidden="false" customHeight="true" outlineLevel="0" collapsed="false">
      <c r="B38" s="9" t="str">
        <f aca="false">IFERROR(INDEX(Clean_Donors!$A$2:$A$759,MATCH(9,Clean_Donors!$W$2:$W$759,0)),"")</f>
        <v>D1046</v>
      </c>
      <c r="C38" s="9" t="str">
        <f aca="false">IFERROR(INDEX(Clean_Donors!$G$2:$G$759,MATCH(B38,Clean_Donors!$A$2:$A$759,0)),"")</f>
        <v>Family Donor</v>
      </c>
      <c r="D38" s="10" t="n">
        <f aca="false">IFERROR(INDEX(Clean_Donors!$O$2:$O$759,MATCH(B38,Clean_Donors!$A$2:$A$759,0)),0)</f>
        <v>10000</v>
      </c>
      <c r="E38" s="10" t="n">
        <f aca="false">IFERROR(INDEX(Clean_Donors!$P$2:$P$759,MATCH(B38,Clean_Donors!$A$2:$A$759,0)),0)</f>
        <v>0</v>
      </c>
      <c r="F38" s="10" t="n">
        <f aca="false">IFERROR(INDEX(Clean_Donors!$Q$2:$Q$759,MATCH(B38,Clean_Donors!$A$2:$A$759,0)),0)</f>
        <v>0</v>
      </c>
      <c r="G38" s="10" t="n">
        <f aca="false">IFERROR(INDEX(Clean_Donors!$L$2:$L$759,MATCH(B38,Clean_Donors!$A$2:$A$759,0)),0)</f>
        <v>1</v>
      </c>
    </row>
    <row r="39" customFormat="false" ht="15" hidden="false" customHeight="true" outlineLevel="0" collapsed="false">
      <c r="B39" s="9" t="str">
        <f aca="false">IFERROR(INDEX(Clean_Donors!$A$2:$A$759,MATCH(10,Clean_Donors!$W$2:$W$759,0)),"")</f>
        <v>D1047</v>
      </c>
      <c r="C39" s="9" t="str">
        <f aca="false">IFERROR(INDEX(Clean_Donors!$G$2:$G$759,MATCH(B39,Clean_Donors!$A$2:$A$759,0)),"")</f>
        <v>Individual Donor</v>
      </c>
      <c r="D39" s="10" t="n">
        <f aca="false">IFERROR(INDEX(Clean_Donors!$O$2:$O$759,MATCH(B39,Clean_Donors!$A$2:$A$759,0)),0)</f>
        <v>0</v>
      </c>
      <c r="E39" s="10" t="n">
        <f aca="false">IFERROR(INDEX(Clean_Donors!$P$2:$P$759,MATCH(B39,Clean_Donors!$A$2:$A$759,0)),0)</f>
        <v>1000</v>
      </c>
      <c r="F39" s="10" t="n">
        <f aca="false">IFERROR(INDEX(Clean_Donors!$Q$2:$Q$759,MATCH(B39,Clean_Donors!$A$2:$A$759,0)),0)</f>
        <v>0</v>
      </c>
      <c r="G39" s="10" t="n">
        <f aca="false">IFERROR(INDEX(Clean_Donors!$L$2:$L$759,MATCH(B39,Clean_Donors!$A$2:$A$759,0)),0)</f>
        <v>3</v>
      </c>
    </row>
    <row r="40" customFormat="false" ht="15" hidden="false" customHeight="true" outlineLevel="0" collapsed="false">
      <c r="B40" s="9" t="str">
        <f aca="false">IFERROR(INDEX(Clean_Donors!$A$2:$A$759,MATCH(11,Clean_Donors!$W$2:$W$759,0)),"")</f>
        <v>D1052</v>
      </c>
      <c r="C40" s="9" t="str">
        <f aca="false">IFERROR(INDEX(Clean_Donors!$G$2:$G$759,MATCH(B40,Clean_Donors!$A$2:$A$759,0)),"")</f>
        <v>Community Partner</v>
      </c>
      <c r="D40" s="10" t="n">
        <f aca="false">IFERROR(INDEX(Clean_Donors!$O$2:$O$759,MATCH(B40,Clean_Donors!$A$2:$A$759,0)),0)</f>
        <v>90</v>
      </c>
      <c r="E40" s="10" t="n">
        <f aca="false">IFERROR(INDEX(Clean_Donors!$P$2:$P$759,MATCH(B40,Clean_Donors!$A$2:$A$759,0)),0)</f>
        <v>90</v>
      </c>
      <c r="F40" s="10" t="n">
        <f aca="false">IFERROR(INDEX(Clean_Donors!$Q$2:$Q$759,MATCH(B40,Clean_Donors!$A$2:$A$759,0)),0)</f>
        <v>0</v>
      </c>
      <c r="G40" s="10" t="n">
        <f aca="false">IFERROR(INDEX(Clean_Donors!$L$2:$L$759,MATCH(B40,Clean_Donors!$A$2:$A$759,0)),0)</f>
        <v>1</v>
      </c>
    </row>
    <row r="41" customFormat="false" ht="15" hidden="false" customHeight="true" outlineLevel="0" collapsed="false">
      <c r="B41" s="9" t="str">
        <f aca="false">IFERROR(INDEX(Clean_Donors!$A$2:$A$759,MATCH(12,Clean_Donors!$W$2:$W$759,0)),"")</f>
        <v>D1053</v>
      </c>
      <c r="C41" s="9" t="str">
        <f aca="false">IFERROR(INDEX(Clean_Donors!$G$2:$G$759,MATCH(B41,Clean_Donors!$A$2:$A$759,0)),"")</f>
        <v>Individual Donor</v>
      </c>
      <c r="D41" s="10" t="n">
        <f aca="false">IFERROR(INDEX(Clean_Donors!$O$2:$O$759,MATCH(B41,Clean_Donors!$A$2:$A$759,0)),0)</f>
        <v>1</v>
      </c>
      <c r="E41" s="10" t="n">
        <f aca="false">IFERROR(INDEX(Clean_Donors!$P$2:$P$759,MATCH(B41,Clean_Donors!$A$2:$A$759,0)),0)</f>
        <v>0</v>
      </c>
      <c r="F41" s="10" t="n">
        <f aca="false">IFERROR(INDEX(Clean_Donors!$Q$2:$Q$759,MATCH(B41,Clean_Donors!$A$2:$A$759,0)),0)</f>
        <v>0</v>
      </c>
      <c r="G41" s="10" t="n">
        <f aca="false">IFERROR(INDEX(Clean_Donors!$L$2:$L$759,MATCH(B41,Clean_Donors!$A$2:$A$759,0)),0)</f>
        <v>1</v>
      </c>
    </row>
    <row r="44" customFormat="false" ht="15" hidden="false" customHeight="true" outlineLevel="0" collapsed="false">
      <c r="B44" s="5" t="s">
        <v>2503</v>
      </c>
    </row>
    <row r="45" customFormat="false" ht="15" hidden="false" customHeight="true" outlineLevel="0" collapsed="false">
      <c r="B45" s="12" t="s">
        <v>2188</v>
      </c>
      <c r="C45" s="12" t="s">
        <v>2504</v>
      </c>
      <c r="D45" s="12" t="s">
        <v>2505</v>
      </c>
      <c r="E45" s="12" t="s">
        <v>2506</v>
      </c>
    </row>
    <row r="46" customFormat="false" ht="15" hidden="false" customHeight="true" outlineLevel="0" collapsed="false">
      <c r="B46" s="9" t="s">
        <v>2195</v>
      </c>
      <c r="C46" s="9" t="n">
        <f aca="false">COUNTIF(Raw_Outreach!B2:B197,B46)</f>
        <v>72</v>
      </c>
      <c r="D46" s="9" t="n">
        <f aca="false">COUNTIFS(Raw_Outreach!B2:B197,B46,Raw_Outreach!G2:G197,"Positive")</f>
        <v>18</v>
      </c>
      <c r="E46" s="13" t="n">
        <f aca="false">IFERROR(D46/C46,0)</f>
        <v>0.25</v>
      </c>
    </row>
    <row r="47" customFormat="false" ht="15" hidden="false" customHeight="true" outlineLevel="0" collapsed="false">
      <c r="B47" s="9" t="s">
        <v>2207</v>
      </c>
      <c r="C47" s="9" t="n">
        <f aca="false">COUNTIF(Raw_Outreach!B2:B197,B47)</f>
        <v>36</v>
      </c>
      <c r="D47" s="9" t="n">
        <f aca="false">COUNTIFS(Raw_Outreach!B2:B197,B47,Raw_Outreach!G2:G197,"Positive")</f>
        <v>10</v>
      </c>
      <c r="E47" s="13" t="n">
        <f aca="false">IFERROR(D47/C47,0)</f>
        <v>0.277777777777778</v>
      </c>
    </row>
    <row r="48" customFormat="false" ht="15" hidden="false" customHeight="true" outlineLevel="0" collapsed="false">
      <c r="B48" s="9" t="s">
        <v>2220</v>
      </c>
      <c r="C48" s="9" t="n">
        <f aca="false">COUNTIF(Raw_Outreach!B2:B197,B48)</f>
        <v>82</v>
      </c>
      <c r="D48" s="9" t="n">
        <f aca="false">COUNTIFS(Raw_Outreach!B2:B197,B48,Raw_Outreach!G2:G197,"Positive")</f>
        <v>29</v>
      </c>
      <c r="E48" s="13" t="n">
        <f aca="false">IFERROR(D48/C48,0)</f>
        <v>0.353658536585366</v>
      </c>
    </row>
    <row r="49" customFormat="false" ht="15" hidden="false" customHeight="true" outlineLevel="0" collapsed="false">
      <c r="B49" s="9" t="s">
        <v>2202</v>
      </c>
      <c r="C49" s="9" t="n">
        <f aca="false">COUNTIF(Raw_Outreach!B2:B197,B49)</f>
        <v>6</v>
      </c>
      <c r="D49" s="9" t="n">
        <f aca="false">COUNTIFS(Raw_Outreach!B2:B197,B49,Raw_Outreach!G2:G197,"Positive")</f>
        <v>6</v>
      </c>
      <c r="E49" s="13" t="n">
        <f aca="false">IFERROR(D49/C49,0)</f>
        <v>1</v>
      </c>
    </row>
  </sheetData>
  <mergeCells count="12">
    <mergeCell ref="B4:C5"/>
    <mergeCell ref="D4:E5"/>
    <mergeCell ref="F4:G5"/>
    <mergeCell ref="H4:I5"/>
    <mergeCell ref="J4:K5"/>
    <mergeCell ref="L4:M5"/>
    <mergeCell ref="B6:C6"/>
    <mergeCell ref="D6:E6"/>
    <mergeCell ref="F6:G6"/>
    <mergeCell ref="H6:I6"/>
    <mergeCell ref="J6:K6"/>
    <mergeCell ref="L6:M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2026-06-27T10:03:29Z</dcterms:created>
  <dc:creator>openpyxl</dc:creator>
  <dc:description/>
  <dc:language>en-US</dc:language>
  <cp:lastModifiedBy/>
  <dcterms:modified xsi:type="dcterms:W3CDTF">2026-06-27T10:12:13Z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